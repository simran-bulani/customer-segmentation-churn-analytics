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82D671A5934F49/Documents/"/>
    </mc:Choice>
  </mc:AlternateContent>
  <xr:revisionPtr revIDLastSave="223" documentId="8_{BA7FE3DF-0D69-4F88-BD9D-BB45F3BADB82}" xr6:coauthVersionLast="47" xr6:coauthVersionMax="47" xr10:uidLastSave="{9AC22F41-A502-48DD-A194-BB94FA70E271}"/>
  <bookViews>
    <workbookView xWindow="-120" yWindow="-120" windowWidth="29040" windowHeight="15720" xr2:uid="{8C1423A1-E315-4B7D-9562-82BC04263B14}"/>
  </bookViews>
  <sheets>
    <sheet name="European_Bank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</calcChain>
</file>

<file path=xl/sharedStrings.xml><?xml version="1.0" encoding="utf-8"?>
<sst xmlns="http://schemas.openxmlformats.org/spreadsheetml/2006/main" count="20016" uniqueCount="21">
  <si>
    <t>Year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</si>
  <si>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</si>
  <si>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</si>
  <si>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</si>
  <si>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</si>
  <si>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</si>
  <si>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</si>
  <si>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</si>
  <si>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</si>
  <si>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</si>
  <si>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</si>
  <si>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</si>
  <si>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France</t>
  </si>
  <si>
    <t>Female</t>
  </si>
  <si>
    <t>Spain</t>
  </si>
  <si>
    <t>Male</t>
  </si>
  <si>
    <t>Germany</t>
  </si>
  <si>
    <t>Age grp</t>
  </si>
  <si>
    <t>Credit band</t>
  </si>
  <si>
    <t>Balance Segment</t>
  </si>
  <si>
    <t>Tenuer grp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</si>
</sst>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7C87-2A46-4543-82C6-D422A4A5312B}">
  <dimension ref="A1:P10001"/>
  <sheetViews>
    <sheetView tabSelected="1" workbookViewId="0">
      <selection activeCell="S16" sqref="S1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0.5703125" bestFit="1" customWidth="1"/>
    <col min="4" max="4" width="7.5703125" bestFit="1" customWidth="1"/>
    <col min="5" max="5" width="4.42578125" bestFit="1" customWidth="1"/>
    <col min="6" max="6" width="7.28515625" bestFit="1" customWidth="1"/>
    <col min="7" max="7" width="10" bestFit="1" customWidth="1"/>
    <col min="8" max="8" width="15.28515625" bestFit="1" customWidth="1"/>
    <col min="9" max="9" width="10" bestFit="1" customWidth="1"/>
    <col min="10" max="10" width="15.7109375" bestFit="1" customWidth="1"/>
    <col min="11" max="11" width="15.28515625" bestFit="1" customWidth="1"/>
    <col min="12" max="12" width="6.5703125" bestFit="1" customWidth="1"/>
    <col min="13" max="13" width="7.7109375" bestFit="1" customWidth="1"/>
    <col min="14" max="14" width="11.28515625" bestFit="1" customWidth="1"/>
    <col min="15" max="15" width="16.28515625" bestFit="1" customWidth="1"/>
    <col min="16" max="16" width="10.5703125" bestFit="1" customWidth="1"/>
    <col min="19" max="20" width="17" bestFit="1" customWidth="1"/>
    <col min="21" max="21" width="6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25">
      <c r="A2">
        <v>2025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  <c r="M2" t="str">
        <f>IF(E2&lt;30,"&lt;30",IF(E2&lt;=45,"30-45",IF(E2&lt;=60,"46-60","60+")))</f>
        <v>30-45</v>
      </c>
      <c r="N2" t="str">
        <f>IF(B2&lt;500,"Low",IF(B2&lt;700,"Medium","High"))</f>
        <v>Medium</v>
      </c>
      <c r="O2" t="str">
        <f>IF(G2=0,"Zero Balance",IF(G2&lt;100000,"Low Balance","High Balance"))</f>
        <v>Zero Balance</v>
      </c>
      <c r="P2" t="str">
        <f>IF(F2&lt;=3,"New",IF(F2&lt;=7,"Mid-term","Long-term"))</f>
        <v>New</v>
      </c>
    </row>
    <row r="3" spans="1:16" x14ac:dyDescent="0.25">
      <c r="A3">
        <v>2025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  <c r="M3" t="str">
        <f t="shared" ref="M3:M66" si="0">IF(E3&lt;30,"&lt;30",IF(E3&lt;=45,"30-45",IF(E3&lt;=60,"46-60","60+")))</f>
        <v>30-45</v>
      </c>
      <c r="N3" t="str">
        <f t="shared" ref="N3:N66" si="1">IF(B3&lt;500,"Low",IF(B3&lt;700,"Medium","High"))</f>
        <v>Medium</v>
      </c>
      <c r="O3" t="str">
        <f t="shared" ref="O3:O66" si="2">IF(G3=0,"Zero Balance",IF(G3&lt;100000,"Low Balance","High Balance"))</f>
        <v>Low Balance</v>
      </c>
      <c r="P3" t="str">
        <f t="shared" ref="P3:P66" si="3">IF(F3&lt;=3,"New",IF(F3&lt;=7,"Mid-term","Long-term"))</f>
        <v>New</v>
      </c>
    </row>
    <row r="4" spans="1:16" x14ac:dyDescent="0.25">
      <c r="A4">
        <v>2025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  <c r="M4" t="str">
        <f t="shared" si="0"/>
        <v>30-45</v>
      </c>
      <c r="N4" t="str">
        <f t="shared" si="1"/>
        <v>Medium</v>
      </c>
      <c r="O4" t="str">
        <f t="shared" si="2"/>
        <v>High Balance</v>
      </c>
      <c r="P4" t="str">
        <f t="shared" si="3"/>
        <v>Long-term</v>
      </c>
    </row>
    <row r="5" spans="1:16" x14ac:dyDescent="0.25">
      <c r="A5">
        <v>2025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  <c r="M5" t="str">
        <f t="shared" si="0"/>
        <v>30-45</v>
      </c>
      <c r="N5" t="str">
        <f t="shared" si="1"/>
        <v>Medium</v>
      </c>
      <c r="O5" t="str">
        <f t="shared" si="2"/>
        <v>Zero Balance</v>
      </c>
      <c r="P5" t="str">
        <f t="shared" si="3"/>
        <v>New</v>
      </c>
    </row>
    <row r="6" spans="1:16" x14ac:dyDescent="0.25">
      <c r="A6">
        <v>2025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  <c r="M6" t="str">
        <f t="shared" si="0"/>
        <v>30-45</v>
      </c>
      <c r="N6" t="str">
        <f t="shared" si="1"/>
        <v>High</v>
      </c>
      <c r="O6" t="str">
        <f t="shared" si="2"/>
        <v>High Balance</v>
      </c>
      <c r="P6" t="str">
        <f t="shared" si="3"/>
        <v>New</v>
      </c>
    </row>
    <row r="7" spans="1:16" x14ac:dyDescent="0.25">
      <c r="A7">
        <v>2025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  <c r="M7" t="str">
        <f t="shared" si="0"/>
        <v>30-45</v>
      </c>
      <c r="N7" t="str">
        <f t="shared" si="1"/>
        <v>Medium</v>
      </c>
      <c r="O7" t="str">
        <f t="shared" si="2"/>
        <v>High Balance</v>
      </c>
      <c r="P7" t="str">
        <f t="shared" si="3"/>
        <v>Long-term</v>
      </c>
    </row>
    <row r="8" spans="1:16" x14ac:dyDescent="0.25">
      <c r="A8">
        <v>2025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  <c r="M8" t="str">
        <f t="shared" si="0"/>
        <v>46-60</v>
      </c>
      <c r="N8" t="str">
        <f t="shared" si="1"/>
        <v>High</v>
      </c>
      <c r="O8" t="str">
        <f t="shared" si="2"/>
        <v>Zero Balance</v>
      </c>
      <c r="P8" t="str">
        <f t="shared" si="3"/>
        <v>Mid-term</v>
      </c>
    </row>
    <row r="9" spans="1:16" x14ac:dyDescent="0.25">
      <c r="A9">
        <v>2025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  <c r="M9" t="str">
        <f t="shared" si="0"/>
        <v>&lt;30</v>
      </c>
      <c r="N9" t="str">
        <f t="shared" si="1"/>
        <v>Low</v>
      </c>
      <c r="O9" t="str">
        <f t="shared" si="2"/>
        <v>High Balance</v>
      </c>
      <c r="P9" t="str">
        <f t="shared" si="3"/>
        <v>Mid-term</v>
      </c>
    </row>
    <row r="10" spans="1:16" x14ac:dyDescent="0.25">
      <c r="A10">
        <v>2025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  <c r="M10" t="str">
        <f t="shared" si="0"/>
        <v>30-45</v>
      </c>
      <c r="N10" t="str">
        <f t="shared" si="1"/>
        <v>Medium</v>
      </c>
      <c r="O10" t="str">
        <f t="shared" si="2"/>
        <v>High Balance</v>
      </c>
      <c r="P10" t="str">
        <f t="shared" si="3"/>
        <v>Mid-term</v>
      </c>
    </row>
    <row r="11" spans="1:16" x14ac:dyDescent="0.25">
      <c r="A11">
        <v>2025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  <c r="M11" t="str">
        <f t="shared" si="0"/>
        <v>&lt;30</v>
      </c>
      <c r="N11" t="str">
        <f t="shared" si="1"/>
        <v>Medium</v>
      </c>
      <c r="O11" t="str">
        <f t="shared" si="2"/>
        <v>High Balance</v>
      </c>
      <c r="P11" t="str">
        <f t="shared" si="3"/>
        <v>New</v>
      </c>
    </row>
    <row r="12" spans="1:16" x14ac:dyDescent="0.25">
      <c r="A12">
        <v>2025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  <c r="M12" t="str">
        <f t="shared" si="0"/>
        <v>30-45</v>
      </c>
      <c r="N12" t="str">
        <f t="shared" si="1"/>
        <v>Medium</v>
      </c>
      <c r="O12" t="str">
        <f t="shared" si="2"/>
        <v>High Balance</v>
      </c>
      <c r="P12" t="str">
        <f t="shared" si="3"/>
        <v>Mid-term</v>
      </c>
    </row>
    <row r="13" spans="1:16" x14ac:dyDescent="0.25">
      <c r="A13">
        <v>2025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  <c r="M13" t="str">
        <f t="shared" si="0"/>
        <v>&lt;30</v>
      </c>
      <c r="N13" t="str">
        <f t="shared" si="1"/>
        <v>Low</v>
      </c>
      <c r="O13" t="str">
        <f t="shared" si="2"/>
        <v>Zero Balance</v>
      </c>
      <c r="P13" t="str">
        <f t="shared" si="3"/>
        <v>New</v>
      </c>
    </row>
    <row r="14" spans="1:16" x14ac:dyDescent="0.25">
      <c r="A14">
        <v>2025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  <c r="M14" t="str">
        <f t="shared" si="0"/>
        <v>30-45</v>
      </c>
      <c r="N14" t="str">
        <f t="shared" si="1"/>
        <v>Low</v>
      </c>
      <c r="O14" t="str">
        <f t="shared" si="2"/>
        <v>Zero Balance</v>
      </c>
      <c r="P14" t="str">
        <f t="shared" si="3"/>
        <v>Long-term</v>
      </c>
    </row>
    <row r="15" spans="1:16" x14ac:dyDescent="0.25">
      <c r="A15">
        <v>2025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  <c r="M15" t="str">
        <f t="shared" si="0"/>
        <v>&lt;30</v>
      </c>
      <c r="N15" t="str">
        <f t="shared" si="1"/>
        <v>Medium</v>
      </c>
      <c r="O15" t="str">
        <f t="shared" si="2"/>
        <v>Zero Balance</v>
      </c>
      <c r="P15" t="str">
        <f t="shared" si="3"/>
        <v>Mid-term</v>
      </c>
    </row>
    <row r="16" spans="1:16" x14ac:dyDescent="0.25">
      <c r="A16">
        <v>2025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  <c r="M16" t="str">
        <f t="shared" si="0"/>
        <v>30-45</v>
      </c>
      <c r="N16" t="str">
        <f t="shared" si="1"/>
        <v>Medium</v>
      </c>
      <c r="O16" t="str">
        <f t="shared" si="2"/>
        <v>Zero Balance</v>
      </c>
      <c r="P16" t="str">
        <f t="shared" si="3"/>
        <v>Mid-term</v>
      </c>
    </row>
    <row r="17" spans="1:16" x14ac:dyDescent="0.25">
      <c r="A17">
        <v>2025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  <c r="M17" t="str">
        <f t="shared" si="0"/>
        <v>30-45</v>
      </c>
      <c r="N17" t="str">
        <f t="shared" si="1"/>
        <v>Medium</v>
      </c>
      <c r="O17" t="str">
        <f t="shared" si="2"/>
        <v>High Balance</v>
      </c>
      <c r="P17" t="str">
        <f t="shared" si="3"/>
        <v>New</v>
      </c>
    </row>
    <row r="18" spans="1:16" x14ac:dyDescent="0.25">
      <c r="A18">
        <v>2025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  <c r="M18" t="str">
        <f t="shared" si="0"/>
        <v>46-60</v>
      </c>
      <c r="N18" t="str">
        <f t="shared" si="1"/>
        <v>Medium</v>
      </c>
      <c r="O18" t="str">
        <f t="shared" si="2"/>
        <v>High Balance</v>
      </c>
      <c r="P18" t="str">
        <f t="shared" si="3"/>
        <v>New</v>
      </c>
    </row>
    <row r="19" spans="1:16" x14ac:dyDescent="0.25">
      <c r="A19">
        <v>2025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  <c r="M19" t="str">
        <f t="shared" si="0"/>
        <v>&lt;30</v>
      </c>
      <c r="N19" t="str">
        <f t="shared" si="1"/>
        <v>Medium</v>
      </c>
      <c r="O19" t="str">
        <f t="shared" si="2"/>
        <v>Zero Balance</v>
      </c>
      <c r="P19" t="str">
        <f t="shared" si="3"/>
        <v>Long-term</v>
      </c>
    </row>
    <row r="20" spans="1:16" x14ac:dyDescent="0.25">
      <c r="A20">
        <v>2025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  <c r="M20" t="str">
        <f t="shared" si="0"/>
        <v>30-45</v>
      </c>
      <c r="N20" t="str">
        <f t="shared" si="1"/>
        <v>Medium</v>
      </c>
      <c r="O20" t="str">
        <f t="shared" si="2"/>
        <v>Zero Balance</v>
      </c>
      <c r="P20" t="str">
        <f t="shared" si="3"/>
        <v>Mid-term</v>
      </c>
    </row>
    <row r="21" spans="1:16" x14ac:dyDescent="0.25">
      <c r="A21">
        <v>2025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  <c r="M21" t="str">
        <f t="shared" si="0"/>
        <v>&lt;30</v>
      </c>
      <c r="N21" t="str">
        <f t="shared" si="1"/>
        <v>High</v>
      </c>
      <c r="O21" t="str">
        <f t="shared" si="2"/>
        <v>Zero Balance</v>
      </c>
      <c r="P21" t="str">
        <f t="shared" si="3"/>
        <v>Mid-term</v>
      </c>
    </row>
    <row r="22" spans="1:16" x14ac:dyDescent="0.25">
      <c r="A22">
        <v>2025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  <c r="M22" t="str">
        <f t="shared" si="0"/>
        <v>30-45</v>
      </c>
      <c r="N22" t="str">
        <f t="shared" si="1"/>
        <v>High</v>
      </c>
      <c r="O22" t="str">
        <f t="shared" si="2"/>
        <v>Zero Balance</v>
      </c>
      <c r="P22" t="str">
        <f t="shared" si="3"/>
        <v>Long-term</v>
      </c>
    </row>
    <row r="23" spans="1:16" x14ac:dyDescent="0.25">
      <c r="A23">
        <v>2025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  <c r="M23" t="str">
        <f t="shared" si="0"/>
        <v>30-45</v>
      </c>
      <c r="N23" t="str">
        <f t="shared" si="1"/>
        <v>Medium</v>
      </c>
      <c r="O23" t="str">
        <f t="shared" si="2"/>
        <v>Zero Balance</v>
      </c>
      <c r="P23" t="str">
        <f t="shared" si="3"/>
        <v>Long-term</v>
      </c>
    </row>
    <row r="24" spans="1:16" x14ac:dyDescent="0.25">
      <c r="A24">
        <v>2025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  <c r="M24" t="str">
        <f t="shared" si="0"/>
        <v>30-45</v>
      </c>
      <c r="N24" t="str">
        <f t="shared" si="1"/>
        <v>Medium</v>
      </c>
      <c r="O24" t="str">
        <f t="shared" si="2"/>
        <v>Zero Balance</v>
      </c>
      <c r="P24" t="str">
        <f t="shared" si="3"/>
        <v>Mid-term</v>
      </c>
    </row>
    <row r="25" spans="1:16" x14ac:dyDescent="0.25">
      <c r="A25">
        <v>2025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  <c r="M25" t="str">
        <f t="shared" si="0"/>
        <v>46-60</v>
      </c>
      <c r="N25" t="str">
        <f t="shared" si="1"/>
        <v>Medium</v>
      </c>
      <c r="O25" t="str">
        <f t="shared" si="2"/>
        <v>Zero Balance</v>
      </c>
      <c r="P25" t="str">
        <f t="shared" si="3"/>
        <v>New</v>
      </c>
    </row>
    <row r="26" spans="1:16" x14ac:dyDescent="0.25">
      <c r="A26">
        <v>2025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  <c r="M26" t="str">
        <f t="shared" si="0"/>
        <v>30-45</v>
      </c>
      <c r="N26" t="str">
        <f t="shared" si="1"/>
        <v>High</v>
      </c>
      <c r="O26" t="str">
        <f t="shared" si="2"/>
        <v>Zero Balance</v>
      </c>
      <c r="P26" t="str">
        <f t="shared" si="3"/>
        <v>Mid-term</v>
      </c>
    </row>
    <row r="27" spans="1:16" x14ac:dyDescent="0.25">
      <c r="A27">
        <v>2025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  <c r="M27" t="str">
        <f t="shared" si="0"/>
        <v>&lt;30</v>
      </c>
      <c r="N27" t="str">
        <f t="shared" si="1"/>
        <v>Medium</v>
      </c>
      <c r="O27" t="str">
        <f t="shared" si="2"/>
        <v>Zero Balance</v>
      </c>
      <c r="P27" t="str">
        <f t="shared" si="3"/>
        <v>New</v>
      </c>
    </row>
    <row r="28" spans="1:16" x14ac:dyDescent="0.25">
      <c r="A28">
        <v>2025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  <c r="M28" t="str">
        <f t="shared" si="0"/>
        <v>30-45</v>
      </c>
      <c r="N28" t="str">
        <f t="shared" si="1"/>
        <v>High</v>
      </c>
      <c r="O28" t="str">
        <f t="shared" si="2"/>
        <v>High Balance</v>
      </c>
      <c r="P28" t="str">
        <f t="shared" si="3"/>
        <v>New</v>
      </c>
    </row>
    <row r="29" spans="1:16" x14ac:dyDescent="0.25">
      <c r="A29">
        <v>2025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  <c r="M29" t="str">
        <f t="shared" si="0"/>
        <v>30-45</v>
      </c>
      <c r="N29" t="str">
        <f t="shared" si="1"/>
        <v>Medium</v>
      </c>
      <c r="O29" t="str">
        <f t="shared" si="2"/>
        <v>Zero Balance</v>
      </c>
      <c r="P29" t="str">
        <f t="shared" si="3"/>
        <v>Long-term</v>
      </c>
    </row>
    <row r="30" spans="1:16" x14ac:dyDescent="0.25">
      <c r="A30">
        <v>2025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  <c r="M30" t="str">
        <f t="shared" si="0"/>
        <v>30-45</v>
      </c>
      <c r="N30" t="str">
        <f t="shared" si="1"/>
        <v>Medium</v>
      </c>
      <c r="O30" t="str">
        <f t="shared" si="2"/>
        <v>High Balance</v>
      </c>
      <c r="P30" t="str">
        <f t="shared" si="3"/>
        <v>New</v>
      </c>
    </row>
    <row r="31" spans="1:16" x14ac:dyDescent="0.25">
      <c r="A31">
        <v>2025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  <c r="M31" t="str">
        <f t="shared" si="0"/>
        <v>&lt;30</v>
      </c>
      <c r="N31" t="str">
        <f t="shared" si="1"/>
        <v>Low</v>
      </c>
      <c r="O31" t="str">
        <f t="shared" si="2"/>
        <v>Low Balance</v>
      </c>
      <c r="P31" t="str">
        <f t="shared" si="3"/>
        <v>New</v>
      </c>
    </row>
    <row r="32" spans="1:16" x14ac:dyDescent="0.25">
      <c r="A32">
        <v>2025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  <c r="M32" t="str">
        <f t="shared" si="0"/>
        <v>30-45</v>
      </c>
      <c r="N32" t="str">
        <f t="shared" si="1"/>
        <v>Medium</v>
      </c>
      <c r="O32" t="str">
        <f t="shared" si="2"/>
        <v>Zero Balance</v>
      </c>
      <c r="P32" t="str">
        <f t="shared" si="3"/>
        <v>New</v>
      </c>
    </row>
    <row r="33" spans="1:16" x14ac:dyDescent="0.25">
      <c r="A33">
        <v>2025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  <c r="M33" t="str">
        <f t="shared" si="0"/>
        <v>30-45</v>
      </c>
      <c r="N33" t="str">
        <f t="shared" si="1"/>
        <v>Medium</v>
      </c>
      <c r="O33" t="str">
        <f t="shared" si="2"/>
        <v>Low Balance</v>
      </c>
      <c r="P33" t="str">
        <f t="shared" si="3"/>
        <v>Mid-term</v>
      </c>
    </row>
    <row r="34" spans="1:16" x14ac:dyDescent="0.25">
      <c r="A34">
        <v>2025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  <c r="M34" t="str">
        <f t="shared" si="0"/>
        <v>30-45</v>
      </c>
      <c r="N34" t="str">
        <f t="shared" si="1"/>
        <v>Medium</v>
      </c>
      <c r="O34" t="str">
        <f t="shared" si="2"/>
        <v>High Balance</v>
      </c>
      <c r="P34" t="str">
        <f t="shared" si="3"/>
        <v>Long-term</v>
      </c>
    </row>
    <row r="35" spans="1:16" x14ac:dyDescent="0.25">
      <c r="A35">
        <v>2025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  <c r="M35" t="str">
        <f t="shared" si="0"/>
        <v>30-45</v>
      </c>
      <c r="N35" t="str">
        <f t="shared" si="1"/>
        <v>Medium</v>
      </c>
      <c r="O35" t="str">
        <f t="shared" si="2"/>
        <v>Zero Balance</v>
      </c>
      <c r="P35" t="str">
        <f t="shared" si="3"/>
        <v>Mid-term</v>
      </c>
    </row>
    <row r="36" spans="1:16" x14ac:dyDescent="0.25">
      <c r="A36">
        <v>2025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  <c r="M36" t="str">
        <f t="shared" si="0"/>
        <v>&lt;30</v>
      </c>
      <c r="N36" t="str">
        <f t="shared" si="1"/>
        <v>High</v>
      </c>
      <c r="O36" t="str">
        <f t="shared" si="2"/>
        <v>Zero Balance</v>
      </c>
      <c r="P36" t="str">
        <f t="shared" si="3"/>
        <v>Long-term</v>
      </c>
    </row>
    <row r="37" spans="1:16" x14ac:dyDescent="0.25">
      <c r="A37">
        <v>2025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  <c r="M37" t="str">
        <f t="shared" si="0"/>
        <v>30-45</v>
      </c>
      <c r="N37" t="str">
        <f t="shared" si="1"/>
        <v>Low</v>
      </c>
      <c r="O37" t="str">
        <f t="shared" si="2"/>
        <v>High Balance</v>
      </c>
      <c r="P37" t="str">
        <f t="shared" si="3"/>
        <v>New</v>
      </c>
    </row>
    <row r="38" spans="1:16" x14ac:dyDescent="0.25">
      <c r="A38">
        <v>2025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  <c r="M38" t="str">
        <f t="shared" si="0"/>
        <v>30-45</v>
      </c>
      <c r="N38" t="str">
        <f t="shared" si="1"/>
        <v>Low</v>
      </c>
      <c r="O38" t="str">
        <f t="shared" si="2"/>
        <v>High Balance</v>
      </c>
      <c r="P38" t="str">
        <f t="shared" si="3"/>
        <v>New</v>
      </c>
    </row>
    <row r="39" spans="1:16" x14ac:dyDescent="0.25">
      <c r="A39">
        <v>2025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  <c r="M39" t="str">
        <f t="shared" si="0"/>
        <v>30-45</v>
      </c>
      <c r="N39" t="str">
        <f t="shared" si="1"/>
        <v>High</v>
      </c>
      <c r="O39" t="str">
        <f t="shared" si="2"/>
        <v>Low Balance</v>
      </c>
      <c r="P39" t="str">
        <f t="shared" si="3"/>
        <v>Mid-term</v>
      </c>
    </row>
    <row r="40" spans="1:16" x14ac:dyDescent="0.25">
      <c r="A40">
        <v>2025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  <c r="M40" t="str">
        <f t="shared" si="0"/>
        <v>30-45</v>
      </c>
      <c r="N40" t="str">
        <f t="shared" si="1"/>
        <v>High</v>
      </c>
      <c r="O40" t="str">
        <f t="shared" si="2"/>
        <v>Zero Balance</v>
      </c>
      <c r="P40" t="str">
        <f t="shared" si="3"/>
        <v>Mid-term</v>
      </c>
    </row>
    <row r="41" spans="1:16" x14ac:dyDescent="0.25">
      <c r="A41">
        <v>2025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  <c r="M41" t="str">
        <f t="shared" si="0"/>
        <v>30-45</v>
      </c>
      <c r="N41" t="str">
        <f t="shared" si="1"/>
        <v>Medium</v>
      </c>
      <c r="O41" t="str">
        <f t="shared" si="2"/>
        <v>Low Balance</v>
      </c>
      <c r="P41" t="str">
        <f t="shared" si="3"/>
        <v>Mid-term</v>
      </c>
    </row>
    <row r="42" spans="1:16" x14ac:dyDescent="0.25">
      <c r="A42">
        <v>2025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  <c r="M42" t="str">
        <f t="shared" si="0"/>
        <v>30-45</v>
      </c>
      <c r="N42" t="str">
        <f t="shared" si="1"/>
        <v>Low</v>
      </c>
      <c r="O42" t="str">
        <f t="shared" si="2"/>
        <v>Zero Balance</v>
      </c>
      <c r="P42" t="str">
        <f t="shared" si="3"/>
        <v>Mid-term</v>
      </c>
    </row>
    <row r="43" spans="1:16" x14ac:dyDescent="0.25">
      <c r="A43">
        <v>2025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  <c r="M43" t="str">
        <f t="shared" si="0"/>
        <v>46-60</v>
      </c>
      <c r="N43" t="str">
        <f t="shared" si="1"/>
        <v>Low</v>
      </c>
      <c r="O43" t="str">
        <f t="shared" si="2"/>
        <v>High Balance</v>
      </c>
      <c r="P43" t="str">
        <f t="shared" si="3"/>
        <v>Long-term</v>
      </c>
    </row>
    <row r="44" spans="1:16" x14ac:dyDescent="0.25">
      <c r="A44">
        <v>2025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  <c r="M44" t="str">
        <f t="shared" si="0"/>
        <v>60+</v>
      </c>
      <c r="N44" t="str">
        <f t="shared" si="1"/>
        <v>Medium</v>
      </c>
      <c r="O44" t="str">
        <f t="shared" si="2"/>
        <v>High Balance</v>
      </c>
      <c r="P44" t="str">
        <f t="shared" si="3"/>
        <v>New</v>
      </c>
    </row>
    <row r="45" spans="1:16" x14ac:dyDescent="0.25">
      <c r="A45">
        <v>2025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  <c r="M45" t="str">
        <f t="shared" si="0"/>
        <v>46-60</v>
      </c>
      <c r="N45" t="str">
        <f t="shared" si="1"/>
        <v>High</v>
      </c>
      <c r="O45" t="str">
        <f t="shared" si="2"/>
        <v>High Balance</v>
      </c>
      <c r="P45" t="str">
        <f t="shared" si="3"/>
        <v>New</v>
      </c>
    </row>
    <row r="46" spans="1:16" x14ac:dyDescent="0.25">
      <c r="A46">
        <v>2025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  <c r="M46" t="str">
        <f t="shared" si="0"/>
        <v>60+</v>
      </c>
      <c r="N46" t="str">
        <f t="shared" si="1"/>
        <v>Medium</v>
      </c>
      <c r="O46" t="str">
        <f t="shared" si="2"/>
        <v>High Balance</v>
      </c>
      <c r="P46" t="str">
        <f t="shared" si="3"/>
        <v>Mid-term</v>
      </c>
    </row>
    <row r="47" spans="1:16" x14ac:dyDescent="0.25">
      <c r="A47">
        <v>2025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  <c r="M47" t="str">
        <f t="shared" si="0"/>
        <v>30-45</v>
      </c>
      <c r="N47" t="str">
        <f t="shared" si="1"/>
        <v>High</v>
      </c>
      <c r="O47" t="str">
        <f t="shared" si="2"/>
        <v>High Balance</v>
      </c>
      <c r="P47" t="str">
        <f t="shared" si="3"/>
        <v>Mid-term</v>
      </c>
    </row>
    <row r="48" spans="1:16" x14ac:dyDescent="0.25">
      <c r="A48">
        <v>2025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  <c r="M48" t="str">
        <f t="shared" si="0"/>
        <v>&lt;30</v>
      </c>
      <c r="N48" t="str">
        <f t="shared" si="1"/>
        <v>High</v>
      </c>
      <c r="O48" t="str">
        <f t="shared" si="2"/>
        <v>High Balance</v>
      </c>
      <c r="P48" t="str">
        <f t="shared" si="3"/>
        <v>Long-term</v>
      </c>
    </row>
    <row r="49" spans="1:16" x14ac:dyDescent="0.25">
      <c r="A49">
        <v>2025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  <c r="M49" t="str">
        <f t="shared" si="0"/>
        <v>30-45</v>
      </c>
      <c r="N49" t="str">
        <f t="shared" si="1"/>
        <v>Medium</v>
      </c>
      <c r="O49" t="str">
        <f t="shared" si="2"/>
        <v>High Balance</v>
      </c>
      <c r="P49" t="str">
        <f t="shared" si="3"/>
        <v>Long-term</v>
      </c>
    </row>
    <row r="50" spans="1:16" x14ac:dyDescent="0.25">
      <c r="A50">
        <v>2025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  <c r="M50" t="str">
        <f t="shared" si="0"/>
        <v>30-45</v>
      </c>
      <c r="N50" t="str">
        <f t="shared" si="1"/>
        <v>Medium</v>
      </c>
      <c r="O50" t="str">
        <f t="shared" si="2"/>
        <v>High Balance</v>
      </c>
      <c r="P50" t="str">
        <f t="shared" si="3"/>
        <v>New</v>
      </c>
    </row>
    <row r="51" spans="1:16" x14ac:dyDescent="0.25">
      <c r="A51">
        <v>2025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  <c r="M51" t="str">
        <f t="shared" si="0"/>
        <v>30-45</v>
      </c>
      <c r="N51" t="str">
        <f t="shared" si="1"/>
        <v>High</v>
      </c>
      <c r="O51" t="str">
        <f t="shared" si="2"/>
        <v>High Balance</v>
      </c>
      <c r="P51" t="str">
        <f t="shared" si="3"/>
        <v>New</v>
      </c>
    </row>
    <row r="52" spans="1:16" x14ac:dyDescent="0.25">
      <c r="A52">
        <v>2025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  <c r="M52" t="str">
        <f t="shared" si="0"/>
        <v>30-45</v>
      </c>
      <c r="N52" t="str">
        <f t="shared" si="1"/>
        <v>Medium</v>
      </c>
      <c r="O52" t="str">
        <f t="shared" si="2"/>
        <v>High Balance</v>
      </c>
      <c r="P52" t="str">
        <f t="shared" si="3"/>
        <v>Long-term</v>
      </c>
    </row>
    <row r="53" spans="1:16" x14ac:dyDescent="0.25">
      <c r="A53">
        <v>2025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  <c r="M53" t="str">
        <f t="shared" si="0"/>
        <v>30-45</v>
      </c>
      <c r="N53" t="str">
        <f t="shared" si="1"/>
        <v>Medium</v>
      </c>
      <c r="O53" t="str">
        <f t="shared" si="2"/>
        <v>High Balance</v>
      </c>
      <c r="P53" t="str">
        <f t="shared" si="3"/>
        <v>Mid-term</v>
      </c>
    </row>
    <row r="54" spans="1:16" x14ac:dyDescent="0.25">
      <c r="A54">
        <v>2025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  <c r="M54" t="str">
        <f t="shared" si="0"/>
        <v>30-45</v>
      </c>
      <c r="N54" t="str">
        <f t="shared" si="1"/>
        <v>High</v>
      </c>
      <c r="O54" t="str">
        <f t="shared" si="2"/>
        <v>Zero Balance</v>
      </c>
      <c r="P54" t="str">
        <f t="shared" si="3"/>
        <v>Mid-term</v>
      </c>
    </row>
    <row r="55" spans="1:16" x14ac:dyDescent="0.25">
      <c r="A55">
        <v>2025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  <c r="M55" t="str">
        <f t="shared" si="0"/>
        <v>30-45</v>
      </c>
      <c r="N55" t="str">
        <f t="shared" si="1"/>
        <v>Medium</v>
      </c>
      <c r="O55" t="str">
        <f t="shared" si="2"/>
        <v>High Balance</v>
      </c>
      <c r="P55" t="str">
        <f t="shared" si="3"/>
        <v>Long-term</v>
      </c>
    </row>
    <row r="56" spans="1:16" x14ac:dyDescent="0.25">
      <c r="A56">
        <v>2025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  <c r="M56" t="str">
        <f t="shared" si="0"/>
        <v>30-45</v>
      </c>
      <c r="N56" t="str">
        <f t="shared" si="1"/>
        <v>Medium</v>
      </c>
      <c r="O56" t="str">
        <f t="shared" si="2"/>
        <v>Low Balance</v>
      </c>
      <c r="P56" t="str">
        <f t="shared" si="3"/>
        <v>New</v>
      </c>
    </row>
    <row r="57" spans="1:16" x14ac:dyDescent="0.25">
      <c r="A57">
        <v>2025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  <c r="M57" t="str">
        <f t="shared" si="0"/>
        <v>30-45</v>
      </c>
      <c r="N57" t="str">
        <f t="shared" si="1"/>
        <v>Medium</v>
      </c>
      <c r="O57" t="str">
        <f t="shared" si="2"/>
        <v>High Balance</v>
      </c>
      <c r="P57" t="str">
        <f t="shared" si="3"/>
        <v>New</v>
      </c>
    </row>
    <row r="58" spans="1:16" x14ac:dyDescent="0.25">
      <c r="A58">
        <v>2025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  <c r="M58" t="str">
        <f t="shared" si="0"/>
        <v>30-45</v>
      </c>
      <c r="N58" t="str">
        <f t="shared" si="1"/>
        <v>Medium</v>
      </c>
      <c r="O58" t="str">
        <f t="shared" si="2"/>
        <v>High Balance</v>
      </c>
      <c r="P58" t="str">
        <f t="shared" si="3"/>
        <v>Mid-term</v>
      </c>
    </row>
    <row r="59" spans="1:16" x14ac:dyDescent="0.25">
      <c r="A59">
        <v>2025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  <c r="M59" t="str">
        <f t="shared" si="0"/>
        <v>&lt;30</v>
      </c>
      <c r="N59" t="str">
        <f t="shared" si="1"/>
        <v>High</v>
      </c>
      <c r="O59" t="str">
        <f t="shared" si="2"/>
        <v>Low Balance</v>
      </c>
      <c r="P59" t="str">
        <f t="shared" si="3"/>
        <v>New</v>
      </c>
    </row>
    <row r="60" spans="1:16" x14ac:dyDescent="0.25">
      <c r="A60">
        <v>2025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  <c r="M60" t="str">
        <f t="shared" si="0"/>
        <v>60+</v>
      </c>
      <c r="N60" t="str">
        <f t="shared" si="1"/>
        <v>Medium</v>
      </c>
      <c r="O60" t="str">
        <f t="shared" si="2"/>
        <v>Zero Balance</v>
      </c>
      <c r="P60" t="str">
        <f t="shared" si="3"/>
        <v>Mid-term</v>
      </c>
    </row>
    <row r="61" spans="1:16" x14ac:dyDescent="0.25">
      <c r="A61">
        <v>2025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  <c r="M61" t="str">
        <f t="shared" si="0"/>
        <v>46-60</v>
      </c>
      <c r="N61" t="str">
        <f t="shared" si="1"/>
        <v>Medium</v>
      </c>
      <c r="O61" t="str">
        <f t="shared" si="2"/>
        <v>Low Balance</v>
      </c>
      <c r="P61" t="str">
        <f t="shared" si="3"/>
        <v>Mid-term</v>
      </c>
    </row>
    <row r="62" spans="1:16" x14ac:dyDescent="0.25">
      <c r="A62">
        <v>2025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  <c r="M62" t="str">
        <f t="shared" si="0"/>
        <v>30-45</v>
      </c>
      <c r="N62" t="str">
        <f t="shared" si="1"/>
        <v>High</v>
      </c>
      <c r="O62" t="str">
        <f t="shared" si="2"/>
        <v>High Balance</v>
      </c>
      <c r="P62" t="str">
        <f t="shared" si="3"/>
        <v>Mid-term</v>
      </c>
    </row>
    <row r="63" spans="1:16" x14ac:dyDescent="0.25">
      <c r="A63">
        <v>2025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  <c r="M63" t="str">
        <f t="shared" si="0"/>
        <v>&lt;30</v>
      </c>
      <c r="N63" t="str">
        <f t="shared" si="1"/>
        <v>Medium</v>
      </c>
      <c r="O63" t="str">
        <f t="shared" si="2"/>
        <v>High Balance</v>
      </c>
      <c r="P63" t="str">
        <f t="shared" si="3"/>
        <v>Long-term</v>
      </c>
    </row>
    <row r="64" spans="1:16" x14ac:dyDescent="0.25">
      <c r="A64">
        <v>2025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  <c r="M64" t="str">
        <f t="shared" si="0"/>
        <v>30-45</v>
      </c>
      <c r="N64" t="str">
        <f t="shared" si="1"/>
        <v>Medium</v>
      </c>
      <c r="O64" t="str">
        <f t="shared" si="2"/>
        <v>Low Balance</v>
      </c>
      <c r="P64" t="str">
        <f t="shared" si="3"/>
        <v>New</v>
      </c>
    </row>
    <row r="65" spans="1:16" x14ac:dyDescent="0.25">
      <c r="A65">
        <v>2025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  <c r="M65" t="str">
        <f t="shared" si="0"/>
        <v>46-60</v>
      </c>
      <c r="N65" t="str">
        <f t="shared" si="1"/>
        <v>Medium</v>
      </c>
      <c r="O65" t="str">
        <f t="shared" si="2"/>
        <v>Low Balance</v>
      </c>
      <c r="P65" t="str">
        <f t="shared" si="3"/>
        <v>Long-term</v>
      </c>
    </row>
    <row r="66" spans="1:16" x14ac:dyDescent="0.25">
      <c r="A66">
        <v>2025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  <c r="M66" t="str">
        <f t="shared" si="0"/>
        <v>&lt;30</v>
      </c>
      <c r="N66" t="str">
        <f t="shared" si="1"/>
        <v>Medium</v>
      </c>
      <c r="O66" t="str">
        <f t="shared" si="2"/>
        <v>High Balance</v>
      </c>
      <c r="P66" t="str">
        <f t="shared" si="3"/>
        <v>Mid-term</v>
      </c>
    </row>
    <row r="67" spans="1:16" x14ac:dyDescent="0.25">
      <c r="A67">
        <v>2025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  <c r="M67" t="str">
        <f t="shared" ref="M67:M130" si="4">IF(E67&lt;30,"&lt;30",IF(E67&lt;=45,"30-45",IF(E67&lt;=60,"46-60","60+")))</f>
        <v>30-45</v>
      </c>
      <c r="N67" t="str">
        <f t="shared" ref="N67:N130" si="5">IF(B67&lt;500,"Low",IF(B67&lt;700,"Medium","High"))</f>
        <v>High</v>
      </c>
      <c r="O67" t="str">
        <f t="shared" ref="O67:O130" si="6">IF(G67=0,"Zero Balance",IF(G67&lt;100000,"Low Balance","High Balance"))</f>
        <v>High Balance</v>
      </c>
      <c r="P67" t="str">
        <f t="shared" ref="P67:P130" si="7">IF(F67&lt;=3,"New",IF(F67&lt;=7,"Mid-term","Long-term"))</f>
        <v>Mid-term</v>
      </c>
    </row>
    <row r="68" spans="1:16" x14ac:dyDescent="0.25">
      <c r="A68">
        <v>2025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  <c r="M68" t="str">
        <f t="shared" si="4"/>
        <v>30-45</v>
      </c>
      <c r="N68" t="str">
        <f t="shared" si="5"/>
        <v>Medium</v>
      </c>
      <c r="O68" t="str">
        <f t="shared" si="6"/>
        <v>High Balance</v>
      </c>
      <c r="P68" t="str">
        <f t="shared" si="7"/>
        <v>New</v>
      </c>
    </row>
    <row r="69" spans="1:16" x14ac:dyDescent="0.25">
      <c r="A69">
        <v>2025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  <c r="M69" t="str">
        <f t="shared" si="4"/>
        <v>30-45</v>
      </c>
      <c r="N69" t="str">
        <f t="shared" si="5"/>
        <v>High</v>
      </c>
      <c r="O69" t="str">
        <f t="shared" si="6"/>
        <v>High Balance</v>
      </c>
      <c r="P69" t="str">
        <f t="shared" si="7"/>
        <v>Long-term</v>
      </c>
    </row>
    <row r="70" spans="1:16" x14ac:dyDescent="0.25">
      <c r="A70">
        <v>2025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  <c r="M70" t="str">
        <f t="shared" si="4"/>
        <v>30-45</v>
      </c>
      <c r="N70" t="str">
        <f t="shared" si="5"/>
        <v>Medium</v>
      </c>
      <c r="O70" t="str">
        <f t="shared" si="6"/>
        <v>High Balance</v>
      </c>
      <c r="P70" t="str">
        <f t="shared" si="7"/>
        <v>Mid-term</v>
      </c>
    </row>
    <row r="71" spans="1:16" x14ac:dyDescent="0.25">
      <c r="A71">
        <v>2025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  <c r="M71" t="str">
        <f t="shared" si="4"/>
        <v>&lt;30</v>
      </c>
      <c r="N71" t="str">
        <f t="shared" si="5"/>
        <v>Medium</v>
      </c>
      <c r="O71" t="str">
        <f t="shared" si="6"/>
        <v>Low Balance</v>
      </c>
      <c r="P71" t="str">
        <f t="shared" si="7"/>
        <v>Long-term</v>
      </c>
    </row>
    <row r="72" spans="1:16" x14ac:dyDescent="0.25">
      <c r="A72">
        <v>2025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  <c r="M72" t="str">
        <f t="shared" si="4"/>
        <v>46-60</v>
      </c>
      <c r="N72" t="str">
        <f t="shared" si="5"/>
        <v>High</v>
      </c>
      <c r="O72" t="str">
        <f t="shared" si="6"/>
        <v>High Balance</v>
      </c>
      <c r="P72" t="str">
        <f t="shared" si="7"/>
        <v>New</v>
      </c>
    </row>
    <row r="73" spans="1:16" x14ac:dyDescent="0.25">
      <c r="A73">
        <v>2025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  <c r="M73" t="str">
        <f t="shared" si="4"/>
        <v>&lt;30</v>
      </c>
      <c r="N73" t="str">
        <f t="shared" si="5"/>
        <v>High</v>
      </c>
      <c r="O73" t="str">
        <f t="shared" si="6"/>
        <v>Zero Balance</v>
      </c>
      <c r="P73" t="str">
        <f t="shared" si="7"/>
        <v>Mid-term</v>
      </c>
    </row>
    <row r="74" spans="1:16" x14ac:dyDescent="0.25">
      <c r="A74">
        <v>2025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  <c r="M74" t="str">
        <f t="shared" si="4"/>
        <v>30-45</v>
      </c>
      <c r="N74" t="str">
        <f t="shared" si="5"/>
        <v>Medium</v>
      </c>
      <c r="O74" t="str">
        <f t="shared" si="6"/>
        <v>High Balance</v>
      </c>
      <c r="P74" t="str">
        <f t="shared" si="7"/>
        <v>New</v>
      </c>
    </row>
    <row r="75" spans="1:16" x14ac:dyDescent="0.25">
      <c r="A75">
        <v>2025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  <c r="M75" t="str">
        <f t="shared" si="4"/>
        <v>&lt;30</v>
      </c>
      <c r="N75" t="str">
        <f t="shared" si="5"/>
        <v>Medium</v>
      </c>
      <c r="O75" t="str">
        <f t="shared" si="6"/>
        <v>High Balance</v>
      </c>
      <c r="P75" t="str">
        <f t="shared" si="7"/>
        <v>Mid-term</v>
      </c>
    </row>
    <row r="76" spans="1:16" x14ac:dyDescent="0.25">
      <c r="A76">
        <v>2025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  <c r="M76" t="str">
        <f t="shared" si="4"/>
        <v>30-45</v>
      </c>
      <c r="N76" t="str">
        <f t="shared" si="5"/>
        <v>Medium</v>
      </c>
      <c r="O76" t="str">
        <f t="shared" si="6"/>
        <v>Zero Balance</v>
      </c>
      <c r="P76" t="str">
        <f t="shared" si="7"/>
        <v>Long-term</v>
      </c>
    </row>
    <row r="77" spans="1:16" x14ac:dyDescent="0.25">
      <c r="A77">
        <v>2025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  <c r="M77" t="str">
        <f t="shared" si="4"/>
        <v>&lt;30</v>
      </c>
      <c r="N77" t="str">
        <f t="shared" si="5"/>
        <v>High</v>
      </c>
      <c r="O77" t="str">
        <f t="shared" si="6"/>
        <v>High Balance</v>
      </c>
      <c r="P77" t="str">
        <f t="shared" si="7"/>
        <v>New</v>
      </c>
    </row>
    <row r="78" spans="1:16" x14ac:dyDescent="0.25">
      <c r="A78">
        <v>2025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  <c r="M78" t="str">
        <f t="shared" si="4"/>
        <v>46-60</v>
      </c>
      <c r="N78" t="str">
        <f t="shared" si="5"/>
        <v>Medium</v>
      </c>
      <c r="O78" t="str">
        <f t="shared" si="6"/>
        <v>Zero Balance</v>
      </c>
      <c r="P78" t="str">
        <f t="shared" si="7"/>
        <v>Long-term</v>
      </c>
    </row>
    <row r="79" spans="1:16" x14ac:dyDescent="0.25">
      <c r="A79">
        <v>2025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  <c r="M79" t="str">
        <f t="shared" si="4"/>
        <v>30-45</v>
      </c>
      <c r="N79" t="str">
        <f t="shared" si="5"/>
        <v>Medium</v>
      </c>
      <c r="O79" t="str">
        <f t="shared" si="6"/>
        <v>Zero Balance</v>
      </c>
      <c r="P79" t="str">
        <f t="shared" si="7"/>
        <v>Long-term</v>
      </c>
    </row>
    <row r="80" spans="1:16" x14ac:dyDescent="0.25">
      <c r="A80">
        <v>2025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  <c r="M80" t="str">
        <f t="shared" si="4"/>
        <v>30-45</v>
      </c>
      <c r="N80" t="str">
        <f t="shared" si="5"/>
        <v>High</v>
      </c>
      <c r="O80" t="str">
        <f t="shared" si="6"/>
        <v>Low Balance</v>
      </c>
      <c r="P80" t="str">
        <f t="shared" si="7"/>
        <v>Mid-term</v>
      </c>
    </row>
    <row r="81" spans="1:16" x14ac:dyDescent="0.25">
      <c r="A81">
        <v>2025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  <c r="M81" t="str">
        <f t="shared" si="4"/>
        <v>30-45</v>
      </c>
      <c r="N81" t="str">
        <f t="shared" si="5"/>
        <v>Low</v>
      </c>
      <c r="O81" t="str">
        <f t="shared" si="6"/>
        <v>High Balance</v>
      </c>
      <c r="P81" t="str">
        <f t="shared" si="7"/>
        <v>Long-term</v>
      </c>
    </row>
    <row r="82" spans="1:16" x14ac:dyDescent="0.25">
      <c r="A82">
        <v>2025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  <c r="M82" t="str">
        <f t="shared" si="4"/>
        <v>30-45</v>
      </c>
      <c r="N82" t="str">
        <f t="shared" si="5"/>
        <v>Medium</v>
      </c>
      <c r="O82" t="str">
        <f t="shared" si="6"/>
        <v>Low Balance</v>
      </c>
      <c r="P82" t="str">
        <f t="shared" si="7"/>
        <v>New</v>
      </c>
    </row>
    <row r="83" spans="1:16" x14ac:dyDescent="0.25">
      <c r="A83">
        <v>2025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  <c r="M83" t="str">
        <f t="shared" si="4"/>
        <v>30-45</v>
      </c>
      <c r="N83" t="str">
        <f t="shared" si="5"/>
        <v>High</v>
      </c>
      <c r="O83" t="str">
        <f t="shared" si="6"/>
        <v>Zero Balance</v>
      </c>
      <c r="P83" t="str">
        <f t="shared" si="7"/>
        <v>New</v>
      </c>
    </row>
    <row r="84" spans="1:16" x14ac:dyDescent="0.25">
      <c r="A84">
        <v>2025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  <c r="M84" t="str">
        <f t="shared" si="4"/>
        <v>30-45</v>
      </c>
      <c r="N84" t="str">
        <f t="shared" si="5"/>
        <v>Medium</v>
      </c>
      <c r="O84" t="str">
        <f t="shared" si="6"/>
        <v>Zero Balance</v>
      </c>
      <c r="P84" t="str">
        <f t="shared" si="7"/>
        <v>New</v>
      </c>
    </row>
    <row r="85" spans="1:16" x14ac:dyDescent="0.25">
      <c r="A85">
        <v>2025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  <c r="M85" t="str">
        <f t="shared" si="4"/>
        <v>30-45</v>
      </c>
      <c r="N85" t="str">
        <f t="shared" si="5"/>
        <v>Medium</v>
      </c>
      <c r="O85" t="str">
        <f t="shared" si="6"/>
        <v>Low Balance</v>
      </c>
      <c r="P85" t="str">
        <f t="shared" si="7"/>
        <v>Mid-term</v>
      </c>
    </row>
    <row r="86" spans="1:16" x14ac:dyDescent="0.25">
      <c r="A86">
        <v>2025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  <c r="M86" t="str">
        <f t="shared" si="4"/>
        <v>46-60</v>
      </c>
      <c r="N86" t="str">
        <f t="shared" si="5"/>
        <v>Low</v>
      </c>
      <c r="O86" t="str">
        <f t="shared" si="6"/>
        <v>Zero Balance</v>
      </c>
      <c r="P86" t="str">
        <f t="shared" si="7"/>
        <v>Mid-term</v>
      </c>
    </row>
    <row r="87" spans="1:16" x14ac:dyDescent="0.25">
      <c r="A87">
        <v>2025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  <c r="M87" t="str">
        <f t="shared" si="4"/>
        <v>60+</v>
      </c>
      <c r="N87" t="str">
        <f t="shared" si="5"/>
        <v>Medium</v>
      </c>
      <c r="O87" t="str">
        <f t="shared" si="6"/>
        <v>Zero Balance</v>
      </c>
      <c r="P87" t="str">
        <f t="shared" si="7"/>
        <v>Long-term</v>
      </c>
    </row>
    <row r="88" spans="1:16" x14ac:dyDescent="0.25">
      <c r="A88">
        <v>2025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  <c r="M88" t="str">
        <f t="shared" si="4"/>
        <v>&lt;30</v>
      </c>
      <c r="N88" t="str">
        <f t="shared" si="5"/>
        <v>High</v>
      </c>
      <c r="O88" t="str">
        <f t="shared" si="6"/>
        <v>High Balance</v>
      </c>
      <c r="P88" t="str">
        <f t="shared" si="7"/>
        <v>New</v>
      </c>
    </row>
    <row r="89" spans="1:16" x14ac:dyDescent="0.25">
      <c r="A89">
        <v>2025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  <c r="M89" t="str">
        <f t="shared" si="4"/>
        <v>30-45</v>
      </c>
      <c r="N89" t="str">
        <f t="shared" si="5"/>
        <v>High</v>
      </c>
      <c r="O89" t="str">
        <f t="shared" si="6"/>
        <v>Zero Balance</v>
      </c>
      <c r="P89" t="str">
        <f t="shared" si="7"/>
        <v>Long-term</v>
      </c>
    </row>
    <row r="90" spans="1:16" x14ac:dyDescent="0.25">
      <c r="A90">
        <v>2025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  <c r="M90" t="str">
        <f t="shared" si="4"/>
        <v>46-60</v>
      </c>
      <c r="N90" t="str">
        <f t="shared" si="5"/>
        <v>Medium</v>
      </c>
      <c r="O90" t="str">
        <f t="shared" si="6"/>
        <v>Zero Balance</v>
      </c>
      <c r="P90" t="str">
        <f t="shared" si="7"/>
        <v>Mid-term</v>
      </c>
    </row>
    <row r="91" spans="1:16" x14ac:dyDescent="0.25">
      <c r="A91">
        <v>2025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  <c r="M91" t="str">
        <f t="shared" si="4"/>
        <v>&lt;30</v>
      </c>
      <c r="N91" t="str">
        <f t="shared" si="5"/>
        <v>Medium</v>
      </c>
      <c r="O91" t="str">
        <f t="shared" si="6"/>
        <v>Low Balance</v>
      </c>
      <c r="P91" t="str">
        <f t="shared" si="7"/>
        <v>New</v>
      </c>
    </row>
    <row r="92" spans="1:16" x14ac:dyDescent="0.25">
      <c r="A92">
        <v>2025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  <c r="M92" t="str">
        <f t="shared" si="4"/>
        <v>30-45</v>
      </c>
      <c r="N92" t="str">
        <f t="shared" si="5"/>
        <v>Medium</v>
      </c>
      <c r="O92" t="str">
        <f t="shared" si="6"/>
        <v>Zero Balance</v>
      </c>
      <c r="P92" t="str">
        <f t="shared" si="7"/>
        <v>Mid-term</v>
      </c>
    </row>
    <row r="93" spans="1:16" x14ac:dyDescent="0.25">
      <c r="A93">
        <v>2025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  <c r="M93" t="str">
        <f t="shared" si="4"/>
        <v>30-45</v>
      </c>
      <c r="N93" t="str">
        <f t="shared" si="5"/>
        <v>High</v>
      </c>
      <c r="O93" t="str">
        <f t="shared" si="6"/>
        <v>High Balance</v>
      </c>
      <c r="P93" t="str">
        <f t="shared" si="7"/>
        <v>Mid-term</v>
      </c>
    </row>
    <row r="94" spans="1:16" x14ac:dyDescent="0.25">
      <c r="A94">
        <v>2025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  <c r="M94" t="str">
        <f t="shared" si="4"/>
        <v>30-45</v>
      </c>
      <c r="N94" t="str">
        <f t="shared" si="5"/>
        <v>Medium</v>
      </c>
      <c r="O94" t="str">
        <f t="shared" si="6"/>
        <v>Zero Balance</v>
      </c>
      <c r="P94" t="str">
        <f t="shared" si="7"/>
        <v>Long-term</v>
      </c>
    </row>
    <row r="95" spans="1:16" x14ac:dyDescent="0.25">
      <c r="A95">
        <v>2025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  <c r="M95" t="str">
        <f t="shared" si="4"/>
        <v>&lt;30</v>
      </c>
      <c r="N95" t="str">
        <f t="shared" si="5"/>
        <v>High</v>
      </c>
      <c r="O95" t="str">
        <f t="shared" si="6"/>
        <v>Zero Balance</v>
      </c>
      <c r="P95" t="str">
        <f t="shared" si="7"/>
        <v>Long-term</v>
      </c>
    </row>
    <row r="96" spans="1:16" x14ac:dyDescent="0.25">
      <c r="A96">
        <v>2025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  <c r="M96" t="str">
        <f t="shared" si="4"/>
        <v>30-45</v>
      </c>
      <c r="N96" t="str">
        <f t="shared" si="5"/>
        <v>High</v>
      </c>
      <c r="O96" t="str">
        <f t="shared" si="6"/>
        <v>Zero Balance</v>
      </c>
      <c r="P96" t="str">
        <f t="shared" si="7"/>
        <v>Mid-term</v>
      </c>
    </row>
    <row r="97" spans="1:16" x14ac:dyDescent="0.25">
      <c r="A97">
        <v>2025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  <c r="M97" t="str">
        <f t="shared" si="4"/>
        <v>30-45</v>
      </c>
      <c r="N97" t="str">
        <f t="shared" si="5"/>
        <v>Medium</v>
      </c>
      <c r="O97" t="str">
        <f t="shared" si="6"/>
        <v>High Balance</v>
      </c>
      <c r="P97" t="str">
        <f t="shared" si="7"/>
        <v>Long-term</v>
      </c>
    </row>
    <row r="98" spans="1:16" x14ac:dyDescent="0.25">
      <c r="A98">
        <v>2025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  <c r="M98" t="str">
        <f t="shared" si="4"/>
        <v>30-45</v>
      </c>
      <c r="N98" t="str">
        <f t="shared" si="5"/>
        <v>High</v>
      </c>
      <c r="O98" t="str">
        <f t="shared" si="6"/>
        <v>High Balance</v>
      </c>
      <c r="P98" t="str">
        <f t="shared" si="7"/>
        <v>Long-term</v>
      </c>
    </row>
    <row r="99" spans="1:16" x14ac:dyDescent="0.25">
      <c r="A99">
        <v>2025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  <c r="M99" t="str">
        <f t="shared" si="4"/>
        <v>&lt;30</v>
      </c>
      <c r="N99" t="str">
        <f t="shared" si="5"/>
        <v>High</v>
      </c>
      <c r="O99" t="str">
        <f t="shared" si="6"/>
        <v>Low Balance</v>
      </c>
      <c r="P99" t="str">
        <f t="shared" si="7"/>
        <v>Long-term</v>
      </c>
    </row>
    <row r="100" spans="1:16" x14ac:dyDescent="0.25">
      <c r="A100">
        <v>2025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  <c r="M100" t="str">
        <f t="shared" si="4"/>
        <v>&lt;30</v>
      </c>
      <c r="N100" t="str">
        <f t="shared" si="5"/>
        <v>High</v>
      </c>
      <c r="O100" t="str">
        <f t="shared" si="6"/>
        <v>Zero Balance</v>
      </c>
      <c r="P100" t="str">
        <f t="shared" si="7"/>
        <v>Long-term</v>
      </c>
    </row>
    <row r="101" spans="1:16" x14ac:dyDescent="0.25">
      <c r="A101">
        <v>2025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  <c r="M101" t="str">
        <f t="shared" si="4"/>
        <v>30-45</v>
      </c>
      <c r="N101" t="str">
        <f t="shared" si="5"/>
        <v>Low</v>
      </c>
      <c r="O101" t="str">
        <f t="shared" si="6"/>
        <v>Zero Balance</v>
      </c>
      <c r="P101" t="str">
        <f t="shared" si="7"/>
        <v>Long-term</v>
      </c>
    </row>
    <row r="102" spans="1:16" x14ac:dyDescent="0.25">
      <c r="A102">
        <v>2025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  <c r="M102" t="str">
        <f t="shared" si="4"/>
        <v>30-45</v>
      </c>
      <c r="N102" t="str">
        <f t="shared" si="5"/>
        <v>Medium</v>
      </c>
      <c r="O102" t="str">
        <f t="shared" si="6"/>
        <v>Zero Balance</v>
      </c>
      <c r="P102" t="str">
        <f t="shared" si="7"/>
        <v>Mid-term</v>
      </c>
    </row>
    <row r="103" spans="1:16" x14ac:dyDescent="0.25">
      <c r="A103">
        <v>2025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  <c r="M103" t="str">
        <f t="shared" si="4"/>
        <v>30-45</v>
      </c>
      <c r="N103" t="str">
        <f t="shared" si="5"/>
        <v>Medium</v>
      </c>
      <c r="O103" t="str">
        <f t="shared" si="6"/>
        <v>Zero Balance</v>
      </c>
      <c r="P103" t="str">
        <f t="shared" si="7"/>
        <v>Mid-term</v>
      </c>
    </row>
    <row r="104" spans="1:16" x14ac:dyDescent="0.25">
      <c r="A104">
        <v>2025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  <c r="M104" t="str">
        <f t="shared" si="4"/>
        <v>30-45</v>
      </c>
      <c r="N104" t="str">
        <f t="shared" si="5"/>
        <v>High</v>
      </c>
      <c r="O104" t="str">
        <f t="shared" si="6"/>
        <v>Low Balance</v>
      </c>
      <c r="P104" t="str">
        <f t="shared" si="7"/>
        <v>Long-term</v>
      </c>
    </row>
    <row r="105" spans="1:16" x14ac:dyDescent="0.25">
      <c r="A105">
        <v>2025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  <c r="M105" t="str">
        <f t="shared" si="4"/>
        <v>30-45</v>
      </c>
      <c r="N105" t="str">
        <f t="shared" si="5"/>
        <v>Medium</v>
      </c>
      <c r="O105" t="str">
        <f t="shared" si="6"/>
        <v>Zero Balance</v>
      </c>
      <c r="P105" t="str">
        <f t="shared" si="7"/>
        <v>Mid-term</v>
      </c>
    </row>
    <row r="106" spans="1:16" x14ac:dyDescent="0.25">
      <c r="A106">
        <v>2025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  <c r="M106" t="str">
        <f t="shared" si="4"/>
        <v>60+</v>
      </c>
      <c r="N106" t="str">
        <f t="shared" si="5"/>
        <v>Medium</v>
      </c>
      <c r="O106" t="str">
        <f t="shared" si="6"/>
        <v>Zero Balance</v>
      </c>
      <c r="P106" t="str">
        <f t="shared" si="7"/>
        <v>New</v>
      </c>
    </row>
    <row r="107" spans="1:16" x14ac:dyDescent="0.25">
      <c r="A107">
        <v>2025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  <c r="M107" t="str">
        <f t="shared" si="4"/>
        <v>46-60</v>
      </c>
      <c r="N107" t="str">
        <f t="shared" si="5"/>
        <v>Medium</v>
      </c>
      <c r="O107" t="str">
        <f t="shared" si="6"/>
        <v>High Balance</v>
      </c>
      <c r="P107" t="str">
        <f t="shared" si="7"/>
        <v>Mid-term</v>
      </c>
    </row>
    <row r="108" spans="1:16" x14ac:dyDescent="0.25">
      <c r="A108">
        <v>2025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  <c r="M108" t="str">
        <f t="shared" si="4"/>
        <v>30-45</v>
      </c>
      <c r="N108" t="str">
        <f t="shared" si="5"/>
        <v>Medium</v>
      </c>
      <c r="O108" t="str">
        <f t="shared" si="6"/>
        <v>Low Balance</v>
      </c>
      <c r="P108" t="str">
        <f t="shared" si="7"/>
        <v>New</v>
      </c>
    </row>
    <row r="109" spans="1:16" x14ac:dyDescent="0.25">
      <c r="A109">
        <v>2025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  <c r="M109" t="str">
        <f t="shared" si="4"/>
        <v>30-45</v>
      </c>
      <c r="N109" t="str">
        <f t="shared" si="5"/>
        <v>High</v>
      </c>
      <c r="O109" t="str">
        <f t="shared" si="6"/>
        <v>Low Balance</v>
      </c>
      <c r="P109" t="str">
        <f t="shared" si="7"/>
        <v>New</v>
      </c>
    </row>
    <row r="110" spans="1:16" x14ac:dyDescent="0.25">
      <c r="A110">
        <v>2025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  <c r="M110" t="str">
        <f t="shared" si="4"/>
        <v>30-45</v>
      </c>
      <c r="N110" t="str">
        <f t="shared" si="5"/>
        <v>Medium</v>
      </c>
      <c r="O110" t="str">
        <f t="shared" si="6"/>
        <v>High Balance</v>
      </c>
      <c r="P110" t="str">
        <f t="shared" si="7"/>
        <v>Mid-term</v>
      </c>
    </row>
    <row r="111" spans="1:16" x14ac:dyDescent="0.25">
      <c r="A111">
        <v>2025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  <c r="M111" t="str">
        <f t="shared" si="4"/>
        <v>30-45</v>
      </c>
      <c r="N111" t="str">
        <f t="shared" si="5"/>
        <v>Low</v>
      </c>
      <c r="O111" t="str">
        <f t="shared" si="6"/>
        <v>Low Balance</v>
      </c>
      <c r="P111" t="str">
        <f t="shared" si="7"/>
        <v>Long-term</v>
      </c>
    </row>
    <row r="112" spans="1:16" x14ac:dyDescent="0.25">
      <c r="A112">
        <v>2025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  <c r="M112" t="str">
        <f t="shared" si="4"/>
        <v>30-45</v>
      </c>
      <c r="N112" t="str">
        <f t="shared" si="5"/>
        <v>Medium</v>
      </c>
      <c r="O112" t="str">
        <f t="shared" si="6"/>
        <v>Low Balance</v>
      </c>
      <c r="P112" t="str">
        <f t="shared" si="7"/>
        <v>New</v>
      </c>
    </row>
    <row r="113" spans="1:16" x14ac:dyDescent="0.25">
      <c r="A113">
        <v>2025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  <c r="M113" t="str">
        <f t="shared" si="4"/>
        <v>30-45</v>
      </c>
      <c r="N113" t="str">
        <f t="shared" si="5"/>
        <v>Medium</v>
      </c>
      <c r="O113" t="str">
        <f t="shared" si="6"/>
        <v>High Balance</v>
      </c>
      <c r="P113" t="str">
        <f t="shared" si="7"/>
        <v>Mid-term</v>
      </c>
    </row>
    <row r="114" spans="1:16" x14ac:dyDescent="0.25">
      <c r="A114">
        <v>2025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  <c r="M114" t="str">
        <f t="shared" si="4"/>
        <v>30-45</v>
      </c>
      <c r="N114" t="str">
        <f t="shared" si="5"/>
        <v>Medium</v>
      </c>
      <c r="O114" t="str">
        <f t="shared" si="6"/>
        <v>High Balance</v>
      </c>
      <c r="P114" t="str">
        <f t="shared" si="7"/>
        <v>New</v>
      </c>
    </row>
    <row r="115" spans="1:16" x14ac:dyDescent="0.25">
      <c r="A115">
        <v>2025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  <c r="M115" t="str">
        <f t="shared" si="4"/>
        <v>30-45</v>
      </c>
      <c r="N115" t="str">
        <f t="shared" si="5"/>
        <v>Medium</v>
      </c>
      <c r="O115" t="str">
        <f t="shared" si="6"/>
        <v>High Balance</v>
      </c>
      <c r="P115" t="str">
        <f t="shared" si="7"/>
        <v>Long-term</v>
      </c>
    </row>
    <row r="116" spans="1:16" x14ac:dyDescent="0.25">
      <c r="A116">
        <v>2025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  <c r="M116" t="str">
        <f t="shared" si="4"/>
        <v>&lt;30</v>
      </c>
      <c r="N116" t="str">
        <f t="shared" si="5"/>
        <v>High</v>
      </c>
      <c r="O116" t="str">
        <f t="shared" si="6"/>
        <v>High Balance</v>
      </c>
      <c r="P116" t="str">
        <f t="shared" si="7"/>
        <v>Long-term</v>
      </c>
    </row>
    <row r="117" spans="1:16" x14ac:dyDescent="0.25">
      <c r="A117">
        <v>2025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  <c r="M117" t="str">
        <f t="shared" si="4"/>
        <v>30-45</v>
      </c>
      <c r="N117" t="str">
        <f t="shared" si="5"/>
        <v>Medium</v>
      </c>
      <c r="O117" t="str">
        <f t="shared" si="6"/>
        <v>High Balance</v>
      </c>
      <c r="P117" t="str">
        <f t="shared" si="7"/>
        <v>Long-term</v>
      </c>
    </row>
    <row r="118" spans="1:16" x14ac:dyDescent="0.25">
      <c r="A118">
        <v>2025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  <c r="M118" t="str">
        <f t="shared" si="4"/>
        <v>30-45</v>
      </c>
      <c r="N118" t="str">
        <f t="shared" si="5"/>
        <v>Medium</v>
      </c>
      <c r="O118" t="str">
        <f t="shared" si="6"/>
        <v>High Balance</v>
      </c>
      <c r="P118" t="str">
        <f t="shared" si="7"/>
        <v>Mid-term</v>
      </c>
    </row>
    <row r="119" spans="1:16" x14ac:dyDescent="0.25">
      <c r="A119">
        <v>2025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  <c r="M119" t="str">
        <f t="shared" si="4"/>
        <v>30-45</v>
      </c>
      <c r="N119" t="str">
        <f t="shared" si="5"/>
        <v>Medium</v>
      </c>
      <c r="O119" t="str">
        <f t="shared" si="6"/>
        <v>Zero Balance</v>
      </c>
      <c r="P119" t="str">
        <f t="shared" si="7"/>
        <v>New</v>
      </c>
    </row>
    <row r="120" spans="1:16" x14ac:dyDescent="0.25">
      <c r="A120">
        <v>2025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  <c r="M120" t="str">
        <f t="shared" si="4"/>
        <v>30-45</v>
      </c>
      <c r="N120" t="str">
        <f t="shared" si="5"/>
        <v>Medium</v>
      </c>
      <c r="O120" t="str">
        <f t="shared" si="6"/>
        <v>High Balance</v>
      </c>
      <c r="P120" t="str">
        <f t="shared" si="7"/>
        <v>Long-term</v>
      </c>
    </row>
    <row r="121" spans="1:16" x14ac:dyDescent="0.25">
      <c r="A121">
        <v>2025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  <c r="M121" t="str">
        <f t="shared" si="4"/>
        <v>30-45</v>
      </c>
      <c r="N121" t="str">
        <f t="shared" si="5"/>
        <v>Medium</v>
      </c>
      <c r="O121" t="str">
        <f t="shared" si="6"/>
        <v>High Balance</v>
      </c>
      <c r="P121" t="str">
        <f t="shared" si="7"/>
        <v>Mid-term</v>
      </c>
    </row>
    <row r="122" spans="1:16" x14ac:dyDescent="0.25">
      <c r="A122">
        <v>2025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  <c r="M122" t="str">
        <f t="shared" si="4"/>
        <v>30-45</v>
      </c>
      <c r="N122" t="str">
        <f t="shared" si="5"/>
        <v>High</v>
      </c>
      <c r="O122" t="str">
        <f t="shared" si="6"/>
        <v>High Balance</v>
      </c>
      <c r="P122" t="str">
        <f t="shared" si="7"/>
        <v>Long-term</v>
      </c>
    </row>
    <row r="123" spans="1:16" x14ac:dyDescent="0.25">
      <c r="A123">
        <v>2025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  <c r="M123" t="str">
        <f t="shared" si="4"/>
        <v>30-45</v>
      </c>
      <c r="N123" t="str">
        <f t="shared" si="5"/>
        <v>Medium</v>
      </c>
      <c r="O123" t="str">
        <f t="shared" si="6"/>
        <v>High Balance</v>
      </c>
      <c r="P123" t="str">
        <f t="shared" si="7"/>
        <v>Mid-term</v>
      </c>
    </row>
    <row r="124" spans="1:16" x14ac:dyDescent="0.25">
      <c r="A124">
        <v>2025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  <c r="M124" t="str">
        <f t="shared" si="4"/>
        <v>30-45</v>
      </c>
      <c r="N124" t="str">
        <f t="shared" si="5"/>
        <v>Medium</v>
      </c>
      <c r="O124" t="str">
        <f t="shared" si="6"/>
        <v>Zero Balance</v>
      </c>
      <c r="P124" t="str">
        <f t="shared" si="7"/>
        <v>Mid-term</v>
      </c>
    </row>
    <row r="125" spans="1:16" x14ac:dyDescent="0.25">
      <c r="A125">
        <v>2025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  <c r="M125" t="str">
        <f t="shared" si="4"/>
        <v>46-60</v>
      </c>
      <c r="N125" t="str">
        <f t="shared" si="5"/>
        <v>Medium</v>
      </c>
      <c r="O125" t="str">
        <f t="shared" si="6"/>
        <v>High Balance</v>
      </c>
      <c r="P125" t="str">
        <f t="shared" si="7"/>
        <v>Long-term</v>
      </c>
    </row>
    <row r="126" spans="1:16" x14ac:dyDescent="0.25">
      <c r="A126">
        <v>2025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  <c r="M126" t="str">
        <f t="shared" si="4"/>
        <v>&lt;30</v>
      </c>
      <c r="N126" t="str">
        <f t="shared" si="5"/>
        <v>Medium</v>
      </c>
      <c r="O126" t="str">
        <f t="shared" si="6"/>
        <v>Zero Balance</v>
      </c>
      <c r="P126" t="str">
        <f t="shared" si="7"/>
        <v>New</v>
      </c>
    </row>
    <row r="127" spans="1:16" x14ac:dyDescent="0.25">
      <c r="A127">
        <v>2025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  <c r="M127" t="str">
        <f t="shared" si="4"/>
        <v>30-45</v>
      </c>
      <c r="N127" t="str">
        <f t="shared" si="5"/>
        <v>Low</v>
      </c>
      <c r="O127" t="str">
        <f t="shared" si="6"/>
        <v>High Balance</v>
      </c>
      <c r="P127" t="str">
        <f t="shared" si="7"/>
        <v>Long-term</v>
      </c>
    </row>
    <row r="128" spans="1:16" x14ac:dyDescent="0.25">
      <c r="A128">
        <v>2025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  <c r="M128" t="str">
        <f t="shared" si="4"/>
        <v>46-60</v>
      </c>
      <c r="N128" t="str">
        <f t="shared" si="5"/>
        <v>Medium</v>
      </c>
      <c r="O128" t="str">
        <f t="shared" si="6"/>
        <v>Zero Balance</v>
      </c>
      <c r="P128" t="str">
        <f t="shared" si="7"/>
        <v>New</v>
      </c>
    </row>
    <row r="129" spans="1:16" x14ac:dyDescent="0.25">
      <c r="A129">
        <v>2025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  <c r="M129" t="str">
        <f t="shared" si="4"/>
        <v>46-60</v>
      </c>
      <c r="N129" t="str">
        <f t="shared" si="5"/>
        <v>Medium</v>
      </c>
      <c r="O129" t="str">
        <f t="shared" si="6"/>
        <v>High Balance</v>
      </c>
      <c r="P129" t="str">
        <f t="shared" si="7"/>
        <v>New</v>
      </c>
    </row>
    <row r="130" spans="1:16" x14ac:dyDescent="0.25">
      <c r="A130">
        <v>2025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  <c r="M130" t="str">
        <f t="shared" si="4"/>
        <v>30-45</v>
      </c>
      <c r="N130" t="str">
        <f t="shared" si="5"/>
        <v>High</v>
      </c>
      <c r="O130" t="str">
        <f t="shared" si="6"/>
        <v>Zero Balance</v>
      </c>
      <c r="P130" t="str">
        <f t="shared" si="7"/>
        <v>Mid-term</v>
      </c>
    </row>
    <row r="131" spans="1:16" x14ac:dyDescent="0.25">
      <c r="A131">
        <v>2025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  <c r="M131" t="str">
        <f t="shared" ref="M131:M194" si="8">IF(E131&lt;30,"&lt;30",IF(E131&lt;=45,"30-45",IF(E131&lt;=60,"46-60","60+")))</f>
        <v>&lt;30</v>
      </c>
      <c r="N131" t="str">
        <f t="shared" ref="N131:N194" si="9">IF(B131&lt;500,"Low",IF(B131&lt;700,"Medium","High"))</f>
        <v>High</v>
      </c>
      <c r="O131" t="str">
        <f t="shared" ref="O131:O194" si="10">IF(G131=0,"Zero Balance",IF(G131&lt;100000,"Low Balance","High Balance"))</f>
        <v>High Balance</v>
      </c>
      <c r="P131" t="str">
        <f t="shared" ref="P131:P194" si="11">IF(F131&lt;=3,"New",IF(F131&lt;=7,"Mid-term","Long-term"))</f>
        <v>Long-term</v>
      </c>
    </row>
    <row r="132" spans="1:16" x14ac:dyDescent="0.25">
      <c r="A132">
        <v>2025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  <c r="M132" t="str">
        <f t="shared" si="8"/>
        <v>30-45</v>
      </c>
      <c r="N132" t="str">
        <f t="shared" si="9"/>
        <v>High</v>
      </c>
      <c r="O132" t="str">
        <f t="shared" si="10"/>
        <v>Zero Balance</v>
      </c>
      <c r="P132" t="str">
        <f t="shared" si="11"/>
        <v>New</v>
      </c>
    </row>
    <row r="133" spans="1:16" x14ac:dyDescent="0.25">
      <c r="A133">
        <v>2025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  <c r="M133" t="str">
        <f t="shared" si="8"/>
        <v>30-45</v>
      </c>
      <c r="N133" t="str">
        <f t="shared" si="9"/>
        <v>High</v>
      </c>
      <c r="O133" t="str">
        <f t="shared" si="10"/>
        <v>High Balance</v>
      </c>
      <c r="P133" t="str">
        <f t="shared" si="11"/>
        <v>Long-term</v>
      </c>
    </row>
    <row r="134" spans="1:16" x14ac:dyDescent="0.25">
      <c r="A134">
        <v>2025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  <c r="M134" t="str">
        <f t="shared" si="8"/>
        <v>30-45</v>
      </c>
      <c r="N134" t="str">
        <f t="shared" si="9"/>
        <v>Medium</v>
      </c>
      <c r="O134" t="str">
        <f t="shared" si="10"/>
        <v>High Balance</v>
      </c>
      <c r="P134" t="str">
        <f t="shared" si="11"/>
        <v>Long-term</v>
      </c>
    </row>
    <row r="135" spans="1:16" x14ac:dyDescent="0.25">
      <c r="A135">
        <v>2025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  <c r="M135" t="str">
        <f t="shared" si="8"/>
        <v>&lt;30</v>
      </c>
      <c r="N135" t="str">
        <f t="shared" si="9"/>
        <v>Medium</v>
      </c>
      <c r="O135" t="str">
        <f t="shared" si="10"/>
        <v>Zero Balance</v>
      </c>
      <c r="P135" t="str">
        <f t="shared" si="11"/>
        <v>New</v>
      </c>
    </row>
    <row r="136" spans="1:16" x14ac:dyDescent="0.25">
      <c r="A136">
        <v>2025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  <c r="M136" t="str">
        <f t="shared" si="8"/>
        <v>30-45</v>
      </c>
      <c r="N136" t="str">
        <f t="shared" si="9"/>
        <v>High</v>
      </c>
      <c r="O136" t="str">
        <f t="shared" si="10"/>
        <v>High Balance</v>
      </c>
      <c r="P136" t="str">
        <f t="shared" si="11"/>
        <v>Mid-term</v>
      </c>
    </row>
    <row r="137" spans="1:16" x14ac:dyDescent="0.25">
      <c r="A137">
        <v>2025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  <c r="M137" t="str">
        <f t="shared" si="8"/>
        <v>46-60</v>
      </c>
      <c r="N137" t="str">
        <f t="shared" si="9"/>
        <v>Medium</v>
      </c>
      <c r="O137" t="str">
        <f t="shared" si="10"/>
        <v>High Balance</v>
      </c>
      <c r="P137" t="str">
        <f t="shared" si="11"/>
        <v>Mid-term</v>
      </c>
    </row>
    <row r="138" spans="1:16" x14ac:dyDescent="0.25">
      <c r="A138">
        <v>2025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  <c r="M138" t="str">
        <f t="shared" si="8"/>
        <v>30-45</v>
      </c>
      <c r="N138" t="str">
        <f t="shared" si="9"/>
        <v>Low</v>
      </c>
      <c r="O138" t="str">
        <f t="shared" si="10"/>
        <v>Low Balance</v>
      </c>
      <c r="P138" t="str">
        <f t="shared" si="11"/>
        <v>Mid-term</v>
      </c>
    </row>
    <row r="139" spans="1:16" x14ac:dyDescent="0.25">
      <c r="A139">
        <v>2025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  <c r="M139" t="str">
        <f t="shared" si="8"/>
        <v>30-45</v>
      </c>
      <c r="N139" t="str">
        <f t="shared" si="9"/>
        <v>Medium</v>
      </c>
      <c r="O139" t="str">
        <f t="shared" si="10"/>
        <v>High Balance</v>
      </c>
      <c r="P139" t="str">
        <f t="shared" si="11"/>
        <v>New</v>
      </c>
    </row>
    <row r="140" spans="1:16" x14ac:dyDescent="0.25">
      <c r="A140">
        <v>2025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  <c r="M140" t="str">
        <f t="shared" si="8"/>
        <v>46-60</v>
      </c>
      <c r="N140" t="str">
        <f t="shared" si="9"/>
        <v>Medium</v>
      </c>
      <c r="O140" t="str">
        <f t="shared" si="10"/>
        <v>High Balance</v>
      </c>
      <c r="P140" t="str">
        <f t="shared" si="11"/>
        <v>New</v>
      </c>
    </row>
    <row r="141" spans="1:16" x14ac:dyDescent="0.25">
      <c r="A141">
        <v>2025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  <c r="M141" t="str">
        <f t="shared" si="8"/>
        <v>30-45</v>
      </c>
      <c r="N141" t="str">
        <f t="shared" si="9"/>
        <v>Medium</v>
      </c>
      <c r="O141" t="str">
        <f t="shared" si="10"/>
        <v>High Balance</v>
      </c>
      <c r="P141" t="str">
        <f t="shared" si="11"/>
        <v>New</v>
      </c>
    </row>
    <row r="142" spans="1:16" x14ac:dyDescent="0.25">
      <c r="A142">
        <v>2025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  <c r="M142" t="str">
        <f t="shared" si="8"/>
        <v>30-45</v>
      </c>
      <c r="N142" t="str">
        <f t="shared" si="9"/>
        <v>High</v>
      </c>
      <c r="O142" t="str">
        <f t="shared" si="10"/>
        <v>High Balance</v>
      </c>
      <c r="P142" t="str">
        <f t="shared" si="11"/>
        <v>Long-term</v>
      </c>
    </row>
    <row r="143" spans="1:16" x14ac:dyDescent="0.25">
      <c r="A143">
        <v>2025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  <c r="M143" t="str">
        <f t="shared" si="8"/>
        <v>30-45</v>
      </c>
      <c r="N143" t="str">
        <f t="shared" si="9"/>
        <v>Medium</v>
      </c>
      <c r="O143" t="str">
        <f t="shared" si="10"/>
        <v>Zero Balance</v>
      </c>
      <c r="P143" t="str">
        <f t="shared" si="11"/>
        <v>Mid-term</v>
      </c>
    </row>
    <row r="144" spans="1:16" x14ac:dyDescent="0.25">
      <c r="A144">
        <v>2025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  <c r="M144" t="str">
        <f t="shared" si="8"/>
        <v>30-45</v>
      </c>
      <c r="N144" t="str">
        <f t="shared" si="9"/>
        <v>Medium</v>
      </c>
      <c r="O144" t="str">
        <f t="shared" si="10"/>
        <v>High Balance</v>
      </c>
      <c r="P144" t="str">
        <f t="shared" si="11"/>
        <v>Mid-term</v>
      </c>
    </row>
    <row r="145" spans="1:16" x14ac:dyDescent="0.25">
      <c r="A145">
        <v>2025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  <c r="M145" t="str">
        <f t="shared" si="8"/>
        <v>46-60</v>
      </c>
      <c r="N145" t="str">
        <f t="shared" si="9"/>
        <v>High</v>
      </c>
      <c r="O145" t="str">
        <f t="shared" si="10"/>
        <v>Zero Balance</v>
      </c>
      <c r="P145" t="str">
        <f t="shared" si="11"/>
        <v>New</v>
      </c>
    </row>
    <row r="146" spans="1:16" x14ac:dyDescent="0.25">
      <c r="A146">
        <v>2025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  <c r="M146" t="str">
        <f t="shared" si="8"/>
        <v>30-45</v>
      </c>
      <c r="N146" t="str">
        <f t="shared" si="9"/>
        <v>Medium</v>
      </c>
      <c r="O146" t="str">
        <f t="shared" si="10"/>
        <v>Low Balance</v>
      </c>
      <c r="P146" t="str">
        <f t="shared" si="11"/>
        <v>Mid-term</v>
      </c>
    </row>
    <row r="147" spans="1:16" x14ac:dyDescent="0.25">
      <c r="A147">
        <v>2025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  <c r="M147" t="str">
        <f t="shared" si="8"/>
        <v>&lt;30</v>
      </c>
      <c r="N147" t="str">
        <f t="shared" si="9"/>
        <v>Low</v>
      </c>
      <c r="O147" t="str">
        <f t="shared" si="10"/>
        <v>High Balance</v>
      </c>
      <c r="P147" t="str">
        <f t="shared" si="11"/>
        <v>Mid-term</v>
      </c>
    </row>
    <row r="148" spans="1:16" x14ac:dyDescent="0.25">
      <c r="A148">
        <v>2025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  <c r="M148" t="str">
        <f t="shared" si="8"/>
        <v>&lt;30</v>
      </c>
      <c r="N148" t="str">
        <f t="shared" si="9"/>
        <v>Medium</v>
      </c>
      <c r="O148" t="str">
        <f t="shared" si="10"/>
        <v>High Balance</v>
      </c>
      <c r="P148" t="str">
        <f t="shared" si="11"/>
        <v>Long-term</v>
      </c>
    </row>
    <row r="149" spans="1:16" x14ac:dyDescent="0.25">
      <c r="A149">
        <v>2025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  <c r="M149" t="str">
        <f t="shared" si="8"/>
        <v>30-45</v>
      </c>
      <c r="N149" t="str">
        <f t="shared" si="9"/>
        <v>Medium</v>
      </c>
      <c r="O149" t="str">
        <f t="shared" si="10"/>
        <v>High Balance</v>
      </c>
      <c r="P149" t="str">
        <f t="shared" si="11"/>
        <v>Mid-term</v>
      </c>
    </row>
    <row r="150" spans="1:16" x14ac:dyDescent="0.25">
      <c r="A150">
        <v>2025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  <c r="M150" t="str">
        <f t="shared" si="8"/>
        <v>30-45</v>
      </c>
      <c r="N150" t="str">
        <f t="shared" si="9"/>
        <v>High</v>
      </c>
      <c r="O150" t="str">
        <f t="shared" si="10"/>
        <v>High Balance</v>
      </c>
      <c r="P150" t="str">
        <f t="shared" si="11"/>
        <v>Long-term</v>
      </c>
    </row>
    <row r="151" spans="1:16" x14ac:dyDescent="0.25">
      <c r="A151">
        <v>2025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  <c r="M151" t="str">
        <f t="shared" si="8"/>
        <v>30-45</v>
      </c>
      <c r="N151" t="str">
        <f t="shared" si="9"/>
        <v>Low</v>
      </c>
      <c r="O151" t="str">
        <f t="shared" si="10"/>
        <v>Zero Balance</v>
      </c>
      <c r="P151" t="str">
        <f t="shared" si="11"/>
        <v>New</v>
      </c>
    </row>
    <row r="152" spans="1:16" x14ac:dyDescent="0.25">
      <c r="A152">
        <v>2025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  <c r="M152" t="str">
        <f t="shared" si="8"/>
        <v>30-45</v>
      </c>
      <c r="N152" t="str">
        <f t="shared" si="9"/>
        <v>High</v>
      </c>
      <c r="O152" t="str">
        <f t="shared" si="10"/>
        <v>Zero Balance</v>
      </c>
      <c r="P152" t="str">
        <f t="shared" si="11"/>
        <v>Mid-term</v>
      </c>
    </row>
    <row r="153" spans="1:16" x14ac:dyDescent="0.25">
      <c r="A153">
        <v>2025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  <c r="M153" t="str">
        <f t="shared" si="8"/>
        <v>46-60</v>
      </c>
      <c r="N153" t="str">
        <f t="shared" si="9"/>
        <v>Medium</v>
      </c>
      <c r="O153" t="str">
        <f t="shared" si="10"/>
        <v>Zero Balance</v>
      </c>
      <c r="P153" t="str">
        <f t="shared" si="11"/>
        <v>Long-term</v>
      </c>
    </row>
    <row r="154" spans="1:16" x14ac:dyDescent="0.25">
      <c r="A154">
        <v>2025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  <c r="M154" t="str">
        <f t="shared" si="8"/>
        <v>30-45</v>
      </c>
      <c r="N154" t="str">
        <f t="shared" si="9"/>
        <v>High</v>
      </c>
      <c r="O154" t="str">
        <f t="shared" si="10"/>
        <v>Zero Balance</v>
      </c>
      <c r="P154" t="str">
        <f t="shared" si="11"/>
        <v>Long-term</v>
      </c>
    </row>
    <row r="155" spans="1:16" x14ac:dyDescent="0.25">
      <c r="A155">
        <v>2025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  <c r="M155" t="str">
        <f t="shared" si="8"/>
        <v>30-45</v>
      </c>
      <c r="N155" t="str">
        <f t="shared" si="9"/>
        <v>Medium</v>
      </c>
      <c r="O155" t="str">
        <f t="shared" si="10"/>
        <v>High Balance</v>
      </c>
      <c r="P155" t="str">
        <f t="shared" si="11"/>
        <v>New</v>
      </c>
    </row>
    <row r="156" spans="1:16" x14ac:dyDescent="0.25">
      <c r="A156">
        <v>2025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  <c r="M156" t="str">
        <f t="shared" si="8"/>
        <v>30-45</v>
      </c>
      <c r="N156" t="str">
        <f t="shared" si="9"/>
        <v>Medium</v>
      </c>
      <c r="O156" t="str">
        <f t="shared" si="10"/>
        <v>Zero Balance</v>
      </c>
      <c r="P156" t="str">
        <f t="shared" si="11"/>
        <v>Mid-term</v>
      </c>
    </row>
    <row r="157" spans="1:16" x14ac:dyDescent="0.25">
      <c r="A157">
        <v>2025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  <c r="M157" t="str">
        <f t="shared" si="8"/>
        <v>46-60</v>
      </c>
      <c r="N157" t="str">
        <f t="shared" si="9"/>
        <v>High</v>
      </c>
      <c r="O157" t="str">
        <f t="shared" si="10"/>
        <v>Zero Balance</v>
      </c>
      <c r="P157" t="str">
        <f t="shared" si="11"/>
        <v>Mid-term</v>
      </c>
    </row>
    <row r="158" spans="1:16" x14ac:dyDescent="0.25">
      <c r="A158">
        <v>2025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  <c r="M158" t="str">
        <f t="shared" si="8"/>
        <v>30-45</v>
      </c>
      <c r="N158" t="str">
        <f t="shared" si="9"/>
        <v>High</v>
      </c>
      <c r="O158" t="str">
        <f t="shared" si="10"/>
        <v>Zero Balance</v>
      </c>
      <c r="P158" t="str">
        <f t="shared" si="11"/>
        <v>Mid-term</v>
      </c>
    </row>
    <row r="159" spans="1:16" x14ac:dyDescent="0.25">
      <c r="A159">
        <v>2025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  <c r="M159" t="str">
        <f t="shared" si="8"/>
        <v>&lt;30</v>
      </c>
      <c r="N159" t="str">
        <f t="shared" si="9"/>
        <v>Medium</v>
      </c>
      <c r="O159" t="str">
        <f t="shared" si="10"/>
        <v>Zero Balance</v>
      </c>
      <c r="P159" t="str">
        <f t="shared" si="11"/>
        <v>New</v>
      </c>
    </row>
    <row r="160" spans="1:16" x14ac:dyDescent="0.25">
      <c r="A160">
        <v>2025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  <c r="M160" t="str">
        <f t="shared" si="8"/>
        <v>60+</v>
      </c>
      <c r="N160" t="str">
        <f t="shared" si="9"/>
        <v>Medium</v>
      </c>
      <c r="O160" t="str">
        <f t="shared" si="10"/>
        <v>Low Balance</v>
      </c>
      <c r="P160" t="str">
        <f t="shared" si="11"/>
        <v>Mid-term</v>
      </c>
    </row>
    <row r="161" spans="1:16" x14ac:dyDescent="0.25">
      <c r="A161">
        <v>2025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  <c r="M161" t="str">
        <f t="shared" si="8"/>
        <v>30-45</v>
      </c>
      <c r="N161" t="str">
        <f t="shared" si="9"/>
        <v>Medium</v>
      </c>
      <c r="O161" t="str">
        <f t="shared" si="10"/>
        <v>High Balance</v>
      </c>
      <c r="P161" t="str">
        <f t="shared" si="11"/>
        <v>Mid-term</v>
      </c>
    </row>
    <row r="162" spans="1:16" x14ac:dyDescent="0.25">
      <c r="A162">
        <v>2025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  <c r="M162" t="str">
        <f t="shared" si="8"/>
        <v>&lt;30</v>
      </c>
      <c r="N162" t="str">
        <f t="shared" si="9"/>
        <v>High</v>
      </c>
      <c r="O162" t="str">
        <f t="shared" si="10"/>
        <v>High Balance</v>
      </c>
      <c r="P162" t="str">
        <f t="shared" si="11"/>
        <v>Mid-term</v>
      </c>
    </row>
    <row r="163" spans="1:16" x14ac:dyDescent="0.25">
      <c r="A163">
        <v>2025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  <c r="M163" t="str">
        <f t="shared" si="8"/>
        <v>30-45</v>
      </c>
      <c r="N163" t="str">
        <f t="shared" si="9"/>
        <v>Medium</v>
      </c>
      <c r="O163" t="str">
        <f t="shared" si="10"/>
        <v>Zero Balance</v>
      </c>
      <c r="P163" t="str">
        <f t="shared" si="11"/>
        <v>New</v>
      </c>
    </row>
    <row r="164" spans="1:16" x14ac:dyDescent="0.25">
      <c r="A164">
        <v>2025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  <c r="M164" t="str">
        <f t="shared" si="8"/>
        <v>46-60</v>
      </c>
      <c r="N164" t="str">
        <f t="shared" si="9"/>
        <v>High</v>
      </c>
      <c r="O164" t="str">
        <f t="shared" si="10"/>
        <v>High Balance</v>
      </c>
      <c r="P164" t="str">
        <f t="shared" si="11"/>
        <v>Mid-term</v>
      </c>
    </row>
    <row r="165" spans="1:16" x14ac:dyDescent="0.25">
      <c r="A165">
        <v>2025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  <c r="M165" t="str">
        <f t="shared" si="8"/>
        <v>30-45</v>
      </c>
      <c r="N165" t="str">
        <f t="shared" si="9"/>
        <v>High</v>
      </c>
      <c r="O165" t="str">
        <f t="shared" si="10"/>
        <v>Zero Balance</v>
      </c>
      <c r="P165" t="str">
        <f t="shared" si="11"/>
        <v>New</v>
      </c>
    </row>
    <row r="166" spans="1:16" x14ac:dyDescent="0.25">
      <c r="A166">
        <v>2025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  <c r="M166" t="str">
        <f t="shared" si="8"/>
        <v>&lt;30</v>
      </c>
      <c r="N166" t="str">
        <f t="shared" si="9"/>
        <v>Medium</v>
      </c>
      <c r="O166" t="str">
        <f t="shared" si="10"/>
        <v>High Balance</v>
      </c>
      <c r="P166" t="str">
        <f t="shared" si="11"/>
        <v>New</v>
      </c>
    </row>
    <row r="167" spans="1:16" x14ac:dyDescent="0.25">
      <c r="A167">
        <v>2025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  <c r="M167" t="str">
        <f t="shared" si="8"/>
        <v>30-45</v>
      </c>
      <c r="N167" t="str">
        <f t="shared" si="9"/>
        <v>Medium</v>
      </c>
      <c r="O167" t="str">
        <f t="shared" si="10"/>
        <v>High Balance</v>
      </c>
      <c r="P167" t="str">
        <f t="shared" si="11"/>
        <v>Long-term</v>
      </c>
    </row>
    <row r="168" spans="1:16" x14ac:dyDescent="0.25">
      <c r="A168">
        <v>2025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  <c r="M168" t="str">
        <f t="shared" si="8"/>
        <v>&lt;30</v>
      </c>
      <c r="N168" t="str">
        <f t="shared" si="9"/>
        <v>High</v>
      </c>
      <c r="O168" t="str">
        <f t="shared" si="10"/>
        <v>High Balance</v>
      </c>
      <c r="P168" t="str">
        <f t="shared" si="11"/>
        <v>Mid-term</v>
      </c>
    </row>
    <row r="169" spans="1:16" x14ac:dyDescent="0.25">
      <c r="A169">
        <v>2025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  <c r="M169" t="str">
        <f t="shared" si="8"/>
        <v>30-45</v>
      </c>
      <c r="N169" t="str">
        <f t="shared" si="9"/>
        <v>Medium</v>
      </c>
      <c r="O169" t="str">
        <f t="shared" si="10"/>
        <v>High Balance</v>
      </c>
      <c r="P169" t="str">
        <f t="shared" si="11"/>
        <v>Long-term</v>
      </c>
    </row>
    <row r="170" spans="1:16" x14ac:dyDescent="0.25">
      <c r="A170">
        <v>2025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  <c r="M170" t="str">
        <f t="shared" si="8"/>
        <v>30-45</v>
      </c>
      <c r="N170" t="str">
        <f t="shared" si="9"/>
        <v>Medium</v>
      </c>
      <c r="O170" t="str">
        <f t="shared" si="10"/>
        <v>Zero Balance</v>
      </c>
      <c r="P170" t="str">
        <f t="shared" si="11"/>
        <v>New</v>
      </c>
    </row>
    <row r="171" spans="1:16" x14ac:dyDescent="0.25">
      <c r="A171">
        <v>2025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  <c r="M171" t="str">
        <f t="shared" si="8"/>
        <v>&lt;30</v>
      </c>
      <c r="N171" t="str">
        <f t="shared" si="9"/>
        <v>Medium</v>
      </c>
      <c r="O171" t="str">
        <f t="shared" si="10"/>
        <v>Low Balance</v>
      </c>
      <c r="P171" t="str">
        <f t="shared" si="11"/>
        <v>Long-term</v>
      </c>
    </row>
    <row r="172" spans="1:16" x14ac:dyDescent="0.25">
      <c r="A172">
        <v>2025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  <c r="M172" t="str">
        <f t="shared" si="8"/>
        <v>&lt;30</v>
      </c>
      <c r="N172" t="str">
        <f t="shared" si="9"/>
        <v>Low</v>
      </c>
      <c r="O172" t="str">
        <f t="shared" si="10"/>
        <v>High Balance</v>
      </c>
      <c r="P172" t="str">
        <f t="shared" si="11"/>
        <v>Mid-term</v>
      </c>
    </row>
    <row r="173" spans="1:16" x14ac:dyDescent="0.25">
      <c r="A173">
        <v>2025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  <c r="M173" t="str">
        <f t="shared" si="8"/>
        <v>&lt;30</v>
      </c>
      <c r="N173" t="str">
        <f t="shared" si="9"/>
        <v>Medium</v>
      </c>
      <c r="O173" t="str">
        <f t="shared" si="10"/>
        <v>Low Balance</v>
      </c>
      <c r="P173" t="str">
        <f t="shared" si="11"/>
        <v>Mid-term</v>
      </c>
    </row>
    <row r="174" spans="1:16" x14ac:dyDescent="0.25">
      <c r="A174">
        <v>2025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  <c r="M174" t="str">
        <f t="shared" si="8"/>
        <v>30-45</v>
      </c>
      <c r="N174" t="str">
        <f t="shared" si="9"/>
        <v>Low</v>
      </c>
      <c r="O174" t="str">
        <f t="shared" si="10"/>
        <v>High Balance</v>
      </c>
      <c r="P174" t="str">
        <f t="shared" si="11"/>
        <v>Long-term</v>
      </c>
    </row>
    <row r="175" spans="1:16" x14ac:dyDescent="0.25">
      <c r="A175">
        <v>2025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  <c r="M175" t="str">
        <f t="shared" si="8"/>
        <v>30-45</v>
      </c>
      <c r="N175" t="str">
        <f t="shared" si="9"/>
        <v>Medium</v>
      </c>
      <c r="O175" t="str">
        <f t="shared" si="10"/>
        <v>High Balance</v>
      </c>
      <c r="P175" t="str">
        <f t="shared" si="11"/>
        <v>Mid-term</v>
      </c>
    </row>
    <row r="176" spans="1:16" x14ac:dyDescent="0.25">
      <c r="A176">
        <v>2025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  <c r="M176" t="str">
        <f t="shared" si="8"/>
        <v>30-45</v>
      </c>
      <c r="N176" t="str">
        <f t="shared" si="9"/>
        <v>Medium</v>
      </c>
      <c r="O176" t="str">
        <f t="shared" si="10"/>
        <v>Zero Balance</v>
      </c>
      <c r="P176" t="str">
        <f t="shared" si="11"/>
        <v>Mid-term</v>
      </c>
    </row>
    <row r="177" spans="1:16" x14ac:dyDescent="0.25">
      <c r="A177">
        <v>2025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  <c r="M177" t="str">
        <f t="shared" si="8"/>
        <v>30-45</v>
      </c>
      <c r="N177" t="str">
        <f t="shared" si="9"/>
        <v>Low</v>
      </c>
      <c r="O177" t="str">
        <f t="shared" si="10"/>
        <v>High Balance</v>
      </c>
      <c r="P177" t="str">
        <f t="shared" si="11"/>
        <v>Mid-term</v>
      </c>
    </row>
    <row r="178" spans="1:16" x14ac:dyDescent="0.25">
      <c r="A178">
        <v>2025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  <c r="M178" t="str">
        <f t="shared" si="8"/>
        <v>30-45</v>
      </c>
      <c r="N178" t="str">
        <f t="shared" si="9"/>
        <v>Medium</v>
      </c>
      <c r="O178" t="str">
        <f t="shared" si="10"/>
        <v>Zero Balance</v>
      </c>
      <c r="P178" t="str">
        <f t="shared" si="11"/>
        <v>New</v>
      </c>
    </row>
    <row r="179" spans="1:16" x14ac:dyDescent="0.25">
      <c r="A179">
        <v>2025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  <c r="M179" t="str">
        <f t="shared" si="8"/>
        <v>30-45</v>
      </c>
      <c r="N179" t="str">
        <f t="shared" si="9"/>
        <v>Medium</v>
      </c>
      <c r="O179" t="str">
        <f t="shared" si="10"/>
        <v>High Balance</v>
      </c>
      <c r="P179" t="str">
        <f t="shared" si="11"/>
        <v>Mid-term</v>
      </c>
    </row>
    <row r="180" spans="1:16" x14ac:dyDescent="0.25">
      <c r="A180">
        <v>2025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  <c r="M180" t="str">
        <f t="shared" si="8"/>
        <v>30-45</v>
      </c>
      <c r="N180" t="str">
        <f t="shared" si="9"/>
        <v>Medium</v>
      </c>
      <c r="O180" t="str">
        <f t="shared" si="10"/>
        <v>High Balance</v>
      </c>
      <c r="P180" t="str">
        <f t="shared" si="11"/>
        <v>Long-term</v>
      </c>
    </row>
    <row r="181" spans="1:16" x14ac:dyDescent="0.25">
      <c r="A181">
        <v>2025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  <c r="M181" t="str">
        <f t="shared" si="8"/>
        <v>46-60</v>
      </c>
      <c r="N181" t="str">
        <f t="shared" si="9"/>
        <v>High</v>
      </c>
      <c r="O181" t="str">
        <f t="shared" si="10"/>
        <v>High Balance</v>
      </c>
      <c r="P181" t="str">
        <f t="shared" si="11"/>
        <v>New</v>
      </c>
    </row>
    <row r="182" spans="1:16" x14ac:dyDescent="0.25">
      <c r="A182">
        <v>2025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  <c r="M182" t="str">
        <f t="shared" si="8"/>
        <v>30-45</v>
      </c>
      <c r="N182" t="str">
        <f t="shared" si="9"/>
        <v>High</v>
      </c>
      <c r="O182" t="str">
        <f t="shared" si="10"/>
        <v>High Balance</v>
      </c>
      <c r="P182" t="str">
        <f t="shared" si="11"/>
        <v>New</v>
      </c>
    </row>
    <row r="183" spans="1:16" x14ac:dyDescent="0.25">
      <c r="A183">
        <v>2025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  <c r="M183" t="str">
        <f t="shared" si="8"/>
        <v>60+</v>
      </c>
      <c r="N183" t="str">
        <f t="shared" si="9"/>
        <v>Medium</v>
      </c>
      <c r="O183" t="str">
        <f t="shared" si="10"/>
        <v>Zero Balance</v>
      </c>
      <c r="P183" t="str">
        <f t="shared" si="11"/>
        <v>New</v>
      </c>
    </row>
    <row r="184" spans="1:16" x14ac:dyDescent="0.25">
      <c r="A184">
        <v>2025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  <c r="M184" t="str">
        <f t="shared" si="8"/>
        <v>30-45</v>
      </c>
      <c r="N184" t="str">
        <f t="shared" si="9"/>
        <v>High</v>
      </c>
      <c r="O184" t="str">
        <f t="shared" si="10"/>
        <v>High Balance</v>
      </c>
      <c r="P184" t="str">
        <f t="shared" si="11"/>
        <v>New</v>
      </c>
    </row>
    <row r="185" spans="1:16" x14ac:dyDescent="0.25">
      <c r="A185">
        <v>2025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  <c r="M185" t="str">
        <f t="shared" si="8"/>
        <v>30-45</v>
      </c>
      <c r="N185" t="str">
        <f t="shared" si="9"/>
        <v>Medium</v>
      </c>
      <c r="O185" t="str">
        <f t="shared" si="10"/>
        <v>Zero Balance</v>
      </c>
      <c r="P185" t="str">
        <f t="shared" si="11"/>
        <v>New</v>
      </c>
    </row>
    <row r="186" spans="1:16" x14ac:dyDescent="0.25">
      <c r="A186">
        <v>2025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  <c r="M186" t="str">
        <f t="shared" si="8"/>
        <v>46-60</v>
      </c>
      <c r="N186" t="str">
        <f t="shared" si="9"/>
        <v>High</v>
      </c>
      <c r="O186" t="str">
        <f t="shared" si="10"/>
        <v>Zero Balance</v>
      </c>
      <c r="P186" t="str">
        <f t="shared" si="11"/>
        <v>Mid-term</v>
      </c>
    </row>
    <row r="187" spans="1:16" x14ac:dyDescent="0.25">
      <c r="A187">
        <v>2025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  <c r="M187" t="str">
        <f t="shared" si="8"/>
        <v>30-45</v>
      </c>
      <c r="N187" t="str">
        <f t="shared" si="9"/>
        <v>Medium</v>
      </c>
      <c r="O187" t="str">
        <f t="shared" si="10"/>
        <v>Zero Balance</v>
      </c>
      <c r="P187" t="str">
        <f t="shared" si="11"/>
        <v>Long-term</v>
      </c>
    </row>
    <row r="188" spans="1:16" x14ac:dyDescent="0.25">
      <c r="A188">
        <v>2025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  <c r="M188" t="str">
        <f t="shared" si="8"/>
        <v>30-45</v>
      </c>
      <c r="N188" t="str">
        <f t="shared" si="9"/>
        <v>High</v>
      </c>
      <c r="O188" t="str">
        <f t="shared" si="10"/>
        <v>Low Balance</v>
      </c>
      <c r="P188" t="str">
        <f t="shared" si="11"/>
        <v>New</v>
      </c>
    </row>
    <row r="189" spans="1:16" x14ac:dyDescent="0.25">
      <c r="A189">
        <v>2025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  <c r="M189" t="str">
        <f t="shared" si="8"/>
        <v>30-45</v>
      </c>
      <c r="N189" t="str">
        <f t="shared" si="9"/>
        <v>Medium</v>
      </c>
      <c r="O189" t="str">
        <f t="shared" si="10"/>
        <v>Zero Balance</v>
      </c>
      <c r="P189" t="str">
        <f t="shared" si="11"/>
        <v>New</v>
      </c>
    </row>
    <row r="190" spans="1:16" x14ac:dyDescent="0.25">
      <c r="A190">
        <v>2025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  <c r="M190" t="str">
        <f t="shared" si="8"/>
        <v>30-45</v>
      </c>
      <c r="N190" t="str">
        <f t="shared" si="9"/>
        <v>Medium</v>
      </c>
      <c r="O190" t="str">
        <f t="shared" si="10"/>
        <v>Zero Balance</v>
      </c>
      <c r="P190" t="str">
        <f t="shared" si="11"/>
        <v>Mid-term</v>
      </c>
    </row>
    <row r="191" spans="1:16" x14ac:dyDescent="0.25">
      <c r="A191">
        <v>2025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  <c r="M191" t="str">
        <f t="shared" si="8"/>
        <v>30-45</v>
      </c>
      <c r="N191" t="str">
        <f t="shared" si="9"/>
        <v>Medium</v>
      </c>
      <c r="O191" t="str">
        <f t="shared" si="10"/>
        <v>High Balance</v>
      </c>
      <c r="P191" t="str">
        <f t="shared" si="11"/>
        <v>Mid-term</v>
      </c>
    </row>
    <row r="192" spans="1:16" x14ac:dyDescent="0.25">
      <c r="A192">
        <v>2025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  <c r="M192" t="str">
        <f t="shared" si="8"/>
        <v>30-45</v>
      </c>
      <c r="N192" t="str">
        <f t="shared" si="9"/>
        <v>High</v>
      </c>
      <c r="O192" t="str">
        <f t="shared" si="10"/>
        <v>Low Balance</v>
      </c>
      <c r="P192" t="str">
        <f t="shared" si="11"/>
        <v>Long-term</v>
      </c>
    </row>
    <row r="193" spans="1:16" x14ac:dyDescent="0.25">
      <c r="A193">
        <v>2025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  <c r="M193" t="str">
        <f t="shared" si="8"/>
        <v>30-45</v>
      </c>
      <c r="N193" t="str">
        <f t="shared" si="9"/>
        <v>Medium</v>
      </c>
      <c r="O193" t="str">
        <f t="shared" si="10"/>
        <v>Low Balance</v>
      </c>
      <c r="P193" t="str">
        <f t="shared" si="11"/>
        <v>New</v>
      </c>
    </row>
    <row r="194" spans="1:16" x14ac:dyDescent="0.25">
      <c r="A194">
        <v>2025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  <c r="M194" t="str">
        <f t="shared" si="8"/>
        <v>30-45</v>
      </c>
      <c r="N194" t="str">
        <f t="shared" si="9"/>
        <v>Low</v>
      </c>
      <c r="O194" t="str">
        <f t="shared" si="10"/>
        <v>Zero Balance</v>
      </c>
      <c r="P194" t="str">
        <f t="shared" si="11"/>
        <v>New</v>
      </c>
    </row>
    <row r="195" spans="1:16" x14ac:dyDescent="0.25">
      <c r="A195">
        <v>2025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  <c r="M195" t="str">
        <f t="shared" ref="M195:M258" si="12">IF(E195&lt;30,"&lt;30",IF(E195&lt;=45,"30-45",IF(E195&lt;=60,"46-60","60+")))</f>
        <v>30-45</v>
      </c>
      <c r="N195" t="str">
        <f t="shared" ref="N195:N258" si="13">IF(B195&lt;500,"Low",IF(B195&lt;700,"Medium","High"))</f>
        <v>Medium</v>
      </c>
      <c r="O195" t="str">
        <f t="shared" ref="O195:O258" si="14">IF(G195=0,"Zero Balance",IF(G195&lt;100000,"Low Balance","High Balance"))</f>
        <v>Low Balance</v>
      </c>
      <c r="P195" t="str">
        <f t="shared" ref="P195:P258" si="15">IF(F195&lt;=3,"New",IF(F195&lt;=7,"Mid-term","Long-term"))</f>
        <v>Long-term</v>
      </c>
    </row>
    <row r="196" spans="1:16" x14ac:dyDescent="0.25">
      <c r="A196">
        <v>2025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  <c r="M196" t="str">
        <f t="shared" si="12"/>
        <v>&lt;30</v>
      </c>
      <c r="N196" t="str">
        <f t="shared" si="13"/>
        <v>Medium</v>
      </c>
      <c r="O196" t="str">
        <f t="shared" si="14"/>
        <v>Low Balance</v>
      </c>
      <c r="P196" t="str">
        <f t="shared" si="15"/>
        <v>Long-term</v>
      </c>
    </row>
    <row r="197" spans="1:16" x14ac:dyDescent="0.25">
      <c r="A197">
        <v>2025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  <c r="M197" t="str">
        <f t="shared" si="12"/>
        <v>30-45</v>
      </c>
      <c r="N197" t="str">
        <f t="shared" si="13"/>
        <v>High</v>
      </c>
      <c r="O197" t="str">
        <f t="shared" si="14"/>
        <v>High Balance</v>
      </c>
      <c r="P197" t="str">
        <f t="shared" si="15"/>
        <v>New</v>
      </c>
    </row>
    <row r="198" spans="1:16" x14ac:dyDescent="0.25">
      <c r="A198">
        <v>2025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  <c r="M198" t="str">
        <f t="shared" si="12"/>
        <v>30-45</v>
      </c>
      <c r="N198" t="str">
        <f t="shared" si="13"/>
        <v>Medium</v>
      </c>
      <c r="O198" t="str">
        <f t="shared" si="14"/>
        <v>Zero Balance</v>
      </c>
      <c r="P198" t="str">
        <f t="shared" si="15"/>
        <v>Mid-term</v>
      </c>
    </row>
    <row r="199" spans="1:16" x14ac:dyDescent="0.25">
      <c r="A199">
        <v>2025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  <c r="M199" t="str">
        <f t="shared" si="12"/>
        <v>30-45</v>
      </c>
      <c r="N199" t="str">
        <f t="shared" si="13"/>
        <v>High</v>
      </c>
      <c r="O199" t="str">
        <f t="shared" si="14"/>
        <v>High Balance</v>
      </c>
      <c r="P199" t="str">
        <f t="shared" si="15"/>
        <v>New</v>
      </c>
    </row>
    <row r="200" spans="1:16" x14ac:dyDescent="0.25">
      <c r="A200">
        <v>2025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  <c r="M200" t="str">
        <f t="shared" si="12"/>
        <v>46-60</v>
      </c>
      <c r="N200" t="str">
        <f t="shared" si="13"/>
        <v>Medium</v>
      </c>
      <c r="O200" t="str">
        <f t="shared" si="14"/>
        <v>Zero Balance</v>
      </c>
      <c r="P200" t="str">
        <f t="shared" si="15"/>
        <v>Long-term</v>
      </c>
    </row>
    <row r="201" spans="1:16" x14ac:dyDescent="0.25">
      <c r="A201">
        <v>2025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  <c r="M201" t="str">
        <f t="shared" si="12"/>
        <v>30-45</v>
      </c>
      <c r="N201" t="str">
        <f t="shared" si="13"/>
        <v>Medium</v>
      </c>
      <c r="O201" t="str">
        <f t="shared" si="14"/>
        <v>Low Balance</v>
      </c>
      <c r="P201" t="str">
        <f t="shared" si="15"/>
        <v>Mid-term</v>
      </c>
    </row>
    <row r="202" spans="1:16" x14ac:dyDescent="0.25">
      <c r="A202">
        <v>2025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  <c r="M202" t="str">
        <f t="shared" si="12"/>
        <v>30-45</v>
      </c>
      <c r="N202" t="str">
        <f t="shared" si="13"/>
        <v>High</v>
      </c>
      <c r="O202" t="str">
        <f t="shared" si="14"/>
        <v>High Balance</v>
      </c>
      <c r="P202" t="str">
        <f t="shared" si="15"/>
        <v>New</v>
      </c>
    </row>
    <row r="203" spans="1:16" x14ac:dyDescent="0.25">
      <c r="A203">
        <v>2025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  <c r="M203" t="str">
        <f t="shared" si="12"/>
        <v>30-45</v>
      </c>
      <c r="N203" t="str">
        <f t="shared" si="13"/>
        <v>High</v>
      </c>
      <c r="O203" t="str">
        <f t="shared" si="14"/>
        <v>High Balance</v>
      </c>
      <c r="P203" t="str">
        <f t="shared" si="15"/>
        <v>Mid-term</v>
      </c>
    </row>
    <row r="204" spans="1:16" x14ac:dyDescent="0.25">
      <c r="A204">
        <v>2025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  <c r="M204" t="str">
        <f t="shared" si="12"/>
        <v>46-60</v>
      </c>
      <c r="N204" t="str">
        <f t="shared" si="13"/>
        <v>Medium</v>
      </c>
      <c r="O204" t="str">
        <f t="shared" si="14"/>
        <v>Zero Balance</v>
      </c>
      <c r="P204" t="str">
        <f t="shared" si="15"/>
        <v>Mid-term</v>
      </c>
    </row>
    <row r="205" spans="1:16" x14ac:dyDescent="0.25">
      <c r="A205">
        <v>2025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  <c r="M205" t="str">
        <f t="shared" si="12"/>
        <v>30-45</v>
      </c>
      <c r="N205" t="str">
        <f t="shared" si="13"/>
        <v>High</v>
      </c>
      <c r="O205" t="str">
        <f t="shared" si="14"/>
        <v>High Balance</v>
      </c>
      <c r="P205" t="str">
        <f t="shared" si="15"/>
        <v>New</v>
      </c>
    </row>
    <row r="206" spans="1:16" x14ac:dyDescent="0.25">
      <c r="A206">
        <v>2025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  <c r="M206" t="str">
        <f t="shared" si="12"/>
        <v>30-45</v>
      </c>
      <c r="N206" t="str">
        <f t="shared" si="13"/>
        <v>Medium</v>
      </c>
      <c r="O206" t="str">
        <f t="shared" si="14"/>
        <v>High Balance</v>
      </c>
      <c r="P206" t="str">
        <f t="shared" si="15"/>
        <v>New</v>
      </c>
    </row>
    <row r="207" spans="1:16" x14ac:dyDescent="0.25">
      <c r="A207">
        <v>2025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  <c r="M207" t="str">
        <f t="shared" si="12"/>
        <v>30-45</v>
      </c>
      <c r="N207" t="str">
        <f t="shared" si="13"/>
        <v>Medium</v>
      </c>
      <c r="O207" t="str">
        <f t="shared" si="14"/>
        <v>Zero Balance</v>
      </c>
      <c r="P207" t="str">
        <f t="shared" si="15"/>
        <v>New</v>
      </c>
    </row>
    <row r="208" spans="1:16" x14ac:dyDescent="0.25">
      <c r="A208">
        <v>2025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  <c r="M208" t="str">
        <f t="shared" si="12"/>
        <v>30-45</v>
      </c>
      <c r="N208" t="str">
        <f t="shared" si="13"/>
        <v>Medium</v>
      </c>
      <c r="O208" t="str">
        <f t="shared" si="14"/>
        <v>Low Balance</v>
      </c>
      <c r="P208" t="str">
        <f t="shared" si="15"/>
        <v>New</v>
      </c>
    </row>
    <row r="209" spans="1:16" x14ac:dyDescent="0.25">
      <c r="A209">
        <v>2025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  <c r="M209" t="str">
        <f t="shared" si="12"/>
        <v>30-45</v>
      </c>
      <c r="N209" t="str">
        <f t="shared" si="13"/>
        <v>Medium</v>
      </c>
      <c r="O209" t="str">
        <f t="shared" si="14"/>
        <v>High Balance</v>
      </c>
      <c r="P209" t="str">
        <f t="shared" si="15"/>
        <v>Mid-term</v>
      </c>
    </row>
    <row r="210" spans="1:16" x14ac:dyDescent="0.25">
      <c r="A210">
        <v>2025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  <c r="M210" t="str">
        <f t="shared" si="12"/>
        <v>30-45</v>
      </c>
      <c r="N210" t="str">
        <f t="shared" si="13"/>
        <v>Medium</v>
      </c>
      <c r="O210" t="str">
        <f t="shared" si="14"/>
        <v>Zero Balance</v>
      </c>
      <c r="P210" t="str">
        <f t="shared" si="15"/>
        <v>Mid-term</v>
      </c>
    </row>
    <row r="211" spans="1:16" x14ac:dyDescent="0.25">
      <c r="A211">
        <v>2025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  <c r="M211" t="str">
        <f t="shared" si="12"/>
        <v>30-45</v>
      </c>
      <c r="N211" t="str">
        <f t="shared" si="13"/>
        <v>Medium</v>
      </c>
      <c r="O211" t="str">
        <f t="shared" si="14"/>
        <v>High Balance</v>
      </c>
      <c r="P211" t="str">
        <f t="shared" si="15"/>
        <v>New</v>
      </c>
    </row>
    <row r="212" spans="1:16" x14ac:dyDescent="0.25">
      <c r="A212">
        <v>2025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  <c r="M212" t="str">
        <f t="shared" si="12"/>
        <v>30-45</v>
      </c>
      <c r="N212" t="str">
        <f t="shared" si="13"/>
        <v>Medium</v>
      </c>
      <c r="O212" t="str">
        <f t="shared" si="14"/>
        <v>High Balance</v>
      </c>
      <c r="P212" t="str">
        <f t="shared" si="15"/>
        <v>New</v>
      </c>
    </row>
    <row r="213" spans="1:16" x14ac:dyDescent="0.25">
      <c r="A213">
        <v>2025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  <c r="M213" t="str">
        <f t="shared" si="12"/>
        <v>30-45</v>
      </c>
      <c r="N213" t="str">
        <f t="shared" si="13"/>
        <v>Medium</v>
      </c>
      <c r="O213" t="str">
        <f t="shared" si="14"/>
        <v>Zero Balance</v>
      </c>
      <c r="P213" t="str">
        <f t="shared" si="15"/>
        <v>Long-term</v>
      </c>
    </row>
    <row r="214" spans="1:16" x14ac:dyDescent="0.25">
      <c r="A214">
        <v>2025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  <c r="M214" t="str">
        <f t="shared" si="12"/>
        <v>30-45</v>
      </c>
      <c r="N214" t="str">
        <f t="shared" si="13"/>
        <v>Medium</v>
      </c>
      <c r="O214" t="str">
        <f t="shared" si="14"/>
        <v>Zero Balance</v>
      </c>
      <c r="P214" t="str">
        <f t="shared" si="15"/>
        <v>Long-term</v>
      </c>
    </row>
    <row r="215" spans="1:16" x14ac:dyDescent="0.25">
      <c r="A215">
        <v>2025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  <c r="M215" t="str">
        <f t="shared" si="12"/>
        <v>30-45</v>
      </c>
      <c r="N215" t="str">
        <f t="shared" si="13"/>
        <v>Medium</v>
      </c>
      <c r="O215" t="str">
        <f t="shared" si="14"/>
        <v>Low Balance</v>
      </c>
      <c r="P215" t="str">
        <f t="shared" si="15"/>
        <v>New</v>
      </c>
    </row>
    <row r="216" spans="1:16" x14ac:dyDescent="0.25">
      <c r="A216">
        <v>2025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  <c r="M216" t="str">
        <f t="shared" si="12"/>
        <v>&lt;30</v>
      </c>
      <c r="N216" t="str">
        <f t="shared" si="13"/>
        <v>Medium</v>
      </c>
      <c r="O216" t="str">
        <f t="shared" si="14"/>
        <v>High Balance</v>
      </c>
      <c r="P216" t="str">
        <f t="shared" si="15"/>
        <v>Mid-term</v>
      </c>
    </row>
    <row r="217" spans="1:16" x14ac:dyDescent="0.25">
      <c r="A217">
        <v>2025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  <c r="M217" t="str">
        <f t="shared" si="12"/>
        <v>46-60</v>
      </c>
      <c r="N217" t="str">
        <f t="shared" si="13"/>
        <v>Medium</v>
      </c>
      <c r="O217" t="str">
        <f t="shared" si="14"/>
        <v>High Balance</v>
      </c>
      <c r="P217" t="str">
        <f t="shared" si="15"/>
        <v>Mid-term</v>
      </c>
    </row>
    <row r="218" spans="1:16" x14ac:dyDescent="0.25">
      <c r="A218">
        <v>2025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  <c r="M218" t="str">
        <f t="shared" si="12"/>
        <v>46-60</v>
      </c>
      <c r="N218" t="str">
        <f t="shared" si="13"/>
        <v>Medium</v>
      </c>
      <c r="O218" t="str">
        <f t="shared" si="14"/>
        <v>Low Balance</v>
      </c>
      <c r="P218" t="str">
        <f t="shared" si="15"/>
        <v>Mid-term</v>
      </c>
    </row>
    <row r="219" spans="1:16" x14ac:dyDescent="0.25">
      <c r="A219">
        <v>2025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  <c r="M219" t="str">
        <f t="shared" si="12"/>
        <v>30-45</v>
      </c>
      <c r="N219" t="str">
        <f t="shared" si="13"/>
        <v>High</v>
      </c>
      <c r="O219" t="str">
        <f t="shared" si="14"/>
        <v>Zero Balance</v>
      </c>
      <c r="P219" t="str">
        <f t="shared" si="15"/>
        <v>Long-term</v>
      </c>
    </row>
    <row r="220" spans="1:16" x14ac:dyDescent="0.25">
      <c r="A220">
        <v>2025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  <c r="M220" t="str">
        <f t="shared" si="12"/>
        <v>30-45</v>
      </c>
      <c r="N220" t="str">
        <f t="shared" si="13"/>
        <v>High</v>
      </c>
      <c r="O220" t="str">
        <f t="shared" si="14"/>
        <v>High Balance</v>
      </c>
      <c r="P220" t="str">
        <f t="shared" si="15"/>
        <v>New</v>
      </c>
    </row>
    <row r="221" spans="1:16" x14ac:dyDescent="0.25">
      <c r="A221">
        <v>2025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  <c r="M221" t="str">
        <f t="shared" si="12"/>
        <v>46-60</v>
      </c>
      <c r="N221" t="str">
        <f t="shared" si="13"/>
        <v>Medium</v>
      </c>
      <c r="O221" t="str">
        <f t="shared" si="14"/>
        <v>Zero Balance</v>
      </c>
      <c r="P221" t="str">
        <f t="shared" si="15"/>
        <v>Long-term</v>
      </c>
    </row>
    <row r="222" spans="1:16" x14ac:dyDescent="0.25">
      <c r="A222">
        <v>2025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  <c r="M222" t="str">
        <f t="shared" si="12"/>
        <v>30-45</v>
      </c>
      <c r="N222" t="str">
        <f t="shared" si="13"/>
        <v>High</v>
      </c>
      <c r="O222" t="str">
        <f t="shared" si="14"/>
        <v>High Balance</v>
      </c>
      <c r="P222" t="str">
        <f t="shared" si="15"/>
        <v>Long-term</v>
      </c>
    </row>
    <row r="223" spans="1:16" x14ac:dyDescent="0.25">
      <c r="A223">
        <v>2025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  <c r="M223" t="str">
        <f t="shared" si="12"/>
        <v>30-45</v>
      </c>
      <c r="N223" t="str">
        <f t="shared" si="13"/>
        <v>Medium</v>
      </c>
      <c r="O223" t="str">
        <f t="shared" si="14"/>
        <v>Zero Balance</v>
      </c>
      <c r="P223" t="str">
        <f t="shared" si="15"/>
        <v>Mid-term</v>
      </c>
    </row>
    <row r="224" spans="1:16" x14ac:dyDescent="0.25">
      <c r="A224">
        <v>2025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  <c r="M224" t="str">
        <f t="shared" si="12"/>
        <v>30-45</v>
      </c>
      <c r="N224" t="str">
        <f t="shared" si="13"/>
        <v>Medium</v>
      </c>
      <c r="O224" t="str">
        <f t="shared" si="14"/>
        <v>Zero Balance</v>
      </c>
      <c r="P224" t="str">
        <f t="shared" si="15"/>
        <v>New</v>
      </c>
    </row>
    <row r="225" spans="1:16" x14ac:dyDescent="0.25">
      <c r="A225">
        <v>2025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  <c r="M225" t="str">
        <f t="shared" si="12"/>
        <v>30-45</v>
      </c>
      <c r="N225" t="str">
        <f t="shared" si="13"/>
        <v>High</v>
      </c>
      <c r="O225" t="str">
        <f t="shared" si="14"/>
        <v>Zero Balance</v>
      </c>
      <c r="P225" t="str">
        <f t="shared" si="15"/>
        <v>Long-term</v>
      </c>
    </row>
    <row r="226" spans="1:16" x14ac:dyDescent="0.25">
      <c r="A226">
        <v>2025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  <c r="M226" t="str">
        <f t="shared" si="12"/>
        <v>30-45</v>
      </c>
      <c r="N226" t="str">
        <f t="shared" si="13"/>
        <v>Medium</v>
      </c>
      <c r="O226" t="str">
        <f t="shared" si="14"/>
        <v>Low Balance</v>
      </c>
      <c r="P226" t="str">
        <f t="shared" si="15"/>
        <v>Mid-term</v>
      </c>
    </row>
    <row r="227" spans="1:16" x14ac:dyDescent="0.25">
      <c r="A227">
        <v>2025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  <c r="M227" t="str">
        <f t="shared" si="12"/>
        <v>30-45</v>
      </c>
      <c r="N227" t="str">
        <f t="shared" si="13"/>
        <v>Medium</v>
      </c>
      <c r="O227" t="str">
        <f t="shared" si="14"/>
        <v>High Balance</v>
      </c>
      <c r="P227" t="str">
        <f t="shared" si="15"/>
        <v>Mid-term</v>
      </c>
    </row>
    <row r="228" spans="1:16" x14ac:dyDescent="0.25">
      <c r="A228">
        <v>2025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  <c r="M228" t="str">
        <f t="shared" si="12"/>
        <v>30-45</v>
      </c>
      <c r="N228" t="str">
        <f t="shared" si="13"/>
        <v>Medium</v>
      </c>
      <c r="O228" t="str">
        <f t="shared" si="14"/>
        <v>Zero Balance</v>
      </c>
      <c r="P228" t="str">
        <f t="shared" si="15"/>
        <v>Long-term</v>
      </c>
    </row>
    <row r="229" spans="1:16" x14ac:dyDescent="0.25">
      <c r="A229">
        <v>2025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  <c r="M229" t="str">
        <f t="shared" si="12"/>
        <v>30-45</v>
      </c>
      <c r="N229" t="str">
        <f t="shared" si="13"/>
        <v>Medium</v>
      </c>
      <c r="O229" t="str">
        <f t="shared" si="14"/>
        <v>Low Balance</v>
      </c>
      <c r="P229" t="str">
        <f t="shared" si="15"/>
        <v>Mid-term</v>
      </c>
    </row>
    <row r="230" spans="1:16" x14ac:dyDescent="0.25">
      <c r="A230">
        <v>2025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  <c r="M230" t="str">
        <f t="shared" si="12"/>
        <v>46-60</v>
      </c>
      <c r="N230" t="str">
        <f t="shared" si="13"/>
        <v>High</v>
      </c>
      <c r="O230" t="str">
        <f t="shared" si="14"/>
        <v>Low Balance</v>
      </c>
      <c r="P230" t="str">
        <f t="shared" si="15"/>
        <v>New</v>
      </c>
    </row>
    <row r="231" spans="1:16" x14ac:dyDescent="0.25">
      <c r="A231">
        <v>2025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  <c r="M231" t="str">
        <f t="shared" si="12"/>
        <v>&lt;30</v>
      </c>
      <c r="N231" t="str">
        <f t="shared" si="13"/>
        <v>Medium</v>
      </c>
      <c r="O231" t="str">
        <f t="shared" si="14"/>
        <v>High Balance</v>
      </c>
      <c r="P231" t="str">
        <f t="shared" si="15"/>
        <v>New</v>
      </c>
    </row>
    <row r="232" spans="1:16" x14ac:dyDescent="0.25">
      <c r="A232">
        <v>2025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  <c r="M232" t="str">
        <f t="shared" si="12"/>
        <v>60+</v>
      </c>
      <c r="N232" t="str">
        <f t="shared" si="13"/>
        <v>Medium</v>
      </c>
      <c r="O232" t="str">
        <f t="shared" si="14"/>
        <v>Zero Balance</v>
      </c>
      <c r="P232" t="str">
        <f t="shared" si="15"/>
        <v>New</v>
      </c>
    </row>
    <row r="233" spans="1:16" x14ac:dyDescent="0.25">
      <c r="A233">
        <v>2025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  <c r="M233" t="str">
        <f t="shared" si="12"/>
        <v>30-45</v>
      </c>
      <c r="N233" t="str">
        <f t="shared" si="13"/>
        <v>Medium</v>
      </c>
      <c r="O233" t="str">
        <f t="shared" si="14"/>
        <v>Zero Balance</v>
      </c>
      <c r="P233" t="str">
        <f t="shared" si="15"/>
        <v>New</v>
      </c>
    </row>
    <row r="234" spans="1:16" x14ac:dyDescent="0.25">
      <c r="A234">
        <v>2025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  <c r="M234" t="str">
        <f t="shared" si="12"/>
        <v>30-45</v>
      </c>
      <c r="N234" t="str">
        <f t="shared" si="13"/>
        <v>Medium</v>
      </c>
      <c r="O234" t="str">
        <f t="shared" si="14"/>
        <v>Zero Balance</v>
      </c>
      <c r="P234" t="str">
        <f t="shared" si="15"/>
        <v>New</v>
      </c>
    </row>
    <row r="235" spans="1:16" x14ac:dyDescent="0.25">
      <c r="A235">
        <v>2025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  <c r="M235" t="str">
        <f t="shared" si="12"/>
        <v>&lt;30</v>
      </c>
      <c r="N235" t="str">
        <f t="shared" si="13"/>
        <v>High</v>
      </c>
      <c r="O235" t="str">
        <f t="shared" si="14"/>
        <v>High Balance</v>
      </c>
      <c r="P235" t="str">
        <f t="shared" si="15"/>
        <v>New</v>
      </c>
    </row>
    <row r="236" spans="1:16" x14ac:dyDescent="0.25">
      <c r="A236">
        <v>2025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  <c r="M236" t="str">
        <f t="shared" si="12"/>
        <v>60+</v>
      </c>
      <c r="N236" t="str">
        <f t="shared" si="13"/>
        <v>Medium</v>
      </c>
      <c r="O236" t="str">
        <f t="shared" si="14"/>
        <v>High Balance</v>
      </c>
      <c r="P236" t="str">
        <f t="shared" si="15"/>
        <v>Mid-term</v>
      </c>
    </row>
    <row r="237" spans="1:16" x14ac:dyDescent="0.25">
      <c r="A237">
        <v>2025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  <c r="M237" t="str">
        <f t="shared" si="12"/>
        <v>30-45</v>
      </c>
      <c r="N237" t="str">
        <f t="shared" si="13"/>
        <v>High</v>
      </c>
      <c r="O237" t="str">
        <f t="shared" si="14"/>
        <v>High Balance</v>
      </c>
      <c r="P237" t="str">
        <f t="shared" si="15"/>
        <v>Mid-term</v>
      </c>
    </row>
    <row r="238" spans="1:16" x14ac:dyDescent="0.25">
      <c r="A238">
        <v>2025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  <c r="M238" t="str">
        <f t="shared" si="12"/>
        <v>&lt;30</v>
      </c>
      <c r="N238" t="str">
        <f t="shared" si="13"/>
        <v>High</v>
      </c>
      <c r="O238" t="str">
        <f t="shared" si="14"/>
        <v>Zero Balance</v>
      </c>
      <c r="P238" t="str">
        <f t="shared" si="15"/>
        <v>New</v>
      </c>
    </row>
    <row r="239" spans="1:16" x14ac:dyDescent="0.25">
      <c r="A239">
        <v>2025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  <c r="M239" t="str">
        <f t="shared" si="12"/>
        <v>30-45</v>
      </c>
      <c r="N239" t="str">
        <f t="shared" si="13"/>
        <v>Medium</v>
      </c>
      <c r="O239" t="str">
        <f t="shared" si="14"/>
        <v>High Balance</v>
      </c>
      <c r="P239" t="str">
        <f t="shared" si="15"/>
        <v>New</v>
      </c>
    </row>
    <row r="240" spans="1:16" x14ac:dyDescent="0.25">
      <c r="A240">
        <v>2025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  <c r="M240" t="str">
        <f t="shared" si="12"/>
        <v>46-60</v>
      </c>
      <c r="N240" t="str">
        <f t="shared" si="13"/>
        <v>Medium</v>
      </c>
      <c r="O240" t="str">
        <f t="shared" si="14"/>
        <v>Zero Balance</v>
      </c>
      <c r="P240" t="str">
        <f t="shared" si="15"/>
        <v>New</v>
      </c>
    </row>
    <row r="241" spans="1:16" x14ac:dyDescent="0.25">
      <c r="A241">
        <v>2025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  <c r="M241" t="str">
        <f t="shared" si="12"/>
        <v>&lt;30</v>
      </c>
      <c r="N241" t="str">
        <f t="shared" si="13"/>
        <v>High</v>
      </c>
      <c r="O241" t="str">
        <f t="shared" si="14"/>
        <v>Low Balance</v>
      </c>
      <c r="P241" t="str">
        <f t="shared" si="15"/>
        <v>New</v>
      </c>
    </row>
    <row r="242" spans="1:16" x14ac:dyDescent="0.25">
      <c r="A242">
        <v>2025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  <c r="M242" t="str">
        <f t="shared" si="12"/>
        <v>30-45</v>
      </c>
      <c r="N242" t="str">
        <f t="shared" si="13"/>
        <v>Medium</v>
      </c>
      <c r="O242" t="str">
        <f t="shared" si="14"/>
        <v>Zero Balance</v>
      </c>
      <c r="P242" t="str">
        <f t="shared" si="15"/>
        <v>Mid-term</v>
      </c>
    </row>
    <row r="243" spans="1:16" x14ac:dyDescent="0.25">
      <c r="A243">
        <v>2025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  <c r="M243" t="str">
        <f t="shared" si="12"/>
        <v>30-45</v>
      </c>
      <c r="N243" t="str">
        <f t="shared" si="13"/>
        <v>High</v>
      </c>
      <c r="O243" t="str">
        <f t="shared" si="14"/>
        <v>High Balance</v>
      </c>
      <c r="P243" t="str">
        <f t="shared" si="15"/>
        <v>Mid-term</v>
      </c>
    </row>
    <row r="244" spans="1:16" x14ac:dyDescent="0.25">
      <c r="A244">
        <v>2025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  <c r="M244" t="str">
        <f t="shared" si="12"/>
        <v>30-45</v>
      </c>
      <c r="N244" t="str">
        <f t="shared" si="13"/>
        <v>High</v>
      </c>
      <c r="O244" t="str">
        <f t="shared" si="14"/>
        <v>High Balance</v>
      </c>
      <c r="P244" t="str">
        <f t="shared" si="15"/>
        <v>Long-term</v>
      </c>
    </row>
    <row r="245" spans="1:16" x14ac:dyDescent="0.25">
      <c r="A245">
        <v>2025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  <c r="M245" t="str">
        <f t="shared" si="12"/>
        <v>60+</v>
      </c>
      <c r="N245" t="str">
        <f t="shared" si="13"/>
        <v>Medium</v>
      </c>
      <c r="O245" t="str">
        <f t="shared" si="14"/>
        <v>High Balance</v>
      </c>
      <c r="P245" t="str">
        <f t="shared" si="15"/>
        <v>Mid-term</v>
      </c>
    </row>
    <row r="246" spans="1:16" x14ac:dyDescent="0.25">
      <c r="A246">
        <v>2025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  <c r="M246" t="str">
        <f t="shared" si="12"/>
        <v>30-45</v>
      </c>
      <c r="N246" t="str">
        <f t="shared" si="13"/>
        <v>Medium</v>
      </c>
      <c r="O246" t="str">
        <f t="shared" si="14"/>
        <v>Zero Balance</v>
      </c>
      <c r="P246" t="str">
        <f t="shared" si="15"/>
        <v>Mid-term</v>
      </c>
    </row>
    <row r="247" spans="1:16" x14ac:dyDescent="0.25">
      <c r="A247">
        <v>2025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  <c r="M247" t="str">
        <f t="shared" si="12"/>
        <v>30-45</v>
      </c>
      <c r="N247" t="str">
        <f t="shared" si="13"/>
        <v>Medium</v>
      </c>
      <c r="O247" t="str">
        <f t="shared" si="14"/>
        <v>High Balance</v>
      </c>
      <c r="P247" t="str">
        <f t="shared" si="15"/>
        <v>Long-term</v>
      </c>
    </row>
    <row r="248" spans="1:16" x14ac:dyDescent="0.25">
      <c r="A248">
        <v>2025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  <c r="M248" t="str">
        <f t="shared" si="12"/>
        <v>&lt;30</v>
      </c>
      <c r="N248" t="str">
        <f t="shared" si="13"/>
        <v>High</v>
      </c>
      <c r="O248" t="str">
        <f t="shared" si="14"/>
        <v>High Balance</v>
      </c>
      <c r="P248" t="str">
        <f t="shared" si="15"/>
        <v>Mid-term</v>
      </c>
    </row>
    <row r="249" spans="1:16" x14ac:dyDescent="0.25">
      <c r="A249">
        <v>2025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  <c r="M249" t="str">
        <f t="shared" si="12"/>
        <v>&lt;30</v>
      </c>
      <c r="N249" t="str">
        <f t="shared" si="13"/>
        <v>Medium</v>
      </c>
      <c r="O249" t="str">
        <f t="shared" si="14"/>
        <v>Zero Balance</v>
      </c>
      <c r="P249" t="str">
        <f t="shared" si="15"/>
        <v>New</v>
      </c>
    </row>
    <row r="250" spans="1:16" x14ac:dyDescent="0.25">
      <c r="A250">
        <v>2025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  <c r="M250" t="str">
        <f t="shared" si="12"/>
        <v>&lt;30</v>
      </c>
      <c r="N250" t="str">
        <f t="shared" si="13"/>
        <v>Medium</v>
      </c>
      <c r="O250" t="str">
        <f t="shared" si="14"/>
        <v>High Balance</v>
      </c>
      <c r="P250" t="str">
        <f t="shared" si="15"/>
        <v>Long-term</v>
      </c>
    </row>
    <row r="251" spans="1:16" x14ac:dyDescent="0.25">
      <c r="A251">
        <v>2025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  <c r="M251" t="str">
        <f t="shared" si="12"/>
        <v>46-60</v>
      </c>
      <c r="N251" t="str">
        <f t="shared" si="13"/>
        <v>High</v>
      </c>
      <c r="O251" t="str">
        <f t="shared" si="14"/>
        <v>High Balance</v>
      </c>
      <c r="P251" t="str">
        <f t="shared" si="15"/>
        <v>Long-term</v>
      </c>
    </row>
    <row r="252" spans="1:16" x14ac:dyDescent="0.25">
      <c r="A252">
        <v>2025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  <c r="M252" t="str">
        <f t="shared" si="12"/>
        <v>30-45</v>
      </c>
      <c r="N252" t="str">
        <f t="shared" si="13"/>
        <v>High</v>
      </c>
      <c r="O252" t="str">
        <f t="shared" si="14"/>
        <v>Low Balance</v>
      </c>
      <c r="P252" t="str">
        <f t="shared" si="15"/>
        <v>Mid-term</v>
      </c>
    </row>
    <row r="253" spans="1:16" x14ac:dyDescent="0.25">
      <c r="A253">
        <v>2025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  <c r="M253" t="str">
        <f t="shared" si="12"/>
        <v>30-45</v>
      </c>
      <c r="N253" t="str">
        <f t="shared" si="13"/>
        <v>Medium</v>
      </c>
      <c r="O253" t="str">
        <f t="shared" si="14"/>
        <v>Zero Balance</v>
      </c>
      <c r="P253" t="str">
        <f t="shared" si="15"/>
        <v>New</v>
      </c>
    </row>
    <row r="254" spans="1:16" x14ac:dyDescent="0.25">
      <c r="A254">
        <v>2025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  <c r="M254" t="str">
        <f t="shared" si="12"/>
        <v>60+</v>
      </c>
      <c r="N254" t="str">
        <f t="shared" si="13"/>
        <v>Medium</v>
      </c>
      <c r="O254" t="str">
        <f t="shared" si="14"/>
        <v>Zero Balance</v>
      </c>
      <c r="P254" t="str">
        <f t="shared" si="15"/>
        <v>New</v>
      </c>
    </row>
    <row r="255" spans="1:16" x14ac:dyDescent="0.25">
      <c r="A255">
        <v>2025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  <c r="M255" t="str">
        <f t="shared" si="12"/>
        <v>30-45</v>
      </c>
      <c r="N255" t="str">
        <f t="shared" si="13"/>
        <v>Medium</v>
      </c>
      <c r="O255" t="str">
        <f t="shared" si="14"/>
        <v>Low Balance</v>
      </c>
      <c r="P255" t="str">
        <f t="shared" si="15"/>
        <v>New</v>
      </c>
    </row>
    <row r="256" spans="1:16" x14ac:dyDescent="0.25">
      <c r="A256">
        <v>2025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  <c r="M256" t="str">
        <f t="shared" si="12"/>
        <v>&lt;30</v>
      </c>
      <c r="N256" t="str">
        <f t="shared" si="13"/>
        <v>Medium</v>
      </c>
      <c r="O256" t="str">
        <f t="shared" si="14"/>
        <v>Zero Balance</v>
      </c>
      <c r="P256" t="str">
        <f t="shared" si="15"/>
        <v>Long-term</v>
      </c>
    </row>
    <row r="257" spans="1:16" x14ac:dyDescent="0.25">
      <c r="A257">
        <v>2025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  <c r="M257" t="str">
        <f t="shared" si="12"/>
        <v>30-45</v>
      </c>
      <c r="N257" t="str">
        <f t="shared" si="13"/>
        <v>High</v>
      </c>
      <c r="O257" t="str">
        <f t="shared" si="14"/>
        <v>Zero Balance</v>
      </c>
      <c r="P257" t="str">
        <f t="shared" si="15"/>
        <v>New</v>
      </c>
    </row>
    <row r="258" spans="1:16" x14ac:dyDescent="0.25">
      <c r="A258">
        <v>2025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  <c r="M258" t="str">
        <f t="shared" si="12"/>
        <v>30-45</v>
      </c>
      <c r="N258" t="str">
        <f t="shared" si="13"/>
        <v>High</v>
      </c>
      <c r="O258" t="str">
        <f t="shared" si="14"/>
        <v>Zero Balance</v>
      </c>
      <c r="P258" t="str">
        <f t="shared" si="15"/>
        <v>Long-term</v>
      </c>
    </row>
    <row r="259" spans="1:16" x14ac:dyDescent="0.25">
      <c r="A259">
        <v>2025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  <c r="M259" t="str">
        <f t="shared" ref="M259:M322" si="16">IF(E259&lt;30,"&lt;30",IF(E259&lt;=45,"30-45",IF(E259&lt;=60,"46-60","60+")))</f>
        <v>30-45</v>
      </c>
      <c r="N259" t="str">
        <f t="shared" ref="N259:N322" si="17">IF(B259&lt;500,"Low",IF(B259&lt;700,"Medium","High"))</f>
        <v>Medium</v>
      </c>
      <c r="O259" t="str">
        <f t="shared" ref="O259:O322" si="18">IF(G259=0,"Zero Balance",IF(G259&lt;100000,"Low Balance","High Balance"))</f>
        <v>Low Balance</v>
      </c>
      <c r="P259" t="str">
        <f t="shared" ref="P259:P322" si="19">IF(F259&lt;=3,"New",IF(F259&lt;=7,"Mid-term","Long-term"))</f>
        <v>Mid-term</v>
      </c>
    </row>
    <row r="260" spans="1:16" x14ac:dyDescent="0.25">
      <c r="A260">
        <v>2025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  <c r="M260" t="str">
        <f t="shared" si="16"/>
        <v>30-45</v>
      </c>
      <c r="N260" t="str">
        <f t="shared" si="17"/>
        <v>Medium</v>
      </c>
      <c r="O260" t="str">
        <f t="shared" si="18"/>
        <v>High Balance</v>
      </c>
      <c r="P260" t="str">
        <f t="shared" si="19"/>
        <v>Mid-term</v>
      </c>
    </row>
    <row r="261" spans="1:16" x14ac:dyDescent="0.25">
      <c r="A261">
        <v>2025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  <c r="M261" t="str">
        <f t="shared" si="16"/>
        <v>30-45</v>
      </c>
      <c r="N261" t="str">
        <f t="shared" si="17"/>
        <v>High</v>
      </c>
      <c r="O261" t="str">
        <f t="shared" si="18"/>
        <v>Low Balance</v>
      </c>
      <c r="P261" t="str">
        <f t="shared" si="19"/>
        <v>New</v>
      </c>
    </row>
    <row r="262" spans="1:16" x14ac:dyDescent="0.25">
      <c r="A262">
        <v>2025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  <c r="M262" t="str">
        <f t="shared" si="16"/>
        <v>30-45</v>
      </c>
      <c r="N262" t="str">
        <f t="shared" si="17"/>
        <v>High</v>
      </c>
      <c r="O262" t="str">
        <f t="shared" si="18"/>
        <v>High Balance</v>
      </c>
      <c r="P262" t="str">
        <f t="shared" si="19"/>
        <v>Long-term</v>
      </c>
    </row>
    <row r="263" spans="1:16" x14ac:dyDescent="0.25">
      <c r="A263">
        <v>2025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  <c r="M263" t="str">
        <f t="shared" si="16"/>
        <v>46-60</v>
      </c>
      <c r="N263" t="str">
        <f t="shared" si="17"/>
        <v>High</v>
      </c>
      <c r="O263" t="str">
        <f t="shared" si="18"/>
        <v>Low Balance</v>
      </c>
      <c r="P263" t="str">
        <f t="shared" si="19"/>
        <v>Mid-term</v>
      </c>
    </row>
    <row r="264" spans="1:16" x14ac:dyDescent="0.25">
      <c r="A264">
        <v>2025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  <c r="M264" t="str">
        <f t="shared" si="16"/>
        <v>30-45</v>
      </c>
      <c r="N264" t="str">
        <f t="shared" si="17"/>
        <v>Medium</v>
      </c>
      <c r="O264" t="str">
        <f t="shared" si="18"/>
        <v>High Balance</v>
      </c>
      <c r="P264" t="str">
        <f t="shared" si="19"/>
        <v>Mid-term</v>
      </c>
    </row>
    <row r="265" spans="1:16" x14ac:dyDescent="0.25">
      <c r="A265">
        <v>2025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  <c r="M265" t="str">
        <f t="shared" si="16"/>
        <v>&lt;30</v>
      </c>
      <c r="N265" t="str">
        <f t="shared" si="17"/>
        <v>Medium</v>
      </c>
      <c r="O265" t="str">
        <f t="shared" si="18"/>
        <v>High Balance</v>
      </c>
      <c r="P265" t="str">
        <f t="shared" si="19"/>
        <v>New</v>
      </c>
    </row>
    <row r="266" spans="1:16" x14ac:dyDescent="0.25">
      <c r="A266">
        <v>2025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  <c r="M266" t="str">
        <f t="shared" si="16"/>
        <v>30-45</v>
      </c>
      <c r="N266" t="str">
        <f t="shared" si="17"/>
        <v>High</v>
      </c>
      <c r="O266" t="str">
        <f t="shared" si="18"/>
        <v>Low Balance</v>
      </c>
      <c r="P266" t="str">
        <f t="shared" si="19"/>
        <v>Long-term</v>
      </c>
    </row>
    <row r="267" spans="1:16" x14ac:dyDescent="0.25">
      <c r="A267">
        <v>2025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  <c r="M267" t="str">
        <f t="shared" si="16"/>
        <v>30-45</v>
      </c>
      <c r="N267" t="str">
        <f t="shared" si="17"/>
        <v>Medium</v>
      </c>
      <c r="O267" t="str">
        <f t="shared" si="18"/>
        <v>Low Balance</v>
      </c>
      <c r="P267" t="str">
        <f t="shared" si="19"/>
        <v>Long-term</v>
      </c>
    </row>
    <row r="268" spans="1:16" x14ac:dyDescent="0.25">
      <c r="A268">
        <v>2025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  <c r="M268" t="str">
        <f t="shared" si="16"/>
        <v>30-45</v>
      </c>
      <c r="N268" t="str">
        <f t="shared" si="17"/>
        <v>Low</v>
      </c>
      <c r="O268" t="str">
        <f t="shared" si="18"/>
        <v>Zero Balance</v>
      </c>
      <c r="P268" t="str">
        <f t="shared" si="19"/>
        <v>New</v>
      </c>
    </row>
    <row r="269" spans="1:16" x14ac:dyDescent="0.25">
      <c r="A269">
        <v>2025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  <c r="M269" t="str">
        <f t="shared" si="16"/>
        <v>30-45</v>
      </c>
      <c r="N269" t="str">
        <f t="shared" si="17"/>
        <v>Medium</v>
      </c>
      <c r="O269" t="str">
        <f t="shared" si="18"/>
        <v>Zero Balance</v>
      </c>
      <c r="P269" t="str">
        <f t="shared" si="19"/>
        <v>Mid-term</v>
      </c>
    </row>
    <row r="270" spans="1:16" x14ac:dyDescent="0.25">
      <c r="A270">
        <v>2025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  <c r="M270" t="str">
        <f t="shared" si="16"/>
        <v>30-45</v>
      </c>
      <c r="N270" t="str">
        <f t="shared" si="17"/>
        <v>Medium</v>
      </c>
      <c r="O270" t="str">
        <f t="shared" si="18"/>
        <v>Zero Balance</v>
      </c>
      <c r="P270" t="str">
        <f t="shared" si="19"/>
        <v>Mid-term</v>
      </c>
    </row>
    <row r="271" spans="1:16" x14ac:dyDescent="0.25">
      <c r="A271">
        <v>2025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  <c r="M271" t="str">
        <f t="shared" si="16"/>
        <v>30-45</v>
      </c>
      <c r="N271" t="str">
        <f t="shared" si="17"/>
        <v>High</v>
      </c>
      <c r="O271" t="str">
        <f t="shared" si="18"/>
        <v>Low Balance</v>
      </c>
      <c r="P271" t="str">
        <f t="shared" si="19"/>
        <v>Mid-term</v>
      </c>
    </row>
    <row r="272" spans="1:16" x14ac:dyDescent="0.25">
      <c r="A272">
        <v>2025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  <c r="M272" t="str">
        <f t="shared" si="16"/>
        <v>30-45</v>
      </c>
      <c r="N272" t="str">
        <f t="shared" si="17"/>
        <v>Medium</v>
      </c>
      <c r="O272" t="str">
        <f t="shared" si="18"/>
        <v>Zero Balance</v>
      </c>
      <c r="P272" t="str">
        <f t="shared" si="19"/>
        <v>Long-term</v>
      </c>
    </row>
    <row r="273" spans="1:16" x14ac:dyDescent="0.25">
      <c r="A273">
        <v>2025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  <c r="M273" t="str">
        <f t="shared" si="16"/>
        <v>30-45</v>
      </c>
      <c r="N273" t="str">
        <f t="shared" si="17"/>
        <v>High</v>
      </c>
      <c r="O273" t="str">
        <f t="shared" si="18"/>
        <v>High Balance</v>
      </c>
      <c r="P273" t="str">
        <f t="shared" si="19"/>
        <v>New</v>
      </c>
    </row>
    <row r="274" spans="1:16" x14ac:dyDescent="0.25">
      <c r="A274">
        <v>2025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  <c r="M274" t="str">
        <f t="shared" si="16"/>
        <v>30-45</v>
      </c>
      <c r="N274" t="str">
        <f t="shared" si="17"/>
        <v>High</v>
      </c>
      <c r="O274" t="str">
        <f t="shared" si="18"/>
        <v>High Balance</v>
      </c>
      <c r="P274" t="str">
        <f t="shared" si="19"/>
        <v>New</v>
      </c>
    </row>
    <row r="275" spans="1:16" x14ac:dyDescent="0.25">
      <c r="A275">
        <v>2025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  <c r="M275" t="str">
        <f t="shared" si="16"/>
        <v>30-45</v>
      </c>
      <c r="N275" t="str">
        <f t="shared" si="17"/>
        <v>High</v>
      </c>
      <c r="O275" t="str">
        <f t="shared" si="18"/>
        <v>Zero Balance</v>
      </c>
      <c r="P275" t="str">
        <f t="shared" si="19"/>
        <v>Long-term</v>
      </c>
    </row>
    <row r="276" spans="1:16" x14ac:dyDescent="0.25">
      <c r="A276">
        <v>2025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  <c r="M276" t="str">
        <f t="shared" si="16"/>
        <v>&lt;30</v>
      </c>
      <c r="N276" t="str">
        <f t="shared" si="17"/>
        <v>High</v>
      </c>
      <c r="O276" t="str">
        <f t="shared" si="18"/>
        <v>High Balance</v>
      </c>
      <c r="P276" t="str">
        <f t="shared" si="19"/>
        <v>Mid-term</v>
      </c>
    </row>
    <row r="277" spans="1:16" x14ac:dyDescent="0.25">
      <c r="A277">
        <v>2025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  <c r="M277" t="str">
        <f t="shared" si="16"/>
        <v>30-45</v>
      </c>
      <c r="N277" t="str">
        <f t="shared" si="17"/>
        <v>High</v>
      </c>
      <c r="O277" t="str">
        <f t="shared" si="18"/>
        <v>Zero Balance</v>
      </c>
      <c r="P277" t="str">
        <f t="shared" si="19"/>
        <v>Mid-term</v>
      </c>
    </row>
    <row r="278" spans="1:16" x14ac:dyDescent="0.25">
      <c r="A278">
        <v>2025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  <c r="M278" t="str">
        <f t="shared" si="16"/>
        <v>60+</v>
      </c>
      <c r="N278" t="str">
        <f t="shared" si="17"/>
        <v>High</v>
      </c>
      <c r="O278" t="str">
        <f t="shared" si="18"/>
        <v>Zero Balance</v>
      </c>
      <c r="P278" t="str">
        <f t="shared" si="19"/>
        <v>New</v>
      </c>
    </row>
    <row r="279" spans="1:16" x14ac:dyDescent="0.25">
      <c r="A279">
        <v>2025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  <c r="M279" t="str">
        <f t="shared" si="16"/>
        <v>46-60</v>
      </c>
      <c r="N279" t="str">
        <f t="shared" si="17"/>
        <v>High</v>
      </c>
      <c r="O279" t="str">
        <f t="shared" si="18"/>
        <v>Zero Balance</v>
      </c>
      <c r="P279" t="str">
        <f t="shared" si="19"/>
        <v>Long-term</v>
      </c>
    </row>
    <row r="280" spans="1:16" x14ac:dyDescent="0.25">
      <c r="A280">
        <v>2025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  <c r="M280" t="str">
        <f t="shared" si="16"/>
        <v>30-45</v>
      </c>
      <c r="N280" t="str">
        <f t="shared" si="17"/>
        <v>Medium</v>
      </c>
      <c r="O280" t="str">
        <f t="shared" si="18"/>
        <v>Low Balance</v>
      </c>
      <c r="P280" t="str">
        <f t="shared" si="19"/>
        <v>Mid-term</v>
      </c>
    </row>
    <row r="281" spans="1:16" x14ac:dyDescent="0.25">
      <c r="A281">
        <v>2025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  <c r="M281" t="str">
        <f t="shared" si="16"/>
        <v>46-60</v>
      </c>
      <c r="N281" t="str">
        <f t="shared" si="17"/>
        <v>High</v>
      </c>
      <c r="O281" t="str">
        <f t="shared" si="18"/>
        <v>Zero Balance</v>
      </c>
      <c r="P281" t="str">
        <f t="shared" si="19"/>
        <v>New</v>
      </c>
    </row>
    <row r="282" spans="1:16" x14ac:dyDescent="0.25">
      <c r="A282">
        <v>2025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  <c r="M282" t="str">
        <f t="shared" si="16"/>
        <v>30-45</v>
      </c>
      <c r="N282" t="str">
        <f t="shared" si="17"/>
        <v>High</v>
      </c>
      <c r="O282" t="str">
        <f t="shared" si="18"/>
        <v>Zero Balance</v>
      </c>
      <c r="P282" t="str">
        <f t="shared" si="19"/>
        <v>Long-term</v>
      </c>
    </row>
    <row r="283" spans="1:16" x14ac:dyDescent="0.25">
      <c r="A283">
        <v>2025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  <c r="M283" t="str">
        <f t="shared" si="16"/>
        <v>&lt;30</v>
      </c>
      <c r="N283" t="str">
        <f t="shared" si="17"/>
        <v>High</v>
      </c>
      <c r="O283" t="str">
        <f t="shared" si="18"/>
        <v>Zero Balance</v>
      </c>
      <c r="P283" t="str">
        <f t="shared" si="19"/>
        <v>Long-term</v>
      </c>
    </row>
    <row r="284" spans="1:16" x14ac:dyDescent="0.25">
      <c r="A284">
        <v>2025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  <c r="M284" t="str">
        <f t="shared" si="16"/>
        <v>30-45</v>
      </c>
      <c r="N284" t="str">
        <f t="shared" si="17"/>
        <v>Low</v>
      </c>
      <c r="O284" t="str">
        <f t="shared" si="18"/>
        <v>High Balance</v>
      </c>
      <c r="P284" t="str">
        <f t="shared" si="19"/>
        <v>Mid-term</v>
      </c>
    </row>
    <row r="285" spans="1:16" x14ac:dyDescent="0.25">
      <c r="A285">
        <v>2025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  <c r="M285" t="str">
        <f t="shared" si="16"/>
        <v>30-45</v>
      </c>
      <c r="N285" t="str">
        <f t="shared" si="17"/>
        <v>High</v>
      </c>
      <c r="O285" t="str">
        <f t="shared" si="18"/>
        <v>High Balance</v>
      </c>
      <c r="P285" t="str">
        <f t="shared" si="19"/>
        <v>Mid-term</v>
      </c>
    </row>
    <row r="286" spans="1:16" x14ac:dyDescent="0.25">
      <c r="A286">
        <v>2025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  <c r="M286" t="str">
        <f t="shared" si="16"/>
        <v>&lt;30</v>
      </c>
      <c r="N286" t="str">
        <f t="shared" si="17"/>
        <v>High</v>
      </c>
      <c r="O286" t="str">
        <f t="shared" si="18"/>
        <v>High Balance</v>
      </c>
      <c r="P286" t="str">
        <f t="shared" si="19"/>
        <v>Long-term</v>
      </c>
    </row>
    <row r="287" spans="1:16" x14ac:dyDescent="0.25">
      <c r="A287">
        <v>2025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  <c r="M287" t="str">
        <f t="shared" si="16"/>
        <v>30-45</v>
      </c>
      <c r="N287" t="str">
        <f t="shared" si="17"/>
        <v>Medium</v>
      </c>
      <c r="O287" t="str">
        <f t="shared" si="18"/>
        <v>High Balance</v>
      </c>
      <c r="P287" t="str">
        <f t="shared" si="19"/>
        <v>Mid-term</v>
      </c>
    </row>
    <row r="288" spans="1:16" x14ac:dyDescent="0.25">
      <c r="A288">
        <v>2025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  <c r="M288" t="str">
        <f t="shared" si="16"/>
        <v>&lt;30</v>
      </c>
      <c r="N288" t="str">
        <f t="shared" si="17"/>
        <v>Medium</v>
      </c>
      <c r="O288" t="str">
        <f t="shared" si="18"/>
        <v>High Balance</v>
      </c>
      <c r="P288" t="str">
        <f t="shared" si="19"/>
        <v>Mid-term</v>
      </c>
    </row>
    <row r="289" spans="1:16" x14ac:dyDescent="0.25">
      <c r="A289">
        <v>2025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  <c r="M289" t="str">
        <f t="shared" si="16"/>
        <v>30-45</v>
      </c>
      <c r="N289" t="str">
        <f t="shared" si="17"/>
        <v>Low</v>
      </c>
      <c r="O289" t="str">
        <f t="shared" si="18"/>
        <v>High Balance</v>
      </c>
      <c r="P289" t="str">
        <f t="shared" si="19"/>
        <v>Long-term</v>
      </c>
    </row>
    <row r="290" spans="1:16" x14ac:dyDescent="0.25">
      <c r="A290">
        <v>2025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  <c r="M290" t="str">
        <f t="shared" si="16"/>
        <v>&lt;30</v>
      </c>
      <c r="N290" t="str">
        <f t="shared" si="17"/>
        <v>High</v>
      </c>
      <c r="O290" t="str">
        <f t="shared" si="18"/>
        <v>High Balance</v>
      </c>
      <c r="P290" t="str">
        <f t="shared" si="19"/>
        <v>Mid-term</v>
      </c>
    </row>
    <row r="291" spans="1:16" x14ac:dyDescent="0.25">
      <c r="A291">
        <v>2025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  <c r="M291" t="str">
        <f t="shared" si="16"/>
        <v>30-45</v>
      </c>
      <c r="N291" t="str">
        <f t="shared" si="17"/>
        <v>Medium</v>
      </c>
      <c r="O291" t="str">
        <f t="shared" si="18"/>
        <v>Zero Balance</v>
      </c>
      <c r="P291" t="str">
        <f t="shared" si="19"/>
        <v>Long-term</v>
      </c>
    </row>
    <row r="292" spans="1:16" x14ac:dyDescent="0.25">
      <c r="A292">
        <v>2025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  <c r="M292" t="str">
        <f t="shared" si="16"/>
        <v>30-45</v>
      </c>
      <c r="N292" t="str">
        <f t="shared" si="17"/>
        <v>High</v>
      </c>
      <c r="O292" t="str">
        <f t="shared" si="18"/>
        <v>Low Balance</v>
      </c>
      <c r="P292" t="str">
        <f t="shared" si="19"/>
        <v>Long-term</v>
      </c>
    </row>
    <row r="293" spans="1:16" x14ac:dyDescent="0.25">
      <c r="A293">
        <v>2025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  <c r="M293" t="str">
        <f t="shared" si="16"/>
        <v>30-45</v>
      </c>
      <c r="N293" t="str">
        <f t="shared" si="17"/>
        <v>High</v>
      </c>
      <c r="O293" t="str">
        <f t="shared" si="18"/>
        <v>Low Balance</v>
      </c>
      <c r="P293" t="str">
        <f t="shared" si="19"/>
        <v>Mid-term</v>
      </c>
    </row>
    <row r="294" spans="1:16" x14ac:dyDescent="0.25">
      <c r="A294">
        <v>2025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  <c r="M294" t="str">
        <f t="shared" si="16"/>
        <v>&lt;30</v>
      </c>
      <c r="N294" t="str">
        <f t="shared" si="17"/>
        <v>Medium</v>
      </c>
      <c r="O294" t="str">
        <f t="shared" si="18"/>
        <v>Zero Balance</v>
      </c>
      <c r="P294" t="str">
        <f t="shared" si="19"/>
        <v>Mid-term</v>
      </c>
    </row>
    <row r="295" spans="1:16" x14ac:dyDescent="0.25">
      <c r="A295">
        <v>2025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  <c r="M295" t="str">
        <f t="shared" si="16"/>
        <v>30-45</v>
      </c>
      <c r="N295" t="str">
        <f t="shared" si="17"/>
        <v>High</v>
      </c>
      <c r="O295" t="str">
        <f t="shared" si="18"/>
        <v>High Balance</v>
      </c>
      <c r="P295" t="str">
        <f t="shared" si="19"/>
        <v>Long-term</v>
      </c>
    </row>
    <row r="296" spans="1:16" x14ac:dyDescent="0.25">
      <c r="A296">
        <v>2025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  <c r="M296" t="str">
        <f t="shared" si="16"/>
        <v>30-45</v>
      </c>
      <c r="N296" t="str">
        <f t="shared" si="17"/>
        <v>Medium</v>
      </c>
      <c r="O296" t="str">
        <f t="shared" si="18"/>
        <v>Zero Balance</v>
      </c>
      <c r="P296" t="str">
        <f t="shared" si="19"/>
        <v>New</v>
      </c>
    </row>
    <row r="297" spans="1:16" x14ac:dyDescent="0.25">
      <c r="A297">
        <v>2025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  <c r="M297" t="str">
        <f t="shared" si="16"/>
        <v>&lt;30</v>
      </c>
      <c r="N297" t="str">
        <f t="shared" si="17"/>
        <v>High</v>
      </c>
      <c r="O297" t="str">
        <f t="shared" si="18"/>
        <v>High Balance</v>
      </c>
      <c r="P297" t="str">
        <f t="shared" si="19"/>
        <v>New</v>
      </c>
    </row>
    <row r="298" spans="1:16" x14ac:dyDescent="0.25">
      <c r="A298">
        <v>2025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  <c r="M298" t="str">
        <f t="shared" si="16"/>
        <v>30-45</v>
      </c>
      <c r="N298" t="str">
        <f t="shared" si="17"/>
        <v>High</v>
      </c>
      <c r="O298" t="str">
        <f t="shared" si="18"/>
        <v>High Balance</v>
      </c>
      <c r="P298" t="str">
        <f t="shared" si="19"/>
        <v>Mid-term</v>
      </c>
    </row>
    <row r="299" spans="1:16" x14ac:dyDescent="0.25">
      <c r="A299">
        <v>2025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  <c r="M299" t="str">
        <f t="shared" si="16"/>
        <v>30-45</v>
      </c>
      <c r="N299" t="str">
        <f t="shared" si="17"/>
        <v>Medium</v>
      </c>
      <c r="O299" t="str">
        <f t="shared" si="18"/>
        <v>Zero Balance</v>
      </c>
      <c r="P299" t="str">
        <f t="shared" si="19"/>
        <v>Mid-term</v>
      </c>
    </row>
    <row r="300" spans="1:16" x14ac:dyDescent="0.25">
      <c r="A300">
        <v>2025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  <c r="M300" t="str">
        <f t="shared" si="16"/>
        <v>46-60</v>
      </c>
      <c r="N300" t="str">
        <f t="shared" si="17"/>
        <v>Medium</v>
      </c>
      <c r="O300" t="str">
        <f t="shared" si="18"/>
        <v>High Balance</v>
      </c>
      <c r="P300" t="str">
        <f t="shared" si="19"/>
        <v>New</v>
      </c>
    </row>
    <row r="301" spans="1:16" x14ac:dyDescent="0.25">
      <c r="A301">
        <v>2025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  <c r="M301" t="str">
        <f t="shared" si="16"/>
        <v>30-45</v>
      </c>
      <c r="N301" t="str">
        <f t="shared" si="17"/>
        <v>Medium</v>
      </c>
      <c r="O301" t="str">
        <f t="shared" si="18"/>
        <v>Zero Balance</v>
      </c>
      <c r="P301" t="str">
        <f t="shared" si="19"/>
        <v>Mid-term</v>
      </c>
    </row>
    <row r="302" spans="1:16" x14ac:dyDescent="0.25">
      <c r="A302">
        <v>2025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  <c r="M302" t="str">
        <f t="shared" si="16"/>
        <v>30-45</v>
      </c>
      <c r="N302" t="str">
        <f t="shared" si="17"/>
        <v>Medium</v>
      </c>
      <c r="O302" t="str">
        <f t="shared" si="18"/>
        <v>Zero Balance</v>
      </c>
      <c r="P302" t="str">
        <f t="shared" si="19"/>
        <v>Long-term</v>
      </c>
    </row>
    <row r="303" spans="1:16" x14ac:dyDescent="0.25">
      <c r="A303">
        <v>2025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  <c r="M303" t="str">
        <f t="shared" si="16"/>
        <v>30-45</v>
      </c>
      <c r="N303" t="str">
        <f t="shared" si="17"/>
        <v>Medium</v>
      </c>
      <c r="O303" t="str">
        <f t="shared" si="18"/>
        <v>High Balance</v>
      </c>
      <c r="P303" t="str">
        <f t="shared" si="19"/>
        <v>Mid-term</v>
      </c>
    </row>
    <row r="304" spans="1:16" x14ac:dyDescent="0.25">
      <c r="A304">
        <v>2025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  <c r="M304" t="str">
        <f t="shared" si="16"/>
        <v>30-45</v>
      </c>
      <c r="N304" t="str">
        <f t="shared" si="17"/>
        <v>Medium</v>
      </c>
      <c r="O304" t="str">
        <f t="shared" si="18"/>
        <v>Zero Balance</v>
      </c>
      <c r="P304" t="str">
        <f t="shared" si="19"/>
        <v>Long-term</v>
      </c>
    </row>
    <row r="305" spans="1:16" x14ac:dyDescent="0.25">
      <c r="A305">
        <v>2025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  <c r="M305" t="str">
        <f t="shared" si="16"/>
        <v>30-45</v>
      </c>
      <c r="N305" t="str">
        <f t="shared" si="17"/>
        <v>High</v>
      </c>
      <c r="O305" t="str">
        <f t="shared" si="18"/>
        <v>Zero Balance</v>
      </c>
      <c r="P305" t="str">
        <f t="shared" si="19"/>
        <v>Mid-term</v>
      </c>
    </row>
    <row r="306" spans="1:16" x14ac:dyDescent="0.25">
      <c r="A306">
        <v>2025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  <c r="M306" t="str">
        <f t="shared" si="16"/>
        <v>30-45</v>
      </c>
      <c r="N306" t="str">
        <f t="shared" si="17"/>
        <v>Medium</v>
      </c>
      <c r="O306" t="str">
        <f t="shared" si="18"/>
        <v>High Balance</v>
      </c>
      <c r="P306" t="str">
        <f t="shared" si="19"/>
        <v>Mid-term</v>
      </c>
    </row>
    <row r="307" spans="1:16" x14ac:dyDescent="0.25">
      <c r="A307">
        <v>2025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  <c r="M307" t="str">
        <f t="shared" si="16"/>
        <v>30-45</v>
      </c>
      <c r="N307" t="str">
        <f t="shared" si="17"/>
        <v>Medium</v>
      </c>
      <c r="O307" t="str">
        <f t="shared" si="18"/>
        <v>High Balance</v>
      </c>
      <c r="P307" t="str">
        <f t="shared" si="19"/>
        <v>New</v>
      </c>
    </row>
    <row r="308" spans="1:16" x14ac:dyDescent="0.25">
      <c r="A308">
        <v>2025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  <c r="M308" t="str">
        <f t="shared" si="16"/>
        <v>30-45</v>
      </c>
      <c r="N308" t="str">
        <f t="shared" si="17"/>
        <v>High</v>
      </c>
      <c r="O308" t="str">
        <f t="shared" si="18"/>
        <v>Zero Balance</v>
      </c>
      <c r="P308" t="str">
        <f t="shared" si="19"/>
        <v>New</v>
      </c>
    </row>
    <row r="309" spans="1:16" x14ac:dyDescent="0.25">
      <c r="A309">
        <v>2025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  <c r="M309" t="str">
        <f t="shared" si="16"/>
        <v>30-45</v>
      </c>
      <c r="N309" t="str">
        <f t="shared" si="17"/>
        <v>Medium</v>
      </c>
      <c r="O309" t="str">
        <f t="shared" si="18"/>
        <v>High Balance</v>
      </c>
      <c r="P309" t="str">
        <f t="shared" si="19"/>
        <v>Mid-term</v>
      </c>
    </row>
    <row r="310" spans="1:16" x14ac:dyDescent="0.25">
      <c r="A310">
        <v>2025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  <c r="M310" t="str">
        <f t="shared" si="16"/>
        <v>46-60</v>
      </c>
      <c r="N310" t="str">
        <f t="shared" si="17"/>
        <v>Medium</v>
      </c>
      <c r="O310" t="str">
        <f t="shared" si="18"/>
        <v>High Balance</v>
      </c>
      <c r="P310" t="str">
        <f t="shared" si="19"/>
        <v>Mid-term</v>
      </c>
    </row>
    <row r="311" spans="1:16" x14ac:dyDescent="0.25">
      <c r="A311">
        <v>2025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  <c r="M311" t="str">
        <f t="shared" si="16"/>
        <v>30-45</v>
      </c>
      <c r="N311" t="str">
        <f t="shared" si="17"/>
        <v>Low</v>
      </c>
      <c r="O311" t="str">
        <f t="shared" si="18"/>
        <v>Low Balance</v>
      </c>
      <c r="P311" t="str">
        <f t="shared" si="19"/>
        <v>Long-term</v>
      </c>
    </row>
    <row r="312" spans="1:16" x14ac:dyDescent="0.25">
      <c r="A312">
        <v>2025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  <c r="M312" t="str">
        <f t="shared" si="16"/>
        <v>60+</v>
      </c>
      <c r="N312" t="str">
        <f t="shared" si="17"/>
        <v>Medium</v>
      </c>
      <c r="O312" t="str">
        <f t="shared" si="18"/>
        <v>Zero Balance</v>
      </c>
      <c r="P312" t="str">
        <f t="shared" si="19"/>
        <v>Mid-term</v>
      </c>
    </row>
    <row r="313" spans="1:16" x14ac:dyDescent="0.25">
      <c r="A313">
        <v>2025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  <c r="M313" t="str">
        <f t="shared" si="16"/>
        <v>30-45</v>
      </c>
      <c r="N313" t="str">
        <f t="shared" si="17"/>
        <v>High</v>
      </c>
      <c r="O313" t="str">
        <f t="shared" si="18"/>
        <v>Low Balance</v>
      </c>
      <c r="P313" t="str">
        <f t="shared" si="19"/>
        <v>Mid-term</v>
      </c>
    </row>
    <row r="314" spans="1:16" x14ac:dyDescent="0.25">
      <c r="A314">
        <v>2025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  <c r="M314" t="str">
        <f t="shared" si="16"/>
        <v>30-45</v>
      </c>
      <c r="N314" t="str">
        <f t="shared" si="17"/>
        <v>Medium</v>
      </c>
      <c r="O314" t="str">
        <f t="shared" si="18"/>
        <v>Zero Balance</v>
      </c>
      <c r="P314" t="str">
        <f t="shared" si="19"/>
        <v>New</v>
      </c>
    </row>
    <row r="315" spans="1:16" x14ac:dyDescent="0.25">
      <c r="A315">
        <v>2025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  <c r="M315" t="str">
        <f t="shared" si="16"/>
        <v>46-60</v>
      </c>
      <c r="N315" t="str">
        <f t="shared" si="17"/>
        <v>High</v>
      </c>
      <c r="O315" t="str">
        <f t="shared" si="18"/>
        <v>High Balance</v>
      </c>
      <c r="P315" t="str">
        <f t="shared" si="19"/>
        <v>New</v>
      </c>
    </row>
    <row r="316" spans="1:16" x14ac:dyDescent="0.25">
      <c r="A316">
        <v>2025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  <c r="M316" t="str">
        <f t="shared" si="16"/>
        <v>30-45</v>
      </c>
      <c r="N316" t="str">
        <f t="shared" si="17"/>
        <v>High</v>
      </c>
      <c r="O316" t="str">
        <f t="shared" si="18"/>
        <v>High Balance</v>
      </c>
      <c r="P316" t="str">
        <f t="shared" si="19"/>
        <v>New</v>
      </c>
    </row>
    <row r="317" spans="1:16" x14ac:dyDescent="0.25">
      <c r="A317">
        <v>2025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  <c r="M317" t="str">
        <f t="shared" si="16"/>
        <v>30-45</v>
      </c>
      <c r="N317" t="str">
        <f t="shared" si="17"/>
        <v>Low</v>
      </c>
      <c r="O317" t="str">
        <f t="shared" si="18"/>
        <v>Zero Balance</v>
      </c>
      <c r="P317" t="str">
        <f t="shared" si="19"/>
        <v>New</v>
      </c>
    </row>
    <row r="318" spans="1:16" x14ac:dyDescent="0.25">
      <c r="A318">
        <v>2025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  <c r="M318" t="str">
        <f t="shared" si="16"/>
        <v>46-60</v>
      </c>
      <c r="N318" t="str">
        <f t="shared" si="17"/>
        <v>Medium</v>
      </c>
      <c r="O318" t="str">
        <f t="shared" si="18"/>
        <v>High Balance</v>
      </c>
      <c r="P318" t="str">
        <f t="shared" si="19"/>
        <v>New</v>
      </c>
    </row>
    <row r="319" spans="1:16" x14ac:dyDescent="0.25">
      <c r="A319">
        <v>2025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  <c r="M319" t="str">
        <f t="shared" si="16"/>
        <v>30-45</v>
      </c>
      <c r="N319" t="str">
        <f t="shared" si="17"/>
        <v>High</v>
      </c>
      <c r="O319" t="str">
        <f t="shared" si="18"/>
        <v>Zero Balance</v>
      </c>
      <c r="P319" t="str">
        <f t="shared" si="19"/>
        <v>Long-term</v>
      </c>
    </row>
    <row r="320" spans="1:16" x14ac:dyDescent="0.25">
      <c r="A320">
        <v>2025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  <c r="M320" t="str">
        <f t="shared" si="16"/>
        <v>&lt;30</v>
      </c>
      <c r="N320" t="str">
        <f t="shared" si="17"/>
        <v>Medium</v>
      </c>
      <c r="O320" t="str">
        <f t="shared" si="18"/>
        <v>Zero Balance</v>
      </c>
      <c r="P320" t="str">
        <f t="shared" si="19"/>
        <v>New</v>
      </c>
    </row>
    <row r="321" spans="1:16" x14ac:dyDescent="0.25">
      <c r="A321">
        <v>2025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  <c r="M321" t="str">
        <f t="shared" si="16"/>
        <v>&lt;30</v>
      </c>
      <c r="N321" t="str">
        <f t="shared" si="17"/>
        <v>Low</v>
      </c>
      <c r="O321" t="str">
        <f t="shared" si="18"/>
        <v>Low Balance</v>
      </c>
      <c r="P321" t="str">
        <f t="shared" si="19"/>
        <v>Mid-term</v>
      </c>
    </row>
    <row r="322" spans="1:16" x14ac:dyDescent="0.25">
      <c r="A322">
        <v>2025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  <c r="M322" t="str">
        <f t="shared" si="16"/>
        <v>46-60</v>
      </c>
      <c r="N322" t="str">
        <f t="shared" si="17"/>
        <v>Medium</v>
      </c>
      <c r="O322" t="str">
        <f t="shared" si="18"/>
        <v>High Balance</v>
      </c>
      <c r="P322" t="str">
        <f t="shared" si="19"/>
        <v>New</v>
      </c>
    </row>
    <row r="323" spans="1:16" x14ac:dyDescent="0.25">
      <c r="A323">
        <v>2025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  <c r="M323" t="str">
        <f t="shared" ref="M323:M386" si="20">IF(E323&lt;30,"&lt;30",IF(E323&lt;=45,"30-45",IF(E323&lt;=60,"46-60","60+")))</f>
        <v>30-45</v>
      </c>
      <c r="N323" t="str">
        <f t="shared" ref="N323:N386" si="21">IF(B323&lt;500,"Low",IF(B323&lt;700,"Medium","High"))</f>
        <v>Medium</v>
      </c>
      <c r="O323" t="str">
        <f t="shared" ref="O323:O386" si="22">IF(G323=0,"Zero Balance",IF(G323&lt;100000,"Low Balance","High Balance"))</f>
        <v>High Balance</v>
      </c>
      <c r="P323" t="str">
        <f t="shared" ref="P323:P386" si="23">IF(F323&lt;=3,"New",IF(F323&lt;=7,"Mid-term","Long-term"))</f>
        <v>Long-term</v>
      </c>
    </row>
    <row r="324" spans="1:16" x14ac:dyDescent="0.25">
      <c r="A324">
        <v>2025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  <c r="M324" t="str">
        <f t="shared" si="20"/>
        <v>30-45</v>
      </c>
      <c r="N324" t="str">
        <f t="shared" si="21"/>
        <v>High</v>
      </c>
      <c r="O324" t="str">
        <f t="shared" si="22"/>
        <v>High Balance</v>
      </c>
      <c r="P324" t="str">
        <f t="shared" si="23"/>
        <v>New</v>
      </c>
    </row>
    <row r="325" spans="1:16" x14ac:dyDescent="0.25">
      <c r="A325">
        <v>2025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  <c r="M325" t="str">
        <f t="shared" si="20"/>
        <v>30-45</v>
      </c>
      <c r="N325" t="str">
        <f t="shared" si="21"/>
        <v>High</v>
      </c>
      <c r="O325" t="str">
        <f t="shared" si="22"/>
        <v>Zero Balance</v>
      </c>
      <c r="P325" t="str">
        <f t="shared" si="23"/>
        <v>Mid-term</v>
      </c>
    </row>
    <row r="326" spans="1:16" x14ac:dyDescent="0.25">
      <c r="A326">
        <v>2025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  <c r="M326" t="str">
        <f t="shared" si="20"/>
        <v>30-45</v>
      </c>
      <c r="N326" t="str">
        <f t="shared" si="21"/>
        <v>High</v>
      </c>
      <c r="O326" t="str">
        <f t="shared" si="22"/>
        <v>Zero Balance</v>
      </c>
      <c r="P326" t="str">
        <f t="shared" si="23"/>
        <v>New</v>
      </c>
    </row>
    <row r="327" spans="1:16" x14ac:dyDescent="0.25">
      <c r="A327">
        <v>2025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  <c r="M327" t="str">
        <f t="shared" si="20"/>
        <v>30-45</v>
      </c>
      <c r="N327" t="str">
        <f t="shared" si="21"/>
        <v>High</v>
      </c>
      <c r="O327" t="str">
        <f t="shared" si="22"/>
        <v>High Balance</v>
      </c>
      <c r="P327" t="str">
        <f t="shared" si="23"/>
        <v>Mid-term</v>
      </c>
    </row>
    <row r="328" spans="1:16" x14ac:dyDescent="0.25">
      <c r="A328">
        <v>2025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  <c r="M328" t="str">
        <f t="shared" si="20"/>
        <v>30-45</v>
      </c>
      <c r="N328" t="str">
        <f t="shared" si="21"/>
        <v>Medium</v>
      </c>
      <c r="O328" t="str">
        <f t="shared" si="22"/>
        <v>Zero Balance</v>
      </c>
      <c r="P328" t="str">
        <f t="shared" si="23"/>
        <v>New</v>
      </c>
    </row>
    <row r="329" spans="1:16" x14ac:dyDescent="0.25">
      <c r="A329">
        <v>2025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  <c r="M329" t="str">
        <f t="shared" si="20"/>
        <v>46-60</v>
      </c>
      <c r="N329" t="str">
        <f t="shared" si="21"/>
        <v>Medium</v>
      </c>
      <c r="O329" t="str">
        <f t="shared" si="22"/>
        <v>Low Balance</v>
      </c>
      <c r="P329" t="str">
        <f t="shared" si="23"/>
        <v>Long-term</v>
      </c>
    </row>
    <row r="330" spans="1:16" x14ac:dyDescent="0.25">
      <c r="A330">
        <v>2025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  <c r="M330" t="str">
        <f t="shared" si="20"/>
        <v>30-45</v>
      </c>
      <c r="N330" t="str">
        <f t="shared" si="21"/>
        <v>Medium</v>
      </c>
      <c r="O330" t="str">
        <f t="shared" si="22"/>
        <v>High Balance</v>
      </c>
      <c r="P330" t="str">
        <f t="shared" si="23"/>
        <v>New</v>
      </c>
    </row>
    <row r="331" spans="1:16" x14ac:dyDescent="0.25">
      <c r="A331">
        <v>2025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  <c r="M331" t="str">
        <f t="shared" si="20"/>
        <v>&lt;30</v>
      </c>
      <c r="N331" t="str">
        <f t="shared" si="21"/>
        <v>Medium</v>
      </c>
      <c r="O331" t="str">
        <f t="shared" si="22"/>
        <v>High Balance</v>
      </c>
      <c r="P331" t="str">
        <f t="shared" si="23"/>
        <v>Mid-term</v>
      </c>
    </row>
    <row r="332" spans="1:16" x14ac:dyDescent="0.25">
      <c r="A332">
        <v>2025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  <c r="M332" t="str">
        <f t="shared" si="20"/>
        <v>46-60</v>
      </c>
      <c r="N332" t="str">
        <f t="shared" si="21"/>
        <v>Medium</v>
      </c>
      <c r="O332" t="str">
        <f t="shared" si="22"/>
        <v>Zero Balance</v>
      </c>
      <c r="P332" t="str">
        <f t="shared" si="23"/>
        <v>Mid-term</v>
      </c>
    </row>
    <row r="333" spans="1:16" x14ac:dyDescent="0.25">
      <c r="A333">
        <v>2025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  <c r="M333" t="str">
        <f t="shared" si="20"/>
        <v>30-45</v>
      </c>
      <c r="N333" t="str">
        <f t="shared" si="21"/>
        <v>Medium</v>
      </c>
      <c r="O333" t="str">
        <f t="shared" si="22"/>
        <v>High Balance</v>
      </c>
      <c r="P333" t="str">
        <f t="shared" si="23"/>
        <v>New</v>
      </c>
    </row>
    <row r="334" spans="1:16" x14ac:dyDescent="0.25">
      <c r="A334">
        <v>2025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  <c r="M334" t="str">
        <f t="shared" si="20"/>
        <v>30-45</v>
      </c>
      <c r="N334" t="str">
        <f t="shared" si="21"/>
        <v>Medium</v>
      </c>
      <c r="O334" t="str">
        <f t="shared" si="22"/>
        <v>High Balance</v>
      </c>
      <c r="P334" t="str">
        <f t="shared" si="23"/>
        <v>New</v>
      </c>
    </row>
    <row r="335" spans="1:16" x14ac:dyDescent="0.25">
      <c r="A335">
        <v>2025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  <c r="M335" t="str">
        <f t="shared" si="20"/>
        <v>30-45</v>
      </c>
      <c r="N335" t="str">
        <f t="shared" si="21"/>
        <v>Medium</v>
      </c>
      <c r="O335" t="str">
        <f t="shared" si="22"/>
        <v>High Balance</v>
      </c>
      <c r="P335" t="str">
        <f t="shared" si="23"/>
        <v>Long-term</v>
      </c>
    </row>
    <row r="336" spans="1:16" x14ac:dyDescent="0.25">
      <c r="A336">
        <v>2025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  <c r="M336" t="str">
        <f t="shared" si="20"/>
        <v>30-45</v>
      </c>
      <c r="N336" t="str">
        <f t="shared" si="21"/>
        <v>Medium</v>
      </c>
      <c r="O336" t="str">
        <f t="shared" si="22"/>
        <v>High Balance</v>
      </c>
      <c r="P336" t="str">
        <f t="shared" si="23"/>
        <v>Mid-term</v>
      </c>
    </row>
    <row r="337" spans="1:16" x14ac:dyDescent="0.25">
      <c r="A337">
        <v>2025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  <c r="M337" t="str">
        <f t="shared" si="20"/>
        <v>&lt;30</v>
      </c>
      <c r="N337" t="str">
        <f t="shared" si="21"/>
        <v>Low</v>
      </c>
      <c r="O337" t="str">
        <f t="shared" si="22"/>
        <v>High Balance</v>
      </c>
      <c r="P337" t="str">
        <f t="shared" si="23"/>
        <v>Mid-term</v>
      </c>
    </row>
    <row r="338" spans="1:16" x14ac:dyDescent="0.25">
      <c r="A338">
        <v>2025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  <c r="M338" t="str">
        <f t="shared" si="20"/>
        <v>30-45</v>
      </c>
      <c r="N338" t="str">
        <f t="shared" si="21"/>
        <v>Medium</v>
      </c>
      <c r="O338" t="str">
        <f t="shared" si="22"/>
        <v>High Balance</v>
      </c>
      <c r="P338" t="str">
        <f t="shared" si="23"/>
        <v>New</v>
      </c>
    </row>
    <row r="339" spans="1:16" x14ac:dyDescent="0.25">
      <c r="A339">
        <v>2025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  <c r="M339" t="str">
        <f t="shared" si="20"/>
        <v>30-45</v>
      </c>
      <c r="N339" t="str">
        <f t="shared" si="21"/>
        <v>Medium</v>
      </c>
      <c r="O339" t="str">
        <f t="shared" si="22"/>
        <v>Zero Balance</v>
      </c>
      <c r="P339" t="str">
        <f t="shared" si="23"/>
        <v>New</v>
      </c>
    </row>
    <row r="340" spans="1:16" x14ac:dyDescent="0.25">
      <c r="A340">
        <v>2025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  <c r="M340" t="str">
        <f t="shared" si="20"/>
        <v>30-45</v>
      </c>
      <c r="N340" t="str">
        <f t="shared" si="21"/>
        <v>High</v>
      </c>
      <c r="O340" t="str">
        <f t="shared" si="22"/>
        <v>High Balance</v>
      </c>
      <c r="P340" t="str">
        <f t="shared" si="23"/>
        <v>Mid-term</v>
      </c>
    </row>
    <row r="341" spans="1:16" x14ac:dyDescent="0.25">
      <c r="A341">
        <v>2025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  <c r="M341" t="str">
        <f t="shared" si="20"/>
        <v>30-45</v>
      </c>
      <c r="N341" t="str">
        <f t="shared" si="21"/>
        <v>High</v>
      </c>
      <c r="O341" t="str">
        <f t="shared" si="22"/>
        <v>High Balance</v>
      </c>
      <c r="P341" t="str">
        <f t="shared" si="23"/>
        <v>Long-term</v>
      </c>
    </row>
    <row r="342" spans="1:16" x14ac:dyDescent="0.25">
      <c r="A342">
        <v>2025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  <c r="M342" t="str">
        <f t="shared" si="20"/>
        <v>30-45</v>
      </c>
      <c r="N342" t="str">
        <f t="shared" si="21"/>
        <v>Medium</v>
      </c>
      <c r="O342" t="str">
        <f t="shared" si="22"/>
        <v>High Balance</v>
      </c>
      <c r="P342" t="str">
        <f t="shared" si="23"/>
        <v>Mid-term</v>
      </c>
    </row>
    <row r="343" spans="1:16" x14ac:dyDescent="0.25">
      <c r="A343">
        <v>2025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  <c r="M343" t="str">
        <f t="shared" si="20"/>
        <v>30-45</v>
      </c>
      <c r="N343" t="str">
        <f t="shared" si="21"/>
        <v>Medium</v>
      </c>
      <c r="O343" t="str">
        <f t="shared" si="22"/>
        <v>High Balance</v>
      </c>
      <c r="P343" t="str">
        <f t="shared" si="23"/>
        <v>Mid-term</v>
      </c>
    </row>
    <row r="344" spans="1:16" x14ac:dyDescent="0.25">
      <c r="A344">
        <v>2025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  <c r="M344" t="str">
        <f t="shared" si="20"/>
        <v>46-60</v>
      </c>
      <c r="N344" t="str">
        <f t="shared" si="21"/>
        <v>Medium</v>
      </c>
      <c r="O344" t="str">
        <f t="shared" si="22"/>
        <v>Zero Balance</v>
      </c>
      <c r="P344" t="str">
        <f t="shared" si="23"/>
        <v>Mid-term</v>
      </c>
    </row>
    <row r="345" spans="1:16" x14ac:dyDescent="0.25">
      <c r="A345">
        <v>2025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  <c r="M345" t="str">
        <f t="shared" si="20"/>
        <v>&lt;30</v>
      </c>
      <c r="N345" t="str">
        <f t="shared" si="21"/>
        <v>Medium</v>
      </c>
      <c r="O345" t="str">
        <f t="shared" si="22"/>
        <v>Zero Balance</v>
      </c>
      <c r="P345" t="str">
        <f t="shared" si="23"/>
        <v>Long-term</v>
      </c>
    </row>
    <row r="346" spans="1:16" x14ac:dyDescent="0.25">
      <c r="A346">
        <v>2025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  <c r="M346" t="str">
        <f t="shared" si="20"/>
        <v>&lt;30</v>
      </c>
      <c r="N346" t="str">
        <f t="shared" si="21"/>
        <v>High</v>
      </c>
      <c r="O346" t="str">
        <f t="shared" si="22"/>
        <v>Zero Balance</v>
      </c>
      <c r="P346" t="str">
        <f t="shared" si="23"/>
        <v>Mid-term</v>
      </c>
    </row>
    <row r="347" spans="1:16" x14ac:dyDescent="0.25">
      <c r="A347">
        <v>2025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  <c r="M347" t="str">
        <f t="shared" si="20"/>
        <v>30-45</v>
      </c>
      <c r="N347" t="str">
        <f t="shared" si="21"/>
        <v>High</v>
      </c>
      <c r="O347" t="str">
        <f t="shared" si="22"/>
        <v>Zero Balance</v>
      </c>
      <c r="P347" t="str">
        <f t="shared" si="23"/>
        <v>Mid-term</v>
      </c>
    </row>
    <row r="348" spans="1:16" x14ac:dyDescent="0.25">
      <c r="A348">
        <v>2025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  <c r="M348" t="str">
        <f t="shared" si="20"/>
        <v>30-45</v>
      </c>
      <c r="N348" t="str">
        <f t="shared" si="21"/>
        <v>Medium</v>
      </c>
      <c r="O348" t="str">
        <f t="shared" si="22"/>
        <v>High Balance</v>
      </c>
      <c r="P348" t="str">
        <f t="shared" si="23"/>
        <v>Long-term</v>
      </c>
    </row>
    <row r="349" spans="1:16" x14ac:dyDescent="0.25">
      <c r="A349">
        <v>2025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  <c r="M349" t="str">
        <f t="shared" si="20"/>
        <v>46-60</v>
      </c>
      <c r="N349" t="str">
        <f t="shared" si="21"/>
        <v>Medium</v>
      </c>
      <c r="O349" t="str">
        <f t="shared" si="22"/>
        <v>High Balance</v>
      </c>
      <c r="P349" t="str">
        <f t="shared" si="23"/>
        <v>New</v>
      </c>
    </row>
    <row r="350" spans="1:16" x14ac:dyDescent="0.25">
      <c r="A350">
        <v>2025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  <c r="M350" t="str">
        <f t="shared" si="20"/>
        <v>30-45</v>
      </c>
      <c r="N350" t="str">
        <f t="shared" si="21"/>
        <v>Medium</v>
      </c>
      <c r="O350" t="str">
        <f t="shared" si="22"/>
        <v>High Balance</v>
      </c>
      <c r="P350" t="str">
        <f t="shared" si="23"/>
        <v>New</v>
      </c>
    </row>
    <row r="351" spans="1:16" x14ac:dyDescent="0.25">
      <c r="A351">
        <v>2025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  <c r="M351" t="str">
        <f t="shared" si="20"/>
        <v>30-45</v>
      </c>
      <c r="N351" t="str">
        <f t="shared" si="21"/>
        <v>Medium</v>
      </c>
      <c r="O351" t="str">
        <f t="shared" si="22"/>
        <v>Zero Balance</v>
      </c>
      <c r="P351" t="str">
        <f t="shared" si="23"/>
        <v>Mid-term</v>
      </c>
    </row>
    <row r="352" spans="1:16" x14ac:dyDescent="0.25">
      <c r="A352">
        <v>2025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  <c r="M352" t="str">
        <f t="shared" si="20"/>
        <v>30-45</v>
      </c>
      <c r="N352" t="str">
        <f t="shared" si="21"/>
        <v>Medium</v>
      </c>
      <c r="O352" t="str">
        <f t="shared" si="22"/>
        <v>High Balance</v>
      </c>
      <c r="P352" t="str">
        <f t="shared" si="23"/>
        <v>New</v>
      </c>
    </row>
    <row r="353" spans="1:16" x14ac:dyDescent="0.25">
      <c r="A353">
        <v>2025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  <c r="M353" t="str">
        <f t="shared" si="20"/>
        <v>30-45</v>
      </c>
      <c r="N353" t="str">
        <f t="shared" si="21"/>
        <v>High</v>
      </c>
      <c r="O353" t="str">
        <f t="shared" si="22"/>
        <v>Low Balance</v>
      </c>
      <c r="P353" t="str">
        <f t="shared" si="23"/>
        <v>New</v>
      </c>
    </row>
    <row r="354" spans="1:16" x14ac:dyDescent="0.25">
      <c r="A354">
        <v>2025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  <c r="M354" t="str">
        <f t="shared" si="20"/>
        <v>30-45</v>
      </c>
      <c r="N354" t="str">
        <f t="shared" si="21"/>
        <v>Medium</v>
      </c>
      <c r="O354" t="str">
        <f t="shared" si="22"/>
        <v>High Balance</v>
      </c>
      <c r="P354" t="str">
        <f t="shared" si="23"/>
        <v>Mid-term</v>
      </c>
    </row>
    <row r="355" spans="1:16" x14ac:dyDescent="0.25">
      <c r="A355">
        <v>2025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  <c r="M355" t="str">
        <f t="shared" si="20"/>
        <v>&lt;30</v>
      </c>
      <c r="N355" t="str">
        <f t="shared" si="21"/>
        <v>Medium</v>
      </c>
      <c r="O355" t="str">
        <f t="shared" si="22"/>
        <v>Zero Balance</v>
      </c>
      <c r="P355" t="str">
        <f t="shared" si="23"/>
        <v>Mid-term</v>
      </c>
    </row>
    <row r="356" spans="1:16" x14ac:dyDescent="0.25">
      <c r="A356">
        <v>2025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  <c r="M356" t="str">
        <f t="shared" si="20"/>
        <v>30-45</v>
      </c>
      <c r="N356" t="str">
        <f t="shared" si="21"/>
        <v>Medium</v>
      </c>
      <c r="O356" t="str">
        <f t="shared" si="22"/>
        <v>High Balance</v>
      </c>
      <c r="P356" t="str">
        <f t="shared" si="23"/>
        <v>New</v>
      </c>
    </row>
    <row r="357" spans="1:16" x14ac:dyDescent="0.25">
      <c r="A357">
        <v>2025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  <c r="M357" t="str">
        <f t="shared" si="20"/>
        <v>30-45</v>
      </c>
      <c r="N357" t="str">
        <f t="shared" si="21"/>
        <v>Medium</v>
      </c>
      <c r="O357" t="str">
        <f t="shared" si="22"/>
        <v>Zero Balance</v>
      </c>
      <c r="P357" t="str">
        <f t="shared" si="23"/>
        <v>New</v>
      </c>
    </row>
    <row r="358" spans="1:16" x14ac:dyDescent="0.25">
      <c r="A358">
        <v>2025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  <c r="M358" t="str">
        <f t="shared" si="20"/>
        <v>46-60</v>
      </c>
      <c r="N358" t="str">
        <f t="shared" si="21"/>
        <v>High</v>
      </c>
      <c r="O358" t="str">
        <f t="shared" si="22"/>
        <v>High Balance</v>
      </c>
      <c r="P358" t="str">
        <f t="shared" si="23"/>
        <v>Long-term</v>
      </c>
    </row>
    <row r="359" spans="1:16" x14ac:dyDescent="0.25">
      <c r="A359">
        <v>2025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  <c r="M359" t="str">
        <f t="shared" si="20"/>
        <v>30-45</v>
      </c>
      <c r="N359" t="str">
        <f t="shared" si="21"/>
        <v>Medium</v>
      </c>
      <c r="O359" t="str">
        <f t="shared" si="22"/>
        <v>High Balance</v>
      </c>
      <c r="P359" t="str">
        <f t="shared" si="23"/>
        <v>Long-term</v>
      </c>
    </row>
    <row r="360" spans="1:16" x14ac:dyDescent="0.25">
      <c r="A360">
        <v>2025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  <c r="M360" t="str">
        <f t="shared" si="20"/>
        <v>30-45</v>
      </c>
      <c r="N360" t="str">
        <f t="shared" si="21"/>
        <v>High</v>
      </c>
      <c r="O360" t="str">
        <f t="shared" si="22"/>
        <v>High Balance</v>
      </c>
      <c r="P360" t="str">
        <f t="shared" si="23"/>
        <v>New</v>
      </c>
    </row>
    <row r="361" spans="1:16" x14ac:dyDescent="0.25">
      <c r="A361">
        <v>2025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  <c r="M361" t="str">
        <f t="shared" si="20"/>
        <v>46-60</v>
      </c>
      <c r="N361" t="str">
        <f t="shared" si="21"/>
        <v>Medium</v>
      </c>
      <c r="O361" t="str">
        <f t="shared" si="22"/>
        <v>Zero Balance</v>
      </c>
      <c r="P361" t="str">
        <f t="shared" si="23"/>
        <v>New</v>
      </c>
    </row>
    <row r="362" spans="1:16" x14ac:dyDescent="0.25">
      <c r="A362">
        <v>2025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  <c r="M362" t="str">
        <f t="shared" si="20"/>
        <v>&lt;30</v>
      </c>
      <c r="N362" t="str">
        <f t="shared" si="21"/>
        <v>High</v>
      </c>
      <c r="O362" t="str">
        <f t="shared" si="22"/>
        <v>Zero Balance</v>
      </c>
      <c r="P362" t="str">
        <f t="shared" si="23"/>
        <v>New</v>
      </c>
    </row>
    <row r="363" spans="1:16" x14ac:dyDescent="0.25">
      <c r="A363">
        <v>2025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  <c r="M363" t="str">
        <f t="shared" si="20"/>
        <v>30-45</v>
      </c>
      <c r="N363" t="str">
        <f t="shared" si="21"/>
        <v>Medium</v>
      </c>
      <c r="O363" t="str">
        <f t="shared" si="22"/>
        <v>High Balance</v>
      </c>
      <c r="P363" t="str">
        <f t="shared" si="23"/>
        <v>New</v>
      </c>
    </row>
    <row r="364" spans="1:16" x14ac:dyDescent="0.25">
      <c r="A364">
        <v>2025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  <c r="M364" t="str">
        <f t="shared" si="20"/>
        <v>46-60</v>
      </c>
      <c r="N364" t="str">
        <f t="shared" si="21"/>
        <v>Medium</v>
      </c>
      <c r="O364" t="str">
        <f t="shared" si="22"/>
        <v>High Balance</v>
      </c>
      <c r="P364" t="str">
        <f t="shared" si="23"/>
        <v>Long-term</v>
      </c>
    </row>
    <row r="365" spans="1:16" x14ac:dyDescent="0.25">
      <c r="A365">
        <v>2025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  <c r="M365" t="str">
        <f t="shared" si="20"/>
        <v>&lt;30</v>
      </c>
      <c r="N365" t="str">
        <f t="shared" si="21"/>
        <v>Low</v>
      </c>
      <c r="O365" t="str">
        <f t="shared" si="22"/>
        <v>Low Balance</v>
      </c>
      <c r="P365" t="str">
        <f t="shared" si="23"/>
        <v>Long-term</v>
      </c>
    </row>
    <row r="366" spans="1:16" x14ac:dyDescent="0.25">
      <c r="A366">
        <v>2025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  <c r="M366" t="str">
        <f t="shared" si="20"/>
        <v>60+</v>
      </c>
      <c r="N366" t="str">
        <f t="shared" si="21"/>
        <v>Medium</v>
      </c>
      <c r="O366" t="str">
        <f t="shared" si="22"/>
        <v>Zero Balance</v>
      </c>
      <c r="P366" t="str">
        <f t="shared" si="23"/>
        <v>Long-term</v>
      </c>
    </row>
    <row r="367" spans="1:16" x14ac:dyDescent="0.25">
      <c r="A367">
        <v>2025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  <c r="M367" t="str">
        <f t="shared" si="20"/>
        <v>30-45</v>
      </c>
      <c r="N367" t="str">
        <f t="shared" si="21"/>
        <v>Medium</v>
      </c>
      <c r="O367" t="str">
        <f t="shared" si="22"/>
        <v>Zero Balance</v>
      </c>
      <c r="P367" t="str">
        <f t="shared" si="23"/>
        <v>New</v>
      </c>
    </row>
    <row r="368" spans="1:16" x14ac:dyDescent="0.25">
      <c r="A368">
        <v>2025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  <c r="M368" t="str">
        <f t="shared" si="20"/>
        <v>30-45</v>
      </c>
      <c r="N368" t="str">
        <f t="shared" si="21"/>
        <v>Medium</v>
      </c>
      <c r="O368" t="str">
        <f t="shared" si="22"/>
        <v>Low Balance</v>
      </c>
      <c r="P368" t="str">
        <f t="shared" si="23"/>
        <v>Long-term</v>
      </c>
    </row>
    <row r="369" spans="1:16" x14ac:dyDescent="0.25">
      <c r="A369">
        <v>2025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  <c r="M369" t="str">
        <f t="shared" si="20"/>
        <v>30-45</v>
      </c>
      <c r="N369" t="str">
        <f t="shared" si="21"/>
        <v>Low</v>
      </c>
      <c r="O369" t="str">
        <f t="shared" si="22"/>
        <v>High Balance</v>
      </c>
      <c r="P369" t="str">
        <f t="shared" si="23"/>
        <v>Long-term</v>
      </c>
    </row>
    <row r="370" spans="1:16" x14ac:dyDescent="0.25">
      <c r="A370">
        <v>2025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  <c r="M370" t="str">
        <f t="shared" si="20"/>
        <v>30-45</v>
      </c>
      <c r="N370" t="str">
        <f t="shared" si="21"/>
        <v>Medium</v>
      </c>
      <c r="O370" t="str">
        <f t="shared" si="22"/>
        <v>Low Balance</v>
      </c>
      <c r="P370" t="str">
        <f t="shared" si="23"/>
        <v>New</v>
      </c>
    </row>
    <row r="371" spans="1:16" x14ac:dyDescent="0.25">
      <c r="A371">
        <v>2025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  <c r="M371" t="str">
        <f t="shared" si="20"/>
        <v>&lt;30</v>
      </c>
      <c r="N371" t="str">
        <f t="shared" si="21"/>
        <v>Medium</v>
      </c>
      <c r="O371" t="str">
        <f t="shared" si="22"/>
        <v>High Balance</v>
      </c>
      <c r="P371" t="str">
        <f t="shared" si="23"/>
        <v>New</v>
      </c>
    </row>
    <row r="372" spans="1:16" x14ac:dyDescent="0.25">
      <c r="A372">
        <v>2025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  <c r="M372" t="str">
        <f t="shared" si="20"/>
        <v>30-45</v>
      </c>
      <c r="N372" t="str">
        <f t="shared" si="21"/>
        <v>High</v>
      </c>
      <c r="O372" t="str">
        <f t="shared" si="22"/>
        <v>High Balance</v>
      </c>
      <c r="P372" t="str">
        <f t="shared" si="23"/>
        <v>Mid-term</v>
      </c>
    </row>
    <row r="373" spans="1:16" x14ac:dyDescent="0.25">
      <c r="A373">
        <v>2025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  <c r="M373" t="str">
        <f t="shared" si="20"/>
        <v>60+</v>
      </c>
      <c r="N373" t="str">
        <f t="shared" si="21"/>
        <v>Medium</v>
      </c>
      <c r="O373" t="str">
        <f t="shared" si="22"/>
        <v>High Balance</v>
      </c>
      <c r="P373" t="str">
        <f t="shared" si="23"/>
        <v>New</v>
      </c>
    </row>
    <row r="374" spans="1:16" x14ac:dyDescent="0.25">
      <c r="A374">
        <v>2025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  <c r="M374" t="str">
        <f t="shared" si="20"/>
        <v>30-45</v>
      </c>
      <c r="N374" t="str">
        <f t="shared" si="21"/>
        <v>Medium</v>
      </c>
      <c r="O374" t="str">
        <f t="shared" si="22"/>
        <v>High Balance</v>
      </c>
      <c r="P374" t="str">
        <f t="shared" si="23"/>
        <v>New</v>
      </c>
    </row>
    <row r="375" spans="1:16" x14ac:dyDescent="0.25">
      <c r="A375">
        <v>2025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  <c r="M375" t="str">
        <f t="shared" si="20"/>
        <v>30-45</v>
      </c>
      <c r="N375" t="str">
        <f t="shared" si="21"/>
        <v>High</v>
      </c>
      <c r="O375" t="str">
        <f t="shared" si="22"/>
        <v>High Balance</v>
      </c>
      <c r="P375" t="str">
        <f t="shared" si="23"/>
        <v>New</v>
      </c>
    </row>
    <row r="376" spans="1:16" x14ac:dyDescent="0.25">
      <c r="A376">
        <v>2025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  <c r="M376" t="str">
        <f t="shared" si="20"/>
        <v>30-45</v>
      </c>
      <c r="N376" t="str">
        <f t="shared" si="21"/>
        <v>High</v>
      </c>
      <c r="O376" t="str">
        <f t="shared" si="22"/>
        <v>Low Balance</v>
      </c>
      <c r="P376" t="str">
        <f t="shared" si="23"/>
        <v>Mid-term</v>
      </c>
    </row>
    <row r="377" spans="1:16" x14ac:dyDescent="0.25">
      <c r="A377">
        <v>2025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  <c r="M377" t="str">
        <f t="shared" si="20"/>
        <v>30-45</v>
      </c>
      <c r="N377" t="str">
        <f t="shared" si="21"/>
        <v>High</v>
      </c>
      <c r="O377" t="str">
        <f t="shared" si="22"/>
        <v>Zero Balance</v>
      </c>
      <c r="P377" t="str">
        <f t="shared" si="23"/>
        <v>Long-term</v>
      </c>
    </row>
    <row r="378" spans="1:16" x14ac:dyDescent="0.25">
      <c r="A378">
        <v>2025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  <c r="M378" t="str">
        <f t="shared" si="20"/>
        <v>30-45</v>
      </c>
      <c r="N378" t="str">
        <f t="shared" si="21"/>
        <v>High</v>
      </c>
      <c r="O378" t="str">
        <f t="shared" si="22"/>
        <v>High Balance</v>
      </c>
      <c r="P378" t="str">
        <f t="shared" si="23"/>
        <v>Long-term</v>
      </c>
    </row>
    <row r="379" spans="1:16" x14ac:dyDescent="0.25">
      <c r="A379">
        <v>2025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  <c r="M379" t="str">
        <f t="shared" si="20"/>
        <v>30-45</v>
      </c>
      <c r="N379" t="str">
        <f t="shared" si="21"/>
        <v>Medium</v>
      </c>
      <c r="O379" t="str">
        <f t="shared" si="22"/>
        <v>High Balance</v>
      </c>
      <c r="P379" t="str">
        <f t="shared" si="23"/>
        <v>Mid-term</v>
      </c>
    </row>
    <row r="380" spans="1:16" x14ac:dyDescent="0.25">
      <c r="A380">
        <v>2025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  <c r="M380" t="str">
        <f t="shared" si="20"/>
        <v>30-45</v>
      </c>
      <c r="N380" t="str">
        <f t="shared" si="21"/>
        <v>Medium</v>
      </c>
      <c r="O380" t="str">
        <f t="shared" si="22"/>
        <v>Low Balance</v>
      </c>
      <c r="P380" t="str">
        <f t="shared" si="23"/>
        <v>New</v>
      </c>
    </row>
    <row r="381" spans="1:16" x14ac:dyDescent="0.25">
      <c r="A381">
        <v>2025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  <c r="M381" t="str">
        <f t="shared" si="20"/>
        <v>30-45</v>
      </c>
      <c r="N381" t="str">
        <f t="shared" si="21"/>
        <v>Medium</v>
      </c>
      <c r="O381" t="str">
        <f t="shared" si="22"/>
        <v>Zero Balance</v>
      </c>
      <c r="P381" t="str">
        <f t="shared" si="23"/>
        <v>New</v>
      </c>
    </row>
    <row r="382" spans="1:16" x14ac:dyDescent="0.25">
      <c r="A382">
        <v>2025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  <c r="M382" t="str">
        <f t="shared" si="20"/>
        <v>46-60</v>
      </c>
      <c r="N382" t="str">
        <f t="shared" si="21"/>
        <v>Low</v>
      </c>
      <c r="O382" t="str">
        <f t="shared" si="22"/>
        <v>Zero Balance</v>
      </c>
      <c r="P382" t="str">
        <f t="shared" si="23"/>
        <v>Long-term</v>
      </c>
    </row>
    <row r="383" spans="1:16" x14ac:dyDescent="0.25">
      <c r="A383">
        <v>2025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  <c r="M383" t="str">
        <f t="shared" si="20"/>
        <v>30-45</v>
      </c>
      <c r="N383" t="str">
        <f t="shared" si="21"/>
        <v>Medium</v>
      </c>
      <c r="O383" t="str">
        <f t="shared" si="22"/>
        <v>High Balance</v>
      </c>
      <c r="P383" t="str">
        <f t="shared" si="23"/>
        <v>Mid-term</v>
      </c>
    </row>
    <row r="384" spans="1:16" x14ac:dyDescent="0.25">
      <c r="A384">
        <v>2025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  <c r="M384" t="str">
        <f t="shared" si="20"/>
        <v>30-45</v>
      </c>
      <c r="N384" t="str">
        <f t="shared" si="21"/>
        <v>Low</v>
      </c>
      <c r="O384" t="str">
        <f t="shared" si="22"/>
        <v>Low Balance</v>
      </c>
      <c r="P384" t="str">
        <f t="shared" si="23"/>
        <v>Long-term</v>
      </c>
    </row>
    <row r="385" spans="1:16" x14ac:dyDescent="0.25">
      <c r="A385">
        <v>2025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  <c r="M385" t="str">
        <f t="shared" si="20"/>
        <v>&lt;30</v>
      </c>
      <c r="N385" t="str">
        <f t="shared" si="21"/>
        <v>High</v>
      </c>
      <c r="O385" t="str">
        <f t="shared" si="22"/>
        <v>High Balance</v>
      </c>
      <c r="P385" t="str">
        <f t="shared" si="23"/>
        <v>Long-term</v>
      </c>
    </row>
    <row r="386" spans="1:16" x14ac:dyDescent="0.25">
      <c r="A386">
        <v>2025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  <c r="M386" t="str">
        <f t="shared" si="20"/>
        <v>30-45</v>
      </c>
      <c r="N386" t="str">
        <f t="shared" si="21"/>
        <v>High</v>
      </c>
      <c r="O386" t="str">
        <f t="shared" si="22"/>
        <v>High Balance</v>
      </c>
      <c r="P386" t="str">
        <f t="shared" si="23"/>
        <v>New</v>
      </c>
    </row>
    <row r="387" spans="1:16" x14ac:dyDescent="0.25">
      <c r="A387">
        <v>2025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  <c r="M387" t="str">
        <f t="shared" ref="M387:M450" si="24">IF(E387&lt;30,"&lt;30",IF(E387&lt;=45,"30-45",IF(E387&lt;=60,"46-60","60+")))</f>
        <v>60+</v>
      </c>
      <c r="N387" t="str">
        <f t="shared" ref="N387:N450" si="25">IF(B387&lt;500,"Low",IF(B387&lt;700,"Medium","High"))</f>
        <v>Medium</v>
      </c>
      <c r="O387" t="str">
        <f t="shared" ref="O387:O450" si="26">IF(G387=0,"Zero Balance",IF(G387&lt;100000,"Low Balance","High Balance"))</f>
        <v>Zero Balance</v>
      </c>
      <c r="P387" t="str">
        <f t="shared" ref="P387:P450" si="27">IF(F387&lt;=3,"New",IF(F387&lt;=7,"Mid-term","Long-term"))</f>
        <v>Long-term</v>
      </c>
    </row>
    <row r="388" spans="1:16" x14ac:dyDescent="0.25">
      <c r="A388">
        <v>2025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  <c r="M388" t="str">
        <f t="shared" si="24"/>
        <v>46-60</v>
      </c>
      <c r="N388" t="str">
        <f t="shared" si="25"/>
        <v>Medium</v>
      </c>
      <c r="O388" t="str">
        <f t="shared" si="26"/>
        <v>Zero Balance</v>
      </c>
      <c r="P388" t="str">
        <f t="shared" si="27"/>
        <v>Mid-term</v>
      </c>
    </row>
    <row r="389" spans="1:16" x14ac:dyDescent="0.25">
      <c r="A389">
        <v>2025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  <c r="M389" t="str">
        <f t="shared" si="24"/>
        <v>60+</v>
      </c>
      <c r="N389" t="str">
        <f t="shared" si="25"/>
        <v>High</v>
      </c>
      <c r="O389" t="str">
        <f t="shared" si="26"/>
        <v>Zero Balance</v>
      </c>
      <c r="P389" t="str">
        <f t="shared" si="27"/>
        <v>New</v>
      </c>
    </row>
    <row r="390" spans="1:16" x14ac:dyDescent="0.25">
      <c r="A390">
        <v>2025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  <c r="M390" t="str">
        <f t="shared" si="24"/>
        <v>30-45</v>
      </c>
      <c r="N390" t="str">
        <f t="shared" si="25"/>
        <v>High</v>
      </c>
      <c r="O390" t="str">
        <f t="shared" si="26"/>
        <v>Zero Balance</v>
      </c>
      <c r="P390" t="str">
        <f t="shared" si="27"/>
        <v>New</v>
      </c>
    </row>
    <row r="391" spans="1:16" x14ac:dyDescent="0.25">
      <c r="A391">
        <v>2025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  <c r="M391" t="str">
        <f t="shared" si="24"/>
        <v>&lt;30</v>
      </c>
      <c r="N391" t="str">
        <f t="shared" si="25"/>
        <v>Medium</v>
      </c>
      <c r="O391" t="str">
        <f t="shared" si="26"/>
        <v>High Balance</v>
      </c>
      <c r="P391" t="str">
        <f t="shared" si="27"/>
        <v>Long-term</v>
      </c>
    </row>
    <row r="392" spans="1:16" x14ac:dyDescent="0.25">
      <c r="A392">
        <v>2025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  <c r="M392" t="str">
        <f t="shared" si="24"/>
        <v>&lt;30</v>
      </c>
      <c r="N392" t="str">
        <f t="shared" si="25"/>
        <v>High</v>
      </c>
      <c r="O392" t="str">
        <f t="shared" si="26"/>
        <v>High Balance</v>
      </c>
      <c r="P392" t="str">
        <f t="shared" si="27"/>
        <v>Mid-term</v>
      </c>
    </row>
    <row r="393" spans="1:16" x14ac:dyDescent="0.25">
      <c r="A393">
        <v>2025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  <c r="M393" t="str">
        <f t="shared" si="24"/>
        <v>30-45</v>
      </c>
      <c r="N393" t="str">
        <f t="shared" si="25"/>
        <v>High</v>
      </c>
      <c r="O393" t="str">
        <f t="shared" si="26"/>
        <v>High Balance</v>
      </c>
      <c r="P393" t="str">
        <f t="shared" si="27"/>
        <v>New</v>
      </c>
    </row>
    <row r="394" spans="1:16" x14ac:dyDescent="0.25">
      <c r="A394">
        <v>2025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  <c r="M394" t="str">
        <f t="shared" si="24"/>
        <v>46-60</v>
      </c>
      <c r="N394" t="str">
        <f t="shared" si="25"/>
        <v>Medium</v>
      </c>
      <c r="O394" t="str">
        <f t="shared" si="26"/>
        <v>High Balance</v>
      </c>
      <c r="P394" t="str">
        <f t="shared" si="27"/>
        <v>Long-term</v>
      </c>
    </row>
    <row r="395" spans="1:16" x14ac:dyDescent="0.25">
      <c r="A395">
        <v>2025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  <c r="M395" t="str">
        <f t="shared" si="24"/>
        <v>30-45</v>
      </c>
      <c r="N395" t="str">
        <f t="shared" si="25"/>
        <v>Medium</v>
      </c>
      <c r="O395" t="str">
        <f t="shared" si="26"/>
        <v>Zero Balance</v>
      </c>
      <c r="P395" t="str">
        <f t="shared" si="27"/>
        <v>Long-term</v>
      </c>
    </row>
    <row r="396" spans="1:16" x14ac:dyDescent="0.25">
      <c r="A396">
        <v>2025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  <c r="M396" t="str">
        <f t="shared" si="24"/>
        <v>&lt;30</v>
      </c>
      <c r="N396" t="str">
        <f t="shared" si="25"/>
        <v>Medium</v>
      </c>
      <c r="O396" t="str">
        <f t="shared" si="26"/>
        <v>Low Balance</v>
      </c>
      <c r="P396" t="str">
        <f t="shared" si="27"/>
        <v>New</v>
      </c>
    </row>
    <row r="397" spans="1:16" x14ac:dyDescent="0.25">
      <c r="A397">
        <v>2025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  <c r="M397" t="str">
        <f t="shared" si="24"/>
        <v>30-45</v>
      </c>
      <c r="N397" t="str">
        <f t="shared" si="25"/>
        <v>Medium</v>
      </c>
      <c r="O397" t="str">
        <f t="shared" si="26"/>
        <v>High Balance</v>
      </c>
      <c r="P397" t="str">
        <f t="shared" si="27"/>
        <v>New</v>
      </c>
    </row>
    <row r="398" spans="1:16" x14ac:dyDescent="0.25">
      <c r="A398">
        <v>2025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  <c r="M398" t="str">
        <f t="shared" si="24"/>
        <v>30-45</v>
      </c>
      <c r="N398" t="str">
        <f t="shared" si="25"/>
        <v>Medium</v>
      </c>
      <c r="O398" t="str">
        <f t="shared" si="26"/>
        <v>Low Balance</v>
      </c>
      <c r="P398" t="str">
        <f t="shared" si="27"/>
        <v>New</v>
      </c>
    </row>
    <row r="399" spans="1:16" x14ac:dyDescent="0.25">
      <c r="A399">
        <v>2025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  <c r="M399" t="str">
        <f t="shared" si="24"/>
        <v>30-45</v>
      </c>
      <c r="N399" t="str">
        <f t="shared" si="25"/>
        <v>Medium</v>
      </c>
      <c r="O399" t="str">
        <f t="shared" si="26"/>
        <v>High Balance</v>
      </c>
      <c r="P399" t="str">
        <f t="shared" si="27"/>
        <v>Long-term</v>
      </c>
    </row>
    <row r="400" spans="1:16" x14ac:dyDescent="0.25">
      <c r="A400">
        <v>2025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  <c r="M400" t="str">
        <f t="shared" si="24"/>
        <v>30-45</v>
      </c>
      <c r="N400" t="str">
        <f t="shared" si="25"/>
        <v>High</v>
      </c>
      <c r="O400" t="str">
        <f t="shared" si="26"/>
        <v>Zero Balance</v>
      </c>
      <c r="P400" t="str">
        <f t="shared" si="27"/>
        <v>Long-term</v>
      </c>
    </row>
    <row r="401" spans="1:16" x14ac:dyDescent="0.25">
      <c r="A401">
        <v>2025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  <c r="M401" t="str">
        <f t="shared" si="24"/>
        <v>60+</v>
      </c>
      <c r="N401" t="str">
        <f t="shared" si="25"/>
        <v>Medium</v>
      </c>
      <c r="O401" t="str">
        <f t="shared" si="26"/>
        <v>High Balance</v>
      </c>
      <c r="P401" t="str">
        <f t="shared" si="27"/>
        <v>New</v>
      </c>
    </row>
    <row r="402" spans="1:16" x14ac:dyDescent="0.25">
      <c r="A402">
        <v>2025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  <c r="M402" t="str">
        <f t="shared" si="24"/>
        <v>46-60</v>
      </c>
      <c r="N402" t="str">
        <f t="shared" si="25"/>
        <v>Medium</v>
      </c>
      <c r="O402" t="str">
        <f t="shared" si="26"/>
        <v>Low Balance</v>
      </c>
      <c r="P402" t="str">
        <f t="shared" si="27"/>
        <v>New</v>
      </c>
    </row>
    <row r="403" spans="1:16" x14ac:dyDescent="0.25">
      <c r="A403">
        <v>2025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  <c r="M403" t="str">
        <f t="shared" si="24"/>
        <v>30-45</v>
      </c>
      <c r="N403" t="str">
        <f t="shared" si="25"/>
        <v>Medium</v>
      </c>
      <c r="O403" t="str">
        <f t="shared" si="26"/>
        <v>High Balance</v>
      </c>
      <c r="P403" t="str">
        <f t="shared" si="27"/>
        <v>Mid-term</v>
      </c>
    </row>
    <row r="404" spans="1:16" x14ac:dyDescent="0.25">
      <c r="A404">
        <v>2025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  <c r="M404" t="str">
        <f t="shared" si="24"/>
        <v>46-60</v>
      </c>
      <c r="N404" t="str">
        <f t="shared" si="25"/>
        <v>High</v>
      </c>
      <c r="O404" t="str">
        <f t="shared" si="26"/>
        <v>Zero Balance</v>
      </c>
      <c r="P404" t="str">
        <f t="shared" si="27"/>
        <v>Long-term</v>
      </c>
    </row>
    <row r="405" spans="1:16" x14ac:dyDescent="0.25">
      <c r="A405">
        <v>2025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  <c r="M405" t="str">
        <f t="shared" si="24"/>
        <v>30-45</v>
      </c>
      <c r="N405" t="str">
        <f t="shared" si="25"/>
        <v>Low</v>
      </c>
      <c r="O405" t="str">
        <f t="shared" si="26"/>
        <v>Low Balance</v>
      </c>
      <c r="P405" t="str">
        <f t="shared" si="27"/>
        <v>Mid-term</v>
      </c>
    </row>
    <row r="406" spans="1:16" x14ac:dyDescent="0.25">
      <c r="A406">
        <v>2025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  <c r="M406" t="str">
        <f t="shared" si="24"/>
        <v>&lt;30</v>
      </c>
      <c r="N406" t="str">
        <f t="shared" si="25"/>
        <v>Medium</v>
      </c>
      <c r="O406" t="str">
        <f t="shared" si="26"/>
        <v>Zero Balance</v>
      </c>
      <c r="P406" t="str">
        <f t="shared" si="27"/>
        <v>Long-term</v>
      </c>
    </row>
    <row r="407" spans="1:16" x14ac:dyDescent="0.25">
      <c r="A407">
        <v>2025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  <c r="M407" t="str">
        <f t="shared" si="24"/>
        <v>30-45</v>
      </c>
      <c r="N407" t="str">
        <f t="shared" si="25"/>
        <v>High</v>
      </c>
      <c r="O407" t="str">
        <f t="shared" si="26"/>
        <v>Zero Balance</v>
      </c>
      <c r="P407" t="str">
        <f t="shared" si="27"/>
        <v>Long-term</v>
      </c>
    </row>
    <row r="408" spans="1:16" x14ac:dyDescent="0.25">
      <c r="A408">
        <v>2025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  <c r="M408" t="str">
        <f t="shared" si="24"/>
        <v>46-60</v>
      </c>
      <c r="N408" t="str">
        <f t="shared" si="25"/>
        <v>Medium</v>
      </c>
      <c r="O408" t="str">
        <f t="shared" si="26"/>
        <v>High Balance</v>
      </c>
      <c r="P408" t="str">
        <f t="shared" si="27"/>
        <v>Long-term</v>
      </c>
    </row>
    <row r="409" spans="1:16" x14ac:dyDescent="0.25">
      <c r="A409">
        <v>2025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  <c r="M409" t="str">
        <f t="shared" si="24"/>
        <v>30-45</v>
      </c>
      <c r="N409" t="str">
        <f t="shared" si="25"/>
        <v>Medium</v>
      </c>
      <c r="O409" t="str">
        <f t="shared" si="26"/>
        <v>Zero Balance</v>
      </c>
      <c r="P409" t="str">
        <f t="shared" si="27"/>
        <v>Mid-term</v>
      </c>
    </row>
    <row r="410" spans="1:16" x14ac:dyDescent="0.25">
      <c r="A410">
        <v>2025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  <c r="M410" t="str">
        <f t="shared" si="24"/>
        <v>30-45</v>
      </c>
      <c r="N410" t="str">
        <f t="shared" si="25"/>
        <v>Medium</v>
      </c>
      <c r="O410" t="str">
        <f t="shared" si="26"/>
        <v>High Balance</v>
      </c>
      <c r="P410" t="str">
        <f t="shared" si="27"/>
        <v>Long-term</v>
      </c>
    </row>
    <row r="411" spans="1:16" x14ac:dyDescent="0.25">
      <c r="A411">
        <v>2025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  <c r="M411" t="str">
        <f t="shared" si="24"/>
        <v>30-45</v>
      </c>
      <c r="N411" t="str">
        <f t="shared" si="25"/>
        <v>Medium</v>
      </c>
      <c r="O411" t="str">
        <f t="shared" si="26"/>
        <v>High Balance</v>
      </c>
      <c r="P411" t="str">
        <f t="shared" si="27"/>
        <v>New</v>
      </c>
    </row>
    <row r="412" spans="1:16" x14ac:dyDescent="0.25">
      <c r="A412">
        <v>2025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  <c r="M412" t="str">
        <f t="shared" si="24"/>
        <v>&lt;30</v>
      </c>
      <c r="N412" t="str">
        <f t="shared" si="25"/>
        <v>High</v>
      </c>
      <c r="O412" t="str">
        <f t="shared" si="26"/>
        <v>Zero Balance</v>
      </c>
      <c r="P412" t="str">
        <f t="shared" si="27"/>
        <v>Long-term</v>
      </c>
    </row>
    <row r="413" spans="1:16" x14ac:dyDescent="0.25">
      <c r="A413">
        <v>2025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  <c r="M413" t="str">
        <f t="shared" si="24"/>
        <v>30-45</v>
      </c>
      <c r="N413" t="str">
        <f t="shared" si="25"/>
        <v>High</v>
      </c>
      <c r="O413" t="str">
        <f t="shared" si="26"/>
        <v>Zero Balance</v>
      </c>
      <c r="P413" t="str">
        <f t="shared" si="27"/>
        <v>New</v>
      </c>
    </row>
    <row r="414" spans="1:16" x14ac:dyDescent="0.25">
      <c r="A414">
        <v>2025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  <c r="M414" t="str">
        <f t="shared" si="24"/>
        <v>30-45</v>
      </c>
      <c r="N414" t="str">
        <f t="shared" si="25"/>
        <v>High</v>
      </c>
      <c r="O414" t="str">
        <f t="shared" si="26"/>
        <v>High Balance</v>
      </c>
      <c r="P414" t="str">
        <f t="shared" si="27"/>
        <v>New</v>
      </c>
    </row>
    <row r="415" spans="1:16" x14ac:dyDescent="0.25">
      <c r="A415">
        <v>2025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  <c r="M415" t="str">
        <f t="shared" si="24"/>
        <v>30-45</v>
      </c>
      <c r="N415" t="str">
        <f t="shared" si="25"/>
        <v>Medium</v>
      </c>
      <c r="O415" t="str">
        <f t="shared" si="26"/>
        <v>High Balance</v>
      </c>
      <c r="P415" t="str">
        <f t="shared" si="27"/>
        <v>Long-term</v>
      </c>
    </row>
    <row r="416" spans="1:16" x14ac:dyDescent="0.25">
      <c r="A416">
        <v>2025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  <c r="M416" t="str">
        <f t="shared" si="24"/>
        <v>30-45</v>
      </c>
      <c r="N416" t="str">
        <f t="shared" si="25"/>
        <v>High</v>
      </c>
      <c r="O416" t="str">
        <f t="shared" si="26"/>
        <v>Zero Balance</v>
      </c>
      <c r="P416" t="str">
        <f t="shared" si="27"/>
        <v>Long-term</v>
      </c>
    </row>
    <row r="417" spans="1:16" x14ac:dyDescent="0.25">
      <c r="A417">
        <v>2025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  <c r="M417" t="str">
        <f t="shared" si="24"/>
        <v>&lt;30</v>
      </c>
      <c r="N417" t="str">
        <f t="shared" si="25"/>
        <v>Medium</v>
      </c>
      <c r="O417" t="str">
        <f t="shared" si="26"/>
        <v>Zero Balance</v>
      </c>
      <c r="P417" t="str">
        <f t="shared" si="27"/>
        <v>Long-term</v>
      </c>
    </row>
    <row r="418" spans="1:16" x14ac:dyDescent="0.25">
      <c r="A418">
        <v>2025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  <c r="M418" t="str">
        <f t="shared" si="24"/>
        <v>60+</v>
      </c>
      <c r="N418" t="str">
        <f t="shared" si="25"/>
        <v>Low</v>
      </c>
      <c r="O418" t="str">
        <f t="shared" si="26"/>
        <v>High Balance</v>
      </c>
      <c r="P418" t="str">
        <f t="shared" si="27"/>
        <v>Mid-term</v>
      </c>
    </row>
    <row r="419" spans="1:16" x14ac:dyDescent="0.25">
      <c r="A419">
        <v>2025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  <c r="M419" t="str">
        <f t="shared" si="24"/>
        <v>30-45</v>
      </c>
      <c r="N419" t="str">
        <f t="shared" si="25"/>
        <v>Medium</v>
      </c>
      <c r="O419" t="str">
        <f t="shared" si="26"/>
        <v>Low Balance</v>
      </c>
      <c r="P419" t="str">
        <f t="shared" si="27"/>
        <v>Long-term</v>
      </c>
    </row>
    <row r="420" spans="1:16" x14ac:dyDescent="0.25">
      <c r="A420">
        <v>2025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  <c r="M420" t="str">
        <f t="shared" si="24"/>
        <v>46-60</v>
      </c>
      <c r="N420" t="str">
        <f t="shared" si="25"/>
        <v>Medium</v>
      </c>
      <c r="O420" t="str">
        <f t="shared" si="26"/>
        <v>Zero Balance</v>
      </c>
      <c r="P420" t="str">
        <f t="shared" si="27"/>
        <v>Mid-term</v>
      </c>
    </row>
    <row r="421" spans="1:16" x14ac:dyDescent="0.25">
      <c r="A421">
        <v>2025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  <c r="M421" t="str">
        <f t="shared" si="24"/>
        <v>&lt;30</v>
      </c>
      <c r="N421" t="str">
        <f t="shared" si="25"/>
        <v>Medium</v>
      </c>
      <c r="O421" t="str">
        <f t="shared" si="26"/>
        <v>Zero Balance</v>
      </c>
      <c r="P421" t="str">
        <f t="shared" si="27"/>
        <v>Mid-term</v>
      </c>
    </row>
    <row r="422" spans="1:16" x14ac:dyDescent="0.25">
      <c r="A422">
        <v>2025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  <c r="M422" t="str">
        <f t="shared" si="24"/>
        <v>46-60</v>
      </c>
      <c r="N422" t="str">
        <f t="shared" si="25"/>
        <v>High</v>
      </c>
      <c r="O422" t="str">
        <f t="shared" si="26"/>
        <v>High Balance</v>
      </c>
      <c r="P422" t="str">
        <f t="shared" si="27"/>
        <v>New</v>
      </c>
    </row>
    <row r="423" spans="1:16" x14ac:dyDescent="0.25">
      <c r="A423">
        <v>2025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  <c r="M423" t="str">
        <f t="shared" si="24"/>
        <v>30-45</v>
      </c>
      <c r="N423" t="str">
        <f t="shared" si="25"/>
        <v>Medium</v>
      </c>
      <c r="O423" t="str">
        <f t="shared" si="26"/>
        <v>Zero Balance</v>
      </c>
      <c r="P423" t="str">
        <f t="shared" si="27"/>
        <v>New</v>
      </c>
    </row>
    <row r="424" spans="1:16" x14ac:dyDescent="0.25">
      <c r="A424">
        <v>2025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  <c r="M424" t="str">
        <f t="shared" si="24"/>
        <v>30-45</v>
      </c>
      <c r="N424" t="str">
        <f t="shared" si="25"/>
        <v>Medium</v>
      </c>
      <c r="O424" t="str">
        <f t="shared" si="26"/>
        <v>High Balance</v>
      </c>
      <c r="P424" t="str">
        <f t="shared" si="27"/>
        <v>Mid-term</v>
      </c>
    </row>
    <row r="425" spans="1:16" x14ac:dyDescent="0.25">
      <c r="A425">
        <v>2025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  <c r="M425" t="str">
        <f t="shared" si="24"/>
        <v>30-45</v>
      </c>
      <c r="N425" t="str">
        <f t="shared" si="25"/>
        <v>Medium</v>
      </c>
      <c r="O425" t="str">
        <f t="shared" si="26"/>
        <v>Zero Balance</v>
      </c>
      <c r="P425" t="str">
        <f t="shared" si="27"/>
        <v>Mid-term</v>
      </c>
    </row>
    <row r="426" spans="1:16" x14ac:dyDescent="0.25">
      <c r="A426">
        <v>2025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  <c r="M426" t="str">
        <f t="shared" si="24"/>
        <v>30-45</v>
      </c>
      <c r="N426" t="str">
        <f t="shared" si="25"/>
        <v>Medium</v>
      </c>
      <c r="O426" t="str">
        <f t="shared" si="26"/>
        <v>Zero Balance</v>
      </c>
      <c r="P426" t="str">
        <f t="shared" si="27"/>
        <v>Long-term</v>
      </c>
    </row>
    <row r="427" spans="1:16" x14ac:dyDescent="0.25">
      <c r="A427">
        <v>2025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  <c r="M427" t="str">
        <f t="shared" si="24"/>
        <v>&lt;30</v>
      </c>
      <c r="N427" t="str">
        <f t="shared" si="25"/>
        <v>Medium</v>
      </c>
      <c r="O427" t="str">
        <f t="shared" si="26"/>
        <v>High Balance</v>
      </c>
      <c r="P427" t="str">
        <f t="shared" si="27"/>
        <v>Long-term</v>
      </c>
    </row>
    <row r="428" spans="1:16" x14ac:dyDescent="0.25">
      <c r="A428">
        <v>2025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  <c r="M428" t="str">
        <f t="shared" si="24"/>
        <v>30-45</v>
      </c>
      <c r="N428" t="str">
        <f t="shared" si="25"/>
        <v>Low</v>
      </c>
      <c r="O428" t="str">
        <f t="shared" si="26"/>
        <v>High Balance</v>
      </c>
      <c r="P428" t="str">
        <f t="shared" si="27"/>
        <v>Long-term</v>
      </c>
    </row>
    <row r="429" spans="1:16" x14ac:dyDescent="0.25">
      <c r="A429">
        <v>2025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  <c r="M429" t="str">
        <f t="shared" si="24"/>
        <v>30-45</v>
      </c>
      <c r="N429" t="str">
        <f t="shared" si="25"/>
        <v>High</v>
      </c>
      <c r="O429" t="str">
        <f t="shared" si="26"/>
        <v>Low Balance</v>
      </c>
      <c r="P429" t="str">
        <f t="shared" si="27"/>
        <v>New</v>
      </c>
    </row>
    <row r="430" spans="1:16" x14ac:dyDescent="0.25">
      <c r="A430">
        <v>2025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  <c r="M430" t="str">
        <f t="shared" si="24"/>
        <v>30-45</v>
      </c>
      <c r="N430" t="str">
        <f t="shared" si="25"/>
        <v>Low</v>
      </c>
      <c r="O430" t="str">
        <f t="shared" si="26"/>
        <v>Low Balance</v>
      </c>
      <c r="P430" t="str">
        <f t="shared" si="27"/>
        <v>Long-term</v>
      </c>
    </row>
    <row r="431" spans="1:16" x14ac:dyDescent="0.25">
      <c r="A431">
        <v>2025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  <c r="M431" t="str">
        <f t="shared" si="24"/>
        <v>30-45</v>
      </c>
      <c r="N431" t="str">
        <f t="shared" si="25"/>
        <v>Medium</v>
      </c>
      <c r="O431" t="str">
        <f t="shared" si="26"/>
        <v>Low Balance</v>
      </c>
      <c r="P431" t="str">
        <f t="shared" si="27"/>
        <v>New</v>
      </c>
    </row>
    <row r="432" spans="1:16" x14ac:dyDescent="0.25">
      <c r="A432">
        <v>2025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  <c r="M432" t="str">
        <f t="shared" si="24"/>
        <v>46-60</v>
      </c>
      <c r="N432" t="str">
        <f t="shared" si="25"/>
        <v>Medium</v>
      </c>
      <c r="O432" t="str">
        <f t="shared" si="26"/>
        <v>High Balance</v>
      </c>
      <c r="P432" t="str">
        <f t="shared" si="27"/>
        <v>New</v>
      </c>
    </row>
    <row r="433" spans="1:16" x14ac:dyDescent="0.25">
      <c r="A433">
        <v>2025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  <c r="M433" t="str">
        <f t="shared" si="24"/>
        <v>30-45</v>
      </c>
      <c r="N433" t="str">
        <f t="shared" si="25"/>
        <v>High</v>
      </c>
      <c r="O433" t="str">
        <f t="shared" si="26"/>
        <v>High Balance</v>
      </c>
      <c r="P433" t="str">
        <f t="shared" si="27"/>
        <v>New</v>
      </c>
    </row>
    <row r="434" spans="1:16" x14ac:dyDescent="0.25">
      <c r="A434">
        <v>2025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  <c r="M434" t="str">
        <f t="shared" si="24"/>
        <v>30-45</v>
      </c>
      <c r="N434" t="str">
        <f t="shared" si="25"/>
        <v>Medium</v>
      </c>
      <c r="O434" t="str">
        <f t="shared" si="26"/>
        <v>High Balance</v>
      </c>
      <c r="P434" t="str">
        <f t="shared" si="27"/>
        <v>New</v>
      </c>
    </row>
    <row r="435" spans="1:16" x14ac:dyDescent="0.25">
      <c r="A435">
        <v>2025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  <c r="M435" t="str">
        <f t="shared" si="24"/>
        <v>30-45</v>
      </c>
      <c r="N435" t="str">
        <f t="shared" si="25"/>
        <v>Medium</v>
      </c>
      <c r="O435" t="str">
        <f t="shared" si="26"/>
        <v>High Balance</v>
      </c>
      <c r="P435" t="str">
        <f t="shared" si="27"/>
        <v>Long-term</v>
      </c>
    </row>
    <row r="436" spans="1:16" x14ac:dyDescent="0.25">
      <c r="A436">
        <v>2025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  <c r="M436" t="str">
        <f t="shared" si="24"/>
        <v>30-45</v>
      </c>
      <c r="N436" t="str">
        <f t="shared" si="25"/>
        <v>Medium</v>
      </c>
      <c r="O436" t="str">
        <f t="shared" si="26"/>
        <v>Zero Balance</v>
      </c>
      <c r="P436" t="str">
        <f t="shared" si="27"/>
        <v>Long-term</v>
      </c>
    </row>
    <row r="437" spans="1:16" x14ac:dyDescent="0.25">
      <c r="A437">
        <v>2025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  <c r="M437" t="str">
        <f t="shared" si="24"/>
        <v>46-60</v>
      </c>
      <c r="N437" t="str">
        <f t="shared" si="25"/>
        <v>High</v>
      </c>
      <c r="O437" t="str">
        <f t="shared" si="26"/>
        <v>Low Balance</v>
      </c>
      <c r="P437" t="str">
        <f t="shared" si="27"/>
        <v>New</v>
      </c>
    </row>
    <row r="438" spans="1:16" x14ac:dyDescent="0.25">
      <c r="A438">
        <v>2025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  <c r="M438" t="str">
        <f t="shared" si="24"/>
        <v>30-45</v>
      </c>
      <c r="N438" t="str">
        <f t="shared" si="25"/>
        <v>Medium</v>
      </c>
      <c r="O438" t="str">
        <f t="shared" si="26"/>
        <v>Low Balance</v>
      </c>
      <c r="P438" t="str">
        <f t="shared" si="27"/>
        <v>Mid-term</v>
      </c>
    </row>
    <row r="439" spans="1:16" x14ac:dyDescent="0.25">
      <c r="A439">
        <v>2025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  <c r="M439" t="str">
        <f t="shared" si="24"/>
        <v>30-45</v>
      </c>
      <c r="N439" t="str">
        <f t="shared" si="25"/>
        <v>Medium</v>
      </c>
      <c r="O439" t="str">
        <f t="shared" si="26"/>
        <v>High Balance</v>
      </c>
      <c r="P439" t="str">
        <f t="shared" si="27"/>
        <v>Long-term</v>
      </c>
    </row>
    <row r="440" spans="1:16" x14ac:dyDescent="0.25">
      <c r="A440">
        <v>2025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  <c r="M440" t="str">
        <f t="shared" si="24"/>
        <v>30-45</v>
      </c>
      <c r="N440" t="str">
        <f t="shared" si="25"/>
        <v>High</v>
      </c>
      <c r="O440" t="str">
        <f t="shared" si="26"/>
        <v>High Balance</v>
      </c>
      <c r="P440" t="str">
        <f t="shared" si="27"/>
        <v>New</v>
      </c>
    </row>
    <row r="441" spans="1:16" x14ac:dyDescent="0.25">
      <c r="A441">
        <v>2025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  <c r="M441" t="str">
        <f t="shared" si="24"/>
        <v>30-45</v>
      </c>
      <c r="N441" t="str">
        <f t="shared" si="25"/>
        <v>Low</v>
      </c>
      <c r="O441" t="str">
        <f t="shared" si="26"/>
        <v>Low Balance</v>
      </c>
      <c r="P441" t="str">
        <f t="shared" si="27"/>
        <v>New</v>
      </c>
    </row>
    <row r="442" spans="1:16" x14ac:dyDescent="0.25">
      <c r="A442">
        <v>2025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  <c r="M442" t="str">
        <f t="shared" si="24"/>
        <v>30-45</v>
      </c>
      <c r="N442" t="str">
        <f t="shared" si="25"/>
        <v>Medium</v>
      </c>
      <c r="O442" t="str">
        <f t="shared" si="26"/>
        <v>Zero Balance</v>
      </c>
      <c r="P442" t="str">
        <f t="shared" si="27"/>
        <v>New</v>
      </c>
    </row>
    <row r="443" spans="1:16" x14ac:dyDescent="0.25">
      <c r="A443">
        <v>2025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  <c r="M443" t="str">
        <f t="shared" si="24"/>
        <v>30-45</v>
      </c>
      <c r="N443" t="str">
        <f t="shared" si="25"/>
        <v>High</v>
      </c>
      <c r="O443" t="str">
        <f t="shared" si="26"/>
        <v>Zero Balance</v>
      </c>
      <c r="P443" t="str">
        <f t="shared" si="27"/>
        <v>Long-term</v>
      </c>
    </row>
    <row r="444" spans="1:16" x14ac:dyDescent="0.25">
      <c r="A444">
        <v>2025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  <c r="M444" t="str">
        <f t="shared" si="24"/>
        <v>30-45</v>
      </c>
      <c r="N444" t="str">
        <f t="shared" si="25"/>
        <v>Medium</v>
      </c>
      <c r="O444" t="str">
        <f t="shared" si="26"/>
        <v>High Balance</v>
      </c>
      <c r="P444" t="str">
        <f t="shared" si="27"/>
        <v>Mid-term</v>
      </c>
    </row>
    <row r="445" spans="1:16" x14ac:dyDescent="0.25">
      <c r="A445">
        <v>2025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  <c r="M445" t="str">
        <f t="shared" si="24"/>
        <v>46-60</v>
      </c>
      <c r="N445" t="str">
        <f t="shared" si="25"/>
        <v>High</v>
      </c>
      <c r="O445" t="str">
        <f t="shared" si="26"/>
        <v>High Balance</v>
      </c>
      <c r="P445" t="str">
        <f t="shared" si="27"/>
        <v>New</v>
      </c>
    </row>
    <row r="446" spans="1:16" x14ac:dyDescent="0.25">
      <c r="A446">
        <v>2025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  <c r="M446" t="str">
        <f t="shared" si="24"/>
        <v>46-60</v>
      </c>
      <c r="N446" t="str">
        <f t="shared" si="25"/>
        <v>Medium</v>
      </c>
      <c r="O446" t="str">
        <f t="shared" si="26"/>
        <v>High Balance</v>
      </c>
      <c r="P446" t="str">
        <f t="shared" si="27"/>
        <v>New</v>
      </c>
    </row>
    <row r="447" spans="1:16" x14ac:dyDescent="0.25">
      <c r="A447">
        <v>2025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  <c r="M447" t="str">
        <f t="shared" si="24"/>
        <v>&lt;30</v>
      </c>
      <c r="N447" t="str">
        <f t="shared" si="25"/>
        <v>High</v>
      </c>
      <c r="O447" t="str">
        <f t="shared" si="26"/>
        <v>Low Balance</v>
      </c>
      <c r="P447" t="str">
        <f t="shared" si="27"/>
        <v>New</v>
      </c>
    </row>
    <row r="448" spans="1:16" x14ac:dyDescent="0.25">
      <c r="A448">
        <v>2025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  <c r="M448" t="str">
        <f t="shared" si="24"/>
        <v>30-45</v>
      </c>
      <c r="N448" t="str">
        <f t="shared" si="25"/>
        <v>High</v>
      </c>
      <c r="O448" t="str">
        <f t="shared" si="26"/>
        <v>Zero Balance</v>
      </c>
      <c r="P448" t="str">
        <f t="shared" si="27"/>
        <v>New</v>
      </c>
    </row>
    <row r="449" spans="1:16" x14ac:dyDescent="0.25">
      <c r="A449">
        <v>2025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  <c r="M449" t="str">
        <f t="shared" si="24"/>
        <v>30-45</v>
      </c>
      <c r="N449" t="str">
        <f t="shared" si="25"/>
        <v>Medium</v>
      </c>
      <c r="O449" t="str">
        <f t="shared" si="26"/>
        <v>High Balance</v>
      </c>
      <c r="P449" t="str">
        <f t="shared" si="27"/>
        <v>Mid-term</v>
      </c>
    </row>
    <row r="450" spans="1:16" x14ac:dyDescent="0.25">
      <c r="A450">
        <v>2025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  <c r="M450" t="str">
        <f t="shared" si="24"/>
        <v>30-45</v>
      </c>
      <c r="N450" t="str">
        <f t="shared" si="25"/>
        <v>Medium</v>
      </c>
      <c r="O450" t="str">
        <f t="shared" si="26"/>
        <v>Low Balance</v>
      </c>
      <c r="P450" t="str">
        <f t="shared" si="27"/>
        <v>Mid-term</v>
      </c>
    </row>
    <row r="451" spans="1:16" x14ac:dyDescent="0.25">
      <c r="A451">
        <v>2025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  <c r="M451" t="str">
        <f t="shared" ref="M451:M514" si="28">IF(E451&lt;30,"&lt;30",IF(E451&lt;=45,"30-45",IF(E451&lt;=60,"46-60","60+")))</f>
        <v>46-60</v>
      </c>
      <c r="N451" t="str">
        <f t="shared" ref="N451:N514" si="29">IF(B451&lt;500,"Low",IF(B451&lt;700,"Medium","High"))</f>
        <v>High</v>
      </c>
      <c r="O451" t="str">
        <f t="shared" ref="O451:O514" si="30">IF(G451=0,"Zero Balance",IF(G451&lt;100000,"Low Balance","High Balance"))</f>
        <v>High Balance</v>
      </c>
      <c r="P451" t="str">
        <f t="shared" ref="P451:P514" si="31">IF(F451&lt;=3,"New",IF(F451&lt;=7,"Mid-term","Long-term"))</f>
        <v>Mid-term</v>
      </c>
    </row>
    <row r="452" spans="1:16" x14ac:dyDescent="0.25">
      <c r="A452">
        <v>2025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  <c r="M452" t="str">
        <f t="shared" si="28"/>
        <v>30-45</v>
      </c>
      <c r="N452" t="str">
        <f t="shared" si="29"/>
        <v>Low</v>
      </c>
      <c r="O452" t="str">
        <f t="shared" si="30"/>
        <v>High Balance</v>
      </c>
      <c r="P452" t="str">
        <f t="shared" si="31"/>
        <v>Mid-term</v>
      </c>
    </row>
    <row r="453" spans="1:16" x14ac:dyDescent="0.25">
      <c r="A453">
        <v>2025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  <c r="M453" t="str">
        <f t="shared" si="28"/>
        <v>30-45</v>
      </c>
      <c r="N453" t="str">
        <f t="shared" si="29"/>
        <v>High</v>
      </c>
      <c r="O453" t="str">
        <f t="shared" si="30"/>
        <v>Zero Balance</v>
      </c>
      <c r="P453" t="str">
        <f t="shared" si="31"/>
        <v>Long-term</v>
      </c>
    </row>
    <row r="454" spans="1:16" x14ac:dyDescent="0.25">
      <c r="A454">
        <v>2025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  <c r="M454" t="str">
        <f t="shared" si="28"/>
        <v>30-45</v>
      </c>
      <c r="N454" t="str">
        <f t="shared" si="29"/>
        <v>Medium</v>
      </c>
      <c r="O454" t="str">
        <f t="shared" si="30"/>
        <v>High Balance</v>
      </c>
      <c r="P454" t="str">
        <f t="shared" si="31"/>
        <v>Mid-term</v>
      </c>
    </row>
    <row r="455" spans="1:16" x14ac:dyDescent="0.25">
      <c r="A455">
        <v>2025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  <c r="M455" t="str">
        <f t="shared" si="28"/>
        <v>30-45</v>
      </c>
      <c r="N455" t="str">
        <f t="shared" si="29"/>
        <v>Medium</v>
      </c>
      <c r="O455" t="str">
        <f t="shared" si="30"/>
        <v>High Balance</v>
      </c>
      <c r="P455" t="str">
        <f t="shared" si="31"/>
        <v>New</v>
      </c>
    </row>
    <row r="456" spans="1:16" x14ac:dyDescent="0.25">
      <c r="A456">
        <v>2025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  <c r="M456" t="str">
        <f t="shared" si="28"/>
        <v>30-45</v>
      </c>
      <c r="N456" t="str">
        <f t="shared" si="29"/>
        <v>High</v>
      </c>
      <c r="O456" t="str">
        <f t="shared" si="30"/>
        <v>High Balance</v>
      </c>
      <c r="P456" t="str">
        <f t="shared" si="31"/>
        <v>Mid-term</v>
      </c>
    </row>
    <row r="457" spans="1:16" x14ac:dyDescent="0.25">
      <c r="A457">
        <v>2025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  <c r="M457" t="str">
        <f t="shared" si="28"/>
        <v>30-45</v>
      </c>
      <c r="N457" t="str">
        <f t="shared" si="29"/>
        <v>Medium</v>
      </c>
      <c r="O457" t="str">
        <f t="shared" si="30"/>
        <v>Zero Balance</v>
      </c>
      <c r="P457" t="str">
        <f t="shared" si="31"/>
        <v>Mid-term</v>
      </c>
    </row>
    <row r="458" spans="1:16" x14ac:dyDescent="0.25">
      <c r="A458">
        <v>2025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  <c r="M458" t="str">
        <f t="shared" si="28"/>
        <v>30-45</v>
      </c>
      <c r="N458" t="str">
        <f t="shared" si="29"/>
        <v>High</v>
      </c>
      <c r="O458" t="str">
        <f t="shared" si="30"/>
        <v>Zero Balance</v>
      </c>
      <c r="P458" t="str">
        <f t="shared" si="31"/>
        <v>New</v>
      </c>
    </row>
    <row r="459" spans="1:16" x14ac:dyDescent="0.25">
      <c r="A459">
        <v>2025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  <c r="M459" t="str">
        <f t="shared" si="28"/>
        <v>30-45</v>
      </c>
      <c r="N459" t="str">
        <f t="shared" si="29"/>
        <v>High</v>
      </c>
      <c r="O459" t="str">
        <f t="shared" si="30"/>
        <v>Zero Balance</v>
      </c>
      <c r="P459" t="str">
        <f t="shared" si="31"/>
        <v>New</v>
      </c>
    </row>
    <row r="460" spans="1:16" x14ac:dyDescent="0.25">
      <c r="A460">
        <v>2025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  <c r="M460" t="str">
        <f t="shared" si="28"/>
        <v>30-45</v>
      </c>
      <c r="N460" t="str">
        <f t="shared" si="29"/>
        <v>Medium</v>
      </c>
      <c r="O460" t="str">
        <f t="shared" si="30"/>
        <v>Low Balance</v>
      </c>
      <c r="P460" t="str">
        <f t="shared" si="31"/>
        <v>New</v>
      </c>
    </row>
    <row r="461" spans="1:16" x14ac:dyDescent="0.25">
      <c r="A461">
        <v>2025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  <c r="M461" t="str">
        <f t="shared" si="28"/>
        <v>30-45</v>
      </c>
      <c r="N461" t="str">
        <f t="shared" si="29"/>
        <v>Medium</v>
      </c>
      <c r="O461" t="str">
        <f t="shared" si="30"/>
        <v>Zero Balance</v>
      </c>
      <c r="P461" t="str">
        <f t="shared" si="31"/>
        <v>Long-term</v>
      </c>
    </row>
    <row r="462" spans="1:16" x14ac:dyDescent="0.25">
      <c r="A462">
        <v>2025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  <c r="M462" t="str">
        <f t="shared" si="28"/>
        <v>&lt;30</v>
      </c>
      <c r="N462" t="str">
        <f t="shared" si="29"/>
        <v>Low</v>
      </c>
      <c r="O462" t="str">
        <f t="shared" si="30"/>
        <v>High Balance</v>
      </c>
      <c r="P462" t="str">
        <f t="shared" si="31"/>
        <v>New</v>
      </c>
    </row>
    <row r="463" spans="1:16" x14ac:dyDescent="0.25">
      <c r="A463">
        <v>2025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  <c r="M463" t="str">
        <f t="shared" si="28"/>
        <v>30-45</v>
      </c>
      <c r="N463" t="str">
        <f t="shared" si="29"/>
        <v>Medium</v>
      </c>
      <c r="O463" t="str">
        <f t="shared" si="30"/>
        <v>Zero Balance</v>
      </c>
      <c r="P463" t="str">
        <f t="shared" si="31"/>
        <v>New</v>
      </c>
    </row>
    <row r="464" spans="1:16" x14ac:dyDescent="0.25">
      <c r="A464">
        <v>2025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  <c r="M464" t="str">
        <f t="shared" si="28"/>
        <v>&lt;30</v>
      </c>
      <c r="N464" t="str">
        <f t="shared" si="29"/>
        <v>Medium</v>
      </c>
      <c r="O464" t="str">
        <f t="shared" si="30"/>
        <v>High Balance</v>
      </c>
      <c r="P464" t="str">
        <f t="shared" si="31"/>
        <v>New</v>
      </c>
    </row>
    <row r="465" spans="1:16" x14ac:dyDescent="0.25">
      <c r="A465">
        <v>2025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  <c r="M465" t="str">
        <f t="shared" si="28"/>
        <v>30-45</v>
      </c>
      <c r="N465" t="str">
        <f t="shared" si="29"/>
        <v>Medium</v>
      </c>
      <c r="O465" t="str">
        <f t="shared" si="30"/>
        <v>High Balance</v>
      </c>
      <c r="P465" t="str">
        <f t="shared" si="31"/>
        <v>Mid-term</v>
      </c>
    </row>
    <row r="466" spans="1:16" x14ac:dyDescent="0.25">
      <c r="A466">
        <v>2025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  <c r="M466" t="str">
        <f t="shared" si="28"/>
        <v>&lt;30</v>
      </c>
      <c r="N466" t="str">
        <f t="shared" si="29"/>
        <v>High</v>
      </c>
      <c r="O466" t="str">
        <f t="shared" si="30"/>
        <v>Zero Balance</v>
      </c>
      <c r="P466" t="str">
        <f t="shared" si="31"/>
        <v>Mid-term</v>
      </c>
    </row>
    <row r="467" spans="1:16" x14ac:dyDescent="0.25">
      <c r="A467">
        <v>2025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  <c r="M467" t="str">
        <f t="shared" si="28"/>
        <v>30-45</v>
      </c>
      <c r="N467" t="str">
        <f t="shared" si="29"/>
        <v>Medium</v>
      </c>
      <c r="O467" t="str">
        <f t="shared" si="30"/>
        <v>Low Balance</v>
      </c>
      <c r="P467" t="str">
        <f t="shared" si="31"/>
        <v>Long-term</v>
      </c>
    </row>
    <row r="468" spans="1:16" x14ac:dyDescent="0.25">
      <c r="A468">
        <v>2025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  <c r="M468" t="str">
        <f t="shared" si="28"/>
        <v>30-45</v>
      </c>
      <c r="N468" t="str">
        <f t="shared" si="29"/>
        <v>High</v>
      </c>
      <c r="O468" t="str">
        <f t="shared" si="30"/>
        <v>Zero Balance</v>
      </c>
      <c r="P468" t="str">
        <f t="shared" si="31"/>
        <v>Long-term</v>
      </c>
    </row>
    <row r="469" spans="1:16" x14ac:dyDescent="0.25">
      <c r="A469">
        <v>2025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  <c r="M469" t="str">
        <f t="shared" si="28"/>
        <v>30-45</v>
      </c>
      <c r="N469" t="str">
        <f t="shared" si="29"/>
        <v>High</v>
      </c>
      <c r="O469" t="str">
        <f t="shared" si="30"/>
        <v>High Balance</v>
      </c>
      <c r="P469" t="str">
        <f t="shared" si="31"/>
        <v>Mid-term</v>
      </c>
    </row>
    <row r="470" spans="1:16" x14ac:dyDescent="0.25">
      <c r="A470">
        <v>2025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  <c r="M470" t="str">
        <f t="shared" si="28"/>
        <v>30-45</v>
      </c>
      <c r="N470" t="str">
        <f t="shared" si="29"/>
        <v>Medium</v>
      </c>
      <c r="O470" t="str">
        <f t="shared" si="30"/>
        <v>Zero Balance</v>
      </c>
      <c r="P470" t="str">
        <f t="shared" si="31"/>
        <v>Long-term</v>
      </c>
    </row>
    <row r="471" spans="1:16" x14ac:dyDescent="0.25">
      <c r="A471">
        <v>2025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  <c r="M471" t="str">
        <f t="shared" si="28"/>
        <v>30-45</v>
      </c>
      <c r="N471" t="str">
        <f t="shared" si="29"/>
        <v>High</v>
      </c>
      <c r="O471" t="str">
        <f t="shared" si="30"/>
        <v>Zero Balance</v>
      </c>
      <c r="P471" t="str">
        <f t="shared" si="31"/>
        <v>New</v>
      </c>
    </row>
    <row r="472" spans="1:16" x14ac:dyDescent="0.25">
      <c r="A472">
        <v>2025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  <c r="M472" t="str">
        <f t="shared" si="28"/>
        <v>&lt;30</v>
      </c>
      <c r="N472" t="str">
        <f t="shared" si="29"/>
        <v>Medium</v>
      </c>
      <c r="O472" t="str">
        <f t="shared" si="30"/>
        <v>High Balance</v>
      </c>
      <c r="P472" t="str">
        <f t="shared" si="31"/>
        <v>Long-term</v>
      </c>
    </row>
    <row r="473" spans="1:16" x14ac:dyDescent="0.25">
      <c r="A473">
        <v>2025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  <c r="M473" t="str">
        <f t="shared" si="28"/>
        <v>30-45</v>
      </c>
      <c r="N473" t="str">
        <f t="shared" si="29"/>
        <v>High</v>
      </c>
      <c r="O473" t="str">
        <f t="shared" si="30"/>
        <v>High Balance</v>
      </c>
      <c r="P473" t="str">
        <f t="shared" si="31"/>
        <v>New</v>
      </c>
    </row>
    <row r="474" spans="1:16" x14ac:dyDescent="0.25">
      <c r="A474">
        <v>2025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  <c r="M474" t="str">
        <f t="shared" si="28"/>
        <v>&lt;30</v>
      </c>
      <c r="N474" t="str">
        <f t="shared" si="29"/>
        <v>High</v>
      </c>
      <c r="O474" t="str">
        <f t="shared" si="30"/>
        <v>Low Balance</v>
      </c>
      <c r="P474" t="str">
        <f t="shared" si="31"/>
        <v>New</v>
      </c>
    </row>
    <row r="475" spans="1:16" x14ac:dyDescent="0.25">
      <c r="A475">
        <v>2025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  <c r="M475" t="str">
        <f t="shared" si="28"/>
        <v>&lt;30</v>
      </c>
      <c r="N475" t="str">
        <f t="shared" si="29"/>
        <v>High</v>
      </c>
      <c r="O475" t="str">
        <f t="shared" si="30"/>
        <v>Zero Balance</v>
      </c>
      <c r="P475" t="str">
        <f t="shared" si="31"/>
        <v>Long-term</v>
      </c>
    </row>
    <row r="476" spans="1:16" x14ac:dyDescent="0.25">
      <c r="A476">
        <v>2025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  <c r="M476" t="str">
        <f t="shared" si="28"/>
        <v>30-45</v>
      </c>
      <c r="N476" t="str">
        <f t="shared" si="29"/>
        <v>Medium</v>
      </c>
      <c r="O476" t="str">
        <f t="shared" si="30"/>
        <v>Zero Balance</v>
      </c>
      <c r="P476" t="str">
        <f t="shared" si="31"/>
        <v>New</v>
      </c>
    </row>
    <row r="477" spans="1:16" x14ac:dyDescent="0.25">
      <c r="A477">
        <v>2025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  <c r="M477" t="str">
        <f t="shared" si="28"/>
        <v>46-60</v>
      </c>
      <c r="N477" t="str">
        <f t="shared" si="29"/>
        <v>Medium</v>
      </c>
      <c r="O477" t="str">
        <f t="shared" si="30"/>
        <v>High Balance</v>
      </c>
      <c r="P477" t="str">
        <f t="shared" si="31"/>
        <v>Mid-term</v>
      </c>
    </row>
    <row r="478" spans="1:16" x14ac:dyDescent="0.25">
      <c r="A478">
        <v>2025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  <c r="M478" t="str">
        <f t="shared" si="28"/>
        <v>30-45</v>
      </c>
      <c r="N478" t="str">
        <f t="shared" si="29"/>
        <v>Medium</v>
      </c>
      <c r="O478" t="str">
        <f t="shared" si="30"/>
        <v>High Balance</v>
      </c>
      <c r="P478" t="str">
        <f t="shared" si="31"/>
        <v>New</v>
      </c>
    </row>
    <row r="479" spans="1:16" x14ac:dyDescent="0.25">
      <c r="A479">
        <v>2025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  <c r="M479" t="str">
        <f t="shared" si="28"/>
        <v>30-45</v>
      </c>
      <c r="N479" t="str">
        <f t="shared" si="29"/>
        <v>Medium</v>
      </c>
      <c r="O479" t="str">
        <f t="shared" si="30"/>
        <v>High Balance</v>
      </c>
      <c r="P479" t="str">
        <f t="shared" si="31"/>
        <v>Long-term</v>
      </c>
    </row>
    <row r="480" spans="1:16" x14ac:dyDescent="0.25">
      <c r="A480">
        <v>2025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  <c r="M480" t="str">
        <f t="shared" si="28"/>
        <v>30-45</v>
      </c>
      <c r="N480" t="str">
        <f t="shared" si="29"/>
        <v>Medium</v>
      </c>
      <c r="O480" t="str">
        <f t="shared" si="30"/>
        <v>Zero Balance</v>
      </c>
      <c r="P480" t="str">
        <f t="shared" si="31"/>
        <v>Mid-term</v>
      </c>
    </row>
    <row r="481" spans="1:16" x14ac:dyDescent="0.25">
      <c r="A481">
        <v>2025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  <c r="M481" t="str">
        <f t="shared" si="28"/>
        <v>&lt;30</v>
      </c>
      <c r="N481" t="str">
        <f t="shared" si="29"/>
        <v>Medium</v>
      </c>
      <c r="O481" t="str">
        <f t="shared" si="30"/>
        <v>Low Balance</v>
      </c>
      <c r="P481" t="str">
        <f t="shared" si="31"/>
        <v>Mid-term</v>
      </c>
    </row>
    <row r="482" spans="1:16" x14ac:dyDescent="0.25">
      <c r="A482">
        <v>2025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  <c r="M482" t="str">
        <f t="shared" si="28"/>
        <v>30-45</v>
      </c>
      <c r="N482" t="str">
        <f t="shared" si="29"/>
        <v>High</v>
      </c>
      <c r="O482" t="str">
        <f t="shared" si="30"/>
        <v>High Balance</v>
      </c>
      <c r="P482" t="str">
        <f t="shared" si="31"/>
        <v>Mid-term</v>
      </c>
    </row>
    <row r="483" spans="1:16" x14ac:dyDescent="0.25">
      <c r="A483">
        <v>2025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  <c r="M483" t="str">
        <f t="shared" si="28"/>
        <v>&lt;30</v>
      </c>
      <c r="N483" t="str">
        <f t="shared" si="29"/>
        <v>Medium</v>
      </c>
      <c r="O483" t="str">
        <f t="shared" si="30"/>
        <v>Zero Balance</v>
      </c>
      <c r="P483" t="str">
        <f t="shared" si="31"/>
        <v>Mid-term</v>
      </c>
    </row>
    <row r="484" spans="1:16" x14ac:dyDescent="0.25">
      <c r="A484">
        <v>2025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  <c r="M484" t="str">
        <f t="shared" si="28"/>
        <v>30-45</v>
      </c>
      <c r="N484" t="str">
        <f t="shared" si="29"/>
        <v>High</v>
      </c>
      <c r="O484" t="str">
        <f t="shared" si="30"/>
        <v>Zero Balance</v>
      </c>
      <c r="P484" t="str">
        <f t="shared" si="31"/>
        <v>Long-term</v>
      </c>
    </row>
    <row r="485" spans="1:16" x14ac:dyDescent="0.25">
      <c r="A485">
        <v>2025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  <c r="M485" t="str">
        <f t="shared" si="28"/>
        <v>30-45</v>
      </c>
      <c r="N485" t="str">
        <f t="shared" si="29"/>
        <v>Low</v>
      </c>
      <c r="O485" t="str">
        <f t="shared" si="30"/>
        <v>High Balance</v>
      </c>
      <c r="P485" t="str">
        <f t="shared" si="31"/>
        <v>Long-term</v>
      </c>
    </row>
    <row r="486" spans="1:16" x14ac:dyDescent="0.25">
      <c r="A486">
        <v>2025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  <c r="M486" t="str">
        <f t="shared" si="28"/>
        <v>60+</v>
      </c>
      <c r="N486" t="str">
        <f t="shared" si="29"/>
        <v>Medium</v>
      </c>
      <c r="O486" t="str">
        <f t="shared" si="30"/>
        <v>Zero Balance</v>
      </c>
      <c r="P486" t="str">
        <f t="shared" si="31"/>
        <v>Long-term</v>
      </c>
    </row>
    <row r="487" spans="1:16" x14ac:dyDescent="0.25">
      <c r="A487">
        <v>2025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  <c r="M487" t="str">
        <f t="shared" si="28"/>
        <v>30-45</v>
      </c>
      <c r="N487" t="str">
        <f t="shared" si="29"/>
        <v>High</v>
      </c>
      <c r="O487" t="str">
        <f t="shared" si="30"/>
        <v>High Balance</v>
      </c>
      <c r="P487" t="str">
        <f t="shared" si="31"/>
        <v>New</v>
      </c>
    </row>
    <row r="488" spans="1:16" x14ac:dyDescent="0.25">
      <c r="A488">
        <v>2025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  <c r="M488" t="str">
        <f t="shared" si="28"/>
        <v>30-45</v>
      </c>
      <c r="N488" t="str">
        <f t="shared" si="29"/>
        <v>Medium</v>
      </c>
      <c r="O488" t="str">
        <f t="shared" si="30"/>
        <v>Zero Balance</v>
      </c>
      <c r="P488" t="str">
        <f t="shared" si="31"/>
        <v>Mid-term</v>
      </c>
    </row>
    <row r="489" spans="1:16" x14ac:dyDescent="0.25">
      <c r="A489">
        <v>2025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  <c r="M489" t="str">
        <f t="shared" si="28"/>
        <v>30-45</v>
      </c>
      <c r="N489" t="str">
        <f t="shared" si="29"/>
        <v>Medium</v>
      </c>
      <c r="O489" t="str">
        <f t="shared" si="30"/>
        <v>High Balance</v>
      </c>
      <c r="P489" t="str">
        <f t="shared" si="31"/>
        <v>New</v>
      </c>
    </row>
    <row r="490" spans="1:16" x14ac:dyDescent="0.25">
      <c r="A490">
        <v>2025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  <c r="M490" t="str">
        <f t="shared" si="28"/>
        <v>30-45</v>
      </c>
      <c r="N490" t="str">
        <f t="shared" si="29"/>
        <v>Medium</v>
      </c>
      <c r="O490" t="str">
        <f t="shared" si="30"/>
        <v>Zero Balance</v>
      </c>
      <c r="P490" t="str">
        <f t="shared" si="31"/>
        <v>New</v>
      </c>
    </row>
    <row r="491" spans="1:16" x14ac:dyDescent="0.25">
      <c r="A491">
        <v>2025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  <c r="M491" t="str">
        <f t="shared" si="28"/>
        <v>46-60</v>
      </c>
      <c r="N491" t="str">
        <f t="shared" si="29"/>
        <v>High</v>
      </c>
      <c r="O491" t="str">
        <f t="shared" si="30"/>
        <v>High Balance</v>
      </c>
      <c r="P491" t="str">
        <f t="shared" si="31"/>
        <v>Long-term</v>
      </c>
    </row>
    <row r="492" spans="1:16" x14ac:dyDescent="0.25">
      <c r="A492">
        <v>2025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  <c r="M492" t="str">
        <f t="shared" si="28"/>
        <v>&lt;30</v>
      </c>
      <c r="N492" t="str">
        <f t="shared" si="29"/>
        <v>Medium</v>
      </c>
      <c r="O492" t="str">
        <f t="shared" si="30"/>
        <v>Low Balance</v>
      </c>
      <c r="P492" t="str">
        <f t="shared" si="31"/>
        <v>New</v>
      </c>
    </row>
    <row r="493" spans="1:16" x14ac:dyDescent="0.25">
      <c r="A493">
        <v>2025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  <c r="M493" t="str">
        <f t="shared" si="28"/>
        <v>30-45</v>
      </c>
      <c r="N493" t="str">
        <f t="shared" si="29"/>
        <v>High</v>
      </c>
      <c r="O493" t="str">
        <f t="shared" si="30"/>
        <v>High Balance</v>
      </c>
      <c r="P493" t="str">
        <f t="shared" si="31"/>
        <v>New</v>
      </c>
    </row>
    <row r="494" spans="1:16" x14ac:dyDescent="0.25">
      <c r="A494">
        <v>2025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  <c r="M494" t="str">
        <f t="shared" si="28"/>
        <v>30-45</v>
      </c>
      <c r="N494" t="str">
        <f t="shared" si="29"/>
        <v>Medium</v>
      </c>
      <c r="O494" t="str">
        <f t="shared" si="30"/>
        <v>Low Balance</v>
      </c>
      <c r="P494" t="str">
        <f t="shared" si="31"/>
        <v>Mid-term</v>
      </c>
    </row>
    <row r="495" spans="1:16" x14ac:dyDescent="0.25">
      <c r="A495">
        <v>2025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  <c r="M495" t="str">
        <f t="shared" si="28"/>
        <v>46-60</v>
      </c>
      <c r="N495" t="str">
        <f t="shared" si="29"/>
        <v>Medium</v>
      </c>
      <c r="O495" t="str">
        <f t="shared" si="30"/>
        <v>Zero Balance</v>
      </c>
      <c r="P495" t="str">
        <f t="shared" si="31"/>
        <v>Mid-term</v>
      </c>
    </row>
    <row r="496" spans="1:16" x14ac:dyDescent="0.25">
      <c r="A496">
        <v>2025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  <c r="M496" t="str">
        <f t="shared" si="28"/>
        <v>30-45</v>
      </c>
      <c r="N496" t="str">
        <f t="shared" si="29"/>
        <v>Medium</v>
      </c>
      <c r="O496" t="str">
        <f t="shared" si="30"/>
        <v>High Balance</v>
      </c>
      <c r="P496" t="str">
        <f t="shared" si="31"/>
        <v>New</v>
      </c>
    </row>
    <row r="497" spans="1:16" x14ac:dyDescent="0.25">
      <c r="A497">
        <v>2025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  <c r="M497" t="str">
        <f t="shared" si="28"/>
        <v>30-45</v>
      </c>
      <c r="N497" t="str">
        <f t="shared" si="29"/>
        <v>High</v>
      </c>
      <c r="O497" t="str">
        <f t="shared" si="30"/>
        <v>Low Balance</v>
      </c>
      <c r="P497" t="str">
        <f t="shared" si="31"/>
        <v>Long-term</v>
      </c>
    </row>
    <row r="498" spans="1:16" x14ac:dyDescent="0.25">
      <c r="A498">
        <v>2025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  <c r="M498" t="str">
        <f t="shared" si="28"/>
        <v>30-45</v>
      </c>
      <c r="N498" t="str">
        <f t="shared" si="29"/>
        <v>Medium</v>
      </c>
      <c r="O498" t="str">
        <f t="shared" si="30"/>
        <v>High Balance</v>
      </c>
      <c r="P498" t="str">
        <f t="shared" si="31"/>
        <v>Mid-term</v>
      </c>
    </row>
    <row r="499" spans="1:16" x14ac:dyDescent="0.25">
      <c r="A499">
        <v>2025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  <c r="M499" t="str">
        <f t="shared" si="28"/>
        <v>30-45</v>
      </c>
      <c r="N499" t="str">
        <f t="shared" si="29"/>
        <v>High</v>
      </c>
      <c r="O499" t="str">
        <f t="shared" si="30"/>
        <v>Low Balance</v>
      </c>
      <c r="P499" t="str">
        <f t="shared" si="31"/>
        <v>Mid-term</v>
      </c>
    </row>
    <row r="500" spans="1:16" x14ac:dyDescent="0.25">
      <c r="A500">
        <v>2025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  <c r="M500" t="str">
        <f t="shared" si="28"/>
        <v>&lt;30</v>
      </c>
      <c r="N500" t="str">
        <f t="shared" si="29"/>
        <v>High</v>
      </c>
      <c r="O500" t="str">
        <f t="shared" si="30"/>
        <v>High Balance</v>
      </c>
      <c r="P500" t="str">
        <f t="shared" si="31"/>
        <v>Long-term</v>
      </c>
    </row>
    <row r="501" spans="1:16" x14ac:dyDescent="0.25">
      <c r="A501">
        <v>2025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  <c r="M501" t="str">
        <f t="shared" si="28"/>
        <v>46-60</v>
      </c>
      <c r="N501" t="str">
        <f t="shared" si="29"/>
        <v>Medium</v>
      </c>
      <c r="O501" t="str">
        <f t="shared" si="30"/>
        <v>Zero Balance</v>
      </c>
      <c r="P501" t="str">
        <f t="shared" si="31"/>
        <v>Long-term</v>
      </c>
    </row>
    <row r="502" spans="1:16" x14ac:dyDescent="0.25">
      <c r="A502">
        <v>2025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  <c r="M502" t="str">
        <f t="shared" si="28"/>
        <v>30-45</v>
      </c>
      <c r="N502" t="str">
        <f t="shared" si="29"/>
        <v>Medium</v>
      </c>
      <c r="O502" t="str">
        <f t="shared" si="30"/>
        <v>Zero Balance</v>
      </c>
      <c r="P502" t="str">
        <f t="shared" si="31"/>
        <v>Mid-term</v>
      </c>
    </row>
    <row r="503" spans="1:16" x14ac:dyDescent="0.25">
      <c r="A503">
        <v>2025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  <c r="M503" t="str">
        <f t="shared" si="28"/>
        <v>46-60</v>
      </c>
      <c r="N503" t="str">
        <f t="shared" si="29"/>
        <v>Medium</v>
      </c>
      <c r="O503" t="str">
        <f t="shared" si="30"/>
        <v>Zero Balance</v>
      </c>
      <c r="P503" t="str">
        <f t="shared" si="31"/>
        <v>Mid-term</v>
      </c>
    </row>
    <row r="504" spans="1:16" x14ac:dyDescent="0.25">
      <c r="A504">
        <v>2025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  <c r="M504" t="str">
        <f t="shared" si="28"/>
        <v>46-60</v>
      </c>
      <c r="N504" t="str">
        <f t="shared" si="29"/>
        <v>High</v>
      </c>
      <c r="O504" t="str">
        <f t="shared" si="30"/>
        <v>Low Balance</v>
      </c>
      <c r="P504" t="str">
        <f t="shared" si="31"/>
        <v>Mid-term</v>
      </c>
    </row>
    <row r="505" spans="1:16" x14ac:dyDescent="0.25">
      <c r="A505">
        <v>2025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  <c r="M505" t="str">
        <f t="shared" si="28"/>
        <v>30-45</v>
      </c>
      <c r="N505" t="str">
        <f t="shared" si="29"/>
        <v>Medium</v>
      </c>
      <c r="O505" t="str">
        <f t="shared" si="30"/>
        <v>Low Balance</v>
      </c>
      <c r="P505" t="str">
        <f t="shared" si="31"/>
        <v>Long-term</v>
      </c>
    </row>
    <row r="506" spans="1:16" x14ac:dyDescent="0.25">
      <c r="A506">
        <v>2025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  <c r="M506" t="str">
        <f t="shared" si="28"/>
        <v>30-45</v>
      </c>
      <c r="N506" t="str">
        <f t="shared" si="29"/>
        <v>Medium</v>
      </c>
      <c r="O506" t="str">
        <f t="shared" si="30"/>
        <v>Zero Balance</v>
      </c>
      <c r="P506" t="str">
        <f t="shared" si="31"/>
        <v>Mid-term</v>
      </c>
    </row>
    <row r="507" spans="1:16" x14ac:dyDescent="0.25">
      <c r="A507">
        <v>2025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  <c r="M507" t="str">
        <f t="shared" si="28"/>
        <v>30-45</v>
      </c>
      <c r="N507" t="str">
        <f t="shared" si="29"/>
        <v>Medium</v>
      </c>
      <c r="O507" t="str">
        <f t="shared" si="30"/>
        <v>Zero Balance</v>
      </c>
      <c r="P507" t="str">
        <f t="shared" si="31"/>
        <v>Mid-term</v>
      </c>
    </row>
    <row r="508" spans="1:16" x14ac:dyDescent="0.25">
      <c r="A508">
        <v>2025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  <c r="M508" t="str">
        <f t="shared" si="28"/>
        <v>30-45</v>
      </c>
      <c r="N508" t="str">
        <f t="shared" si="29"/>
        <v>Medium</v>
      </c>
      <c r="O508" t="str">
        <f t="shared" si="30"/>
        <v>High Balance</v>
      </c>
      <c r="P508" t="str">
        <f t="shared" si="31"/>
        <v>Mid-term</v>
      </c>
    </row>
    <row r="509" spans="1:16" x14ac:dyDescent="0.25">
      <c r="A509">
        <v>2025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  <c r="M509" t="str">
        <f t="shared" si="28"/>
        <v>30-45</v>
      </c>
      <c r="N509" t="str">
        <f t="shared" si="29"/>
        <v>Medium</v>
      </c>
      <c r="O509" t="str">
        <f t="shared" si="30"/>
        <v>High Balance</v>
      </c>
      <c r="P509" t="str">
        <f t="shared" si="31"/>
        <v>Mid-term</v>
      </c>
    </row>
    <row r="510" spans="1:16" x14ac:dyDescent="0.25">
      <c r="A510">
        <v>2025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  <c r="M510" t="str">
        <f t="shared" si="28"/>
        <v>&lt;30</v>
      </c>
      <c r="N510" t="str">
        <f t="shared" si="29"/>
        <v>High</v>
      </c>
      <c r="O510" t="str">
        <f t="shared" si="30"/>
        <v>Zero Balance</v>
      </c>
      <c r="P510" t="str">
        <f t="shared" si="31"/>
        <v>Mid-term</v>
      </c>
    </row>
    <row r="511" spans="1:16" x14ac:dyDescent="0.25">
      <c r="A511">
        <v>2025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  <c r="M511" t="str">
        <f t="shared" si="28"/>
        <v>30-45</v>
      </c>
      <c r="N511" t="str">
        <f t="shared" si="29"/>
        <v>Medium</v>
      </c>
      <c r="O511" t="str">
        <f t="shared" si="30"/>
        <v>Zero Balance</v>
      </c>
      <c r="P511" t="str">
        <f t="shared" si="31"/>
        <v>New</v>
      </c>
    </row>
    <row r="512" spans="1:16" x14ac:dyDescent="0.25">
      <c r="A512">
        <v>2025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  <c r="M512" t="str">
        <f t="shared" si="28"/>
        <v>30-45</v>
      </c>
      <c r="N512" t="str">
        <f t="shared" si="29"/>
        <v>Medium</v>
      </c>
      <c r="O512" t="str">
        <f t="shared" si="30"/>
        <v>Low Balance</v>
      </c>
      <c r="P512" t="str">
        <f t="shared" si="31"/>
        <v>Long-term</v>
      </c>
    </row>
    <row r="513" spans="1:16" x14ac:dyDescent="0.25">
      <c r="A513">
        <v>2025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  <c r="M513" t="str">
        <f t="shared" si="28"/>
        <v>30-45</v>
      </c>
      <c r="N513" t="str">
        <f t="shared" si="29"/>
        <v>Medium</v>
      </c>
      <c r="O513" t="str">
        <f t="shared" si="30"/>
        <v>Low Balance</v>
      </c>
      <c r="P513" t="str">
        <f t="shared" si="31"/>
        <v>Mid-term</v>
      </c>
    </row>
    <row r="514" spans="1:16" x14ac:dyDescent="0.25">
      <c r="A514">
        <v>2025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  <c r="M514" t="str">
        <f t="shared" si="28"/>
        <v>30-45</v>
      </c>
      <c r="N514" t="str">
        <f t="shared" si="29"/>
        <v>High</v>
      </c>
      <c r="O514" t="str">
        <f t="shared" si="30"/>
        <v>Zero Balance</v>
      </c>
      <c r="P514" t="str">
        <f t="shared" si="31"/>
        <v>Mid-term</v>
      </c>
    </row>
    <row r="515" spans="1:16" x14ac:dyDescent="0.25">
      <c r="A515">
        <v>2025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  <c r="M515" t="str">
        <f t="shared" ref="M515:M578" si="32">IF(E515&lt;30,"&lt;30",IF(E515&lt;=45,"30-45",IF(E515&lt;=60,"46-60","60+")))</f>
        <v>30-45</v>
      </c>
      <c r="N515" t="str">
        <f t="shared" ref="N515:N578" si="33">IF(B515&lt;500,"Low",IF(B515&lt;700,"Medium","High"))</f>
        <v>High</v>
      </c>
      <c r="O515" t="str">
        <f t="shared" ref="O515:O578" si="34">IF(G515=0,"Zero Balance",IF(G515&lt;100000,"Low Balance","High Balance"))</f>
        <v>High Balance</v>
      </c>
      <c r="P515" t="str">
        <f t="shared" ref="P515:P578" si="35">IF(F515&lt;=3,"New",IF(F515&lt;=7,"Mid-term","Long-term"))</f>
        <v>Mid-term</v>
      </c>
    </row>
    <row r="516" spans="1:16" x14ac:dyDescent="0.25">
      <c r="A516">
        <v>2025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  <c r="M516" t="str">
        <f t="shared" si="32"/>
        <v>46-60</v>
      </c>
      <c r="N516" t="str">
        <f t="shared" si="33"/>
        <v>Medium</v>
      </c>
      <c r="O516" t="str">
        <f t="shared" si="34"/>
        <v>High Balance</v>
      </c>
      <c r="P516" t="str">
        <f t="shared" si="35"/>
        <v>New</v>
      </c>
    </row>
    <row r="517" spans="1:16" x14ac:dyDescent="0.25">
      <c r="A517">
        <v>2025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  <c r="M517" t="str">
        <f t="shared" si="32"/>
        <v>30-45</v>
      </c>
      <c r="N517" t="str">
        <f t="shared" si="33"/>
        <v>High</v>
      </c>
      <c r="O517" t="str">
        <f t="shared" si="34"/>
        <v>Zero Balance</v>
      </c>
      <c r="P517" t="str">
        <f t="shared" si="35"/>
        <v>Long-term</v>
      </c>
    </row>
    <row r="518" spans="1:16" x14ac:dyDescent="0.25">
      <c r="A518">
        <v>2025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  <c r="M518" t="str">
        <f t="shared" si="32"/>
        <v>46-60</v>
      </c>
      <c r="N518" t="str">
        <f t="shared" si="33"/>
        <v>Low</v>
      </c>
      <c r="O518" t="str">
        <f t="shared" si="34"/>
        <v>Zero Balance</v>
      </c>
      <c r="P518" t="str">
        <f t="shared" si="35"/>
        <v>Long-term</v>
      </c>
    </row>
    <row r="519" spans="1:16" x14ac:dyDescent="0.25">
      <c r="A519">
        <v>2025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  <c r="M519" t="str">
        <f t="shared" si="32"/>
        <v>30-45</v>
      </c>
      <c r="N519" t="str">
        <f t="shared" si="33"/>
        <v>High</v>
      </c>
      <c r="O519" t="str">
        <f t="shared" si="34"/>
        <v>High Balance</v>
      </c>
      <c r="P519" t="str">
        <f t="shared" si="35"/>
        <v>Mid-term</v>
      </c>
    </row>
    <row r="520" spans="1:16" x14ac:dyDescent="0.25">
      <c r="A520">
        <v>2025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  <c r="M520" t="str">
        <f t="shared" si="32"/>
        <v>46-60</v>
      </c>
      <c r="N520" t="str">
        <f t="shared" si="33"/>
        <v>Medium</v>
      </c>
      <c r="O520" t="str">
        <f t="shared" si="34"/>
        <v>High Balance</v>
      </c>
      <c r="P520" t="str">
        <f t="shared" si="35"/>
        <v>Mid-term</v>
      </c>
    </row>
    <row r="521" spans="1:16" x14ac:dyDescent="0.25">
      <c r="A521">
        <v>2025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  <c r="M521" t="str">
        <f t="shared" si="32"/>
        <v>46-60</v>
      </c>
      <c r="N521" t="str">
        <f t="shared" si="33"/>
        <v>High</v>
      </c>
      <c r="O521" t="str">
        <f t="shared" si="34"/>
        <v>Low Balance</v>
      </c>
      <c r="P521" t="str">
        <f t="shared" si="35"/>
        <v>Mid-term</v>
      </c>
    </row>
    <row r="522" spans="1:16" x14ac:dyDescent="0.25">
      <c r="A522">
        <v>2025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  <c r="M522" t="str">
        <f t="shared" si="32"/>
        <v>30-45</v>
      </c>
      <c r="N522" t="str">
        <f t="shared" si="33"/>
        <v>High</v>
      </c>
      <c r="O522" t="str">
        <f t="shared" si="34"/>
        <v>High Balance</v>
      </c>
      <c r="P522" t="str">
        <f t="shared" si="35"/>
        <v>New</v>
      </c>
    </row>
    <row r="523" spans="1:16" x14ac:dyDescent="0.25">
      <c r="A523">
        <v>2025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  <c r="M523" t="str">
        <f t="shared" si="32"/>
        <v>46-60</v>
      </c>
      <c r="N523" t="str">
        <f t="shared" si="33"/>
        <v>High</v>
      </c>
      <c r="O523" t="str">
        <f t="shared" si="34"/>
        <v>High Balance</v>
      </c>
      <c r="P523" t="str">
        <f t="shared" si="35"/>
        <v>Mid-term</v>
      </c>
    </row>
    <row r="524" spans="1:16" x14ac:dyDescent="0.25">
      <c r="A524">
        <v>2025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  <c r="M524" t="str">
        <f t="shared" si="32"/>
        <v>30-45</v>
      </c>
      <c r="N524" t="str">
        <f t="shared" si="33"/>
        <v>Medium</v>
      </c>
      <c r="O524" t="str">
        <f t="shared" si="34"/>
        <v>Low Balance</v>
      </c>
      <c r="P524" t="str">
        <f t="shared" si="35"/>
        <v>Mid-term</v>
      </c>
    </row>
    <row r="525" spans="1:16" x14ac:dyDescent="0.25">
      <c r="A525">
        <v>2025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  <c r="M525" t="str">
        <f t="shared" si="32"/>
        <v>30-45</v>
      </c>
      <c r="N525" t="str">
        <f t="shared" si="33"/>
        <v>Medium</v>
      </c>
      <c r="O525" t="str">
        <f t="shared" si="34"/>
        <v>High Balance</v>
      </c>
      <c r="P525" t="str">
        <f t="shared" si="35"/>
        <v>Long-term</v>
      </c>
    </row>
    <row r="526" spans="1:16" x14ac:dyDescent="0.25">
      <c r="A526">
        <v>2025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  <c r="M526" t="str">
        <f t="shared" si="32"/>
        <v>46-60</v>
      </c>
      <c r="N526" t="str">
        <f t="shared" si="33"/>
        <v>Medium</v>
      </c>
      <c r="O526" t="str">
        <f t="shared" si="34"/>
        <v>High Balance</v>
      </c>
      <c r="P526" t="str">
        <f t="shared" si="35"/>
        <v>New</v>
      </c>
    </row>
    <row r="527" spans="1:16" x14ac:dyDescent="0.25">
      <c r="A527">
        <v>2025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  <c r="M527" t="str">
        <f t="shared" si="32"/>
        <v>30-45</v>
      </c>
      <c r="N527" t="str">
        <f t="shared" si="33"/>
        <v>High</v>
      </c>
      <c r="O527" t="str">
        <f t="shared" si="34"/>
        <v>Zero Balance</v>
      </c>
      <c r="P527" t="str">
        <f t="shared" si="35"/>
        <v>New</v>
      </c>
    </row>
    <row r="528" spans="1:16" x14ac:dyDescent="0.25">
      <c r="A528">
        <v>2025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  <c r="M528" t="str">
        <f t="shared" si="32"/>
        <v>30-45</v>
      </c>
      <c r="N528" t="str">
        <f t="shared" si="33"/>
        <v>High</v>
      </c>
      <c r="O528" t="str">
        <f t="shared" si="34"/>
        <v>Zero Balance</v>
      </c>
      <c r="P528" t="str">
        <f t="shared" si="35"/>
        <v>New</v>
      </c>
    </row>
    <row r="529" spans="1:16" x14ac:dyDescent="0.25">
      <c r="A529">
        <v>2025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  <c r="M529" t="str">
        <f t="shared" si="32"/>
        <v>&lt;30</v>
      </c>
      <c r="N529" t="str">
        <f t="shared" si="33"/>
        <v>Medium</v>
      </c>
      <c r="O529" t="str">
        <f t="shared" si="34"/>
        <v>Zero Balance</v>
      </c>
      <c r="P529" t="str">
        <f t="shared" si="35"/>
        <v>Long-term</v>
      </c>
    </row>
    <row r="530" spans="1:16" x14ac:dyDescent="0.25">
      <c r="A530">
        <v>2025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  <c r="M530" t="str">
        <f t="shared" si="32"/>
        <v>46-60</v>
      </c>
      <c r="N530" t="str">
        <f t="shared" si="33"/>
        <v>Medium</v>
      </c>
      <c r="O530" t="str">
        <f t="shared" si="34"/>
        <v>High Balance</v>
      </c>
      <c r="P530" t="str">
        <f t="shared" si="35"/>
        <v>New</v>
      </c>
    </row>
    <row r="531" spans="1:16" x14ac:dyDescent="0.25">
      <c r="A531">
        <v>2025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  <c r="M531" t="str">
        <f t="shared" si="32"/>
        <v>30-45</v>
      </c>
      <c r="N531" t="str">
        <f t="shared" si="33"/>
        <v>Medium</v>
      </c>
      <c r="O531" t="str">
        <f t="shared" si="34"/>
        <v>Low Balance</v>
      </c>
      <c r="P531" t="str">
        <f t="shared" si="35"/>
        <v>New</v>
      </c>
    </row>
    <row r="532" spans="1:16" x14ac:dyDescent="0.25">
      <c r="A532">
        <v>2025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  <c r="M532" t="str">
        <f t="shared" si="32"/>
        <v>46-60</v>
      </c>
      <c r="N532" t="str">
        <f t="shared" si="33"/>
        <v>Medium</v>
      </c>
      <c r="O532" t="str">
        <f t="shared" si="34"/>
        <v>High Balance</v>
      </c>
      <c r="P532" t="str">
        <f t="shared" si="35"/>
        <v>New</v>
      </c>
    </row>
    <row r="533" spans="1:16" x14ac:dyDescent="0.25">
      <c r="A533">
        <v>2025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  <c r="M533" t="str">
        <f t="shared" si="32"/>
        <v>&lt;30</v>
      </c>
      <c r="N533" t="str">
        <f t="shared" si="33"/>
        <v>High</v>
      </c>
      <c r="O533" t="str">
        <f t="shared" si="34"/>
        <v>High Balance</v>
      </c>
      <c r="P533" t="str">
        <f t="shared" si="35"/>
        <v>Mid-term</v>
      </c>
    </row>
    <row r="534" spans="1:16" x14ac:dyDescent="0.25">
      <c r="A534">
        <v>2025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  <c r="M534" t="str">
        <f t="shared" si="32"/>
        <v>30-45</v>
      </c>
      <c r="N534" t="str">
        <f t="shared" si="33"/>
        <v>High</v>
      </c>
      <c r="O534" t="str">
        <f t="shared" si="34"/>
        <v>Low Balance</v>
      </c>
      <c r="P534" t="str">
        <f t="shared" si="35"/>
        <v>Mid-term</v>
      </c>
    </row>
    <row r="535" spans="1:16" x14ac:dyDescent="0.25">
      <c r="A535">
        <v>2025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  <c r="M535" t="str">
        <f t="shared" si="32"/>
        <v>30-45</v>
      </c>
      <c r="N535" t="str">
        <f t="shared" si="33"/>
        <v>Medium</v>
      </c>
      <c r="O535" t="str">
        <f t="shared" si="34"/>
        <v>Low Balance</v>
      </c>
      <c r="P535" t="str">
        <f t="shared" si="35"/>
        <v>Long-term</v>
      </c>
    </row>
    <row r="536" spans="1:16" x14ac:dyDescent="0.25">
      <c r="A536">
        <v>2025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  <c r="M536" t="str">
        <f t="shared" si="32"/>
        <v>30-45</v>
      </c>
      <c r="N536" t="str">
        <f t="shared" si="33"/>
        <v>Medium</v>
      </c>
      <c r="O536" t="str">
        <f t="shared" si="34"/>
        <v>High Balance</v>
      </c>
      <c r="P536" t="str">
        <f t="shared" si="35"/>
        <v>Mid-term</v>
      </c>
    </row>
    <row r="537" spans="1:16" x14ac:dyDescent="0.25">
      <c r="A537">
        <v>2025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  <c r="M537" t="str">
        <f t="shared" si="32"/>
        <v>46-60</v>
      </c>
      <c r="N537" t="str">
        <f t="shared" si="33"/>
        <v>Medium</v>
      </c>
      <c r="O537" t="str">
        <f t="shared" si="34"/>
        <v>Zero Balance</v>
      </c>
      <c r="P537" t="str">
        <f t="shared" si="35"/>
        <v>New</v>
      </c>
    </row>
    <row r="538" spans="1:16" x14ac:dyDescent="0.25">
      <c r="A538">
        <v>2025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  <c r="M538" t="str">
        <f t="shared" si="32"/>
        <v>30-45</v>
      </c>
      <c r="N538" t="str">
        <f t="shared" si="33"/>
        <v>Medium</v>
      </c>
      <c r="O538" t="str">
        <f t="shared" si="34"/>
        <v>High Balance</v>
      </c>
      <c r="P538" t="str">
        <f t="shared" si="35"/>
        <v>Long-term</v>
      </c>
    </row>
    <row r="539" spans="1:16" x14ac:dyDescent="0.25">
      <c r="A539">
        <v>2025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  <c r="M539" t="str">
        <f t="shared" si="32"/>
        <v>30-45</v>
      </c>
      <c r="N539" t="str">
        <f t="shared" si="33"/>
        <v>Medium</v>
      </c>
      <c r="O539" t="str">
        <f t="shared" si="34"/>
        <v>Zero Balance</v>
      </c>
      <c r="P539" t="str">
        <f t="shared" si="35"/>
        <v>Long-term</v>
      </c>
    </row>
    <row r="540" spans="1:16" x14ac:dyDescent="0.25">
      <c r="A540">
        <v>2025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  <c r="M540" t="str">
        <f t="shared" si="32"/>
        <v>60+</v>
      </c>
      <c r="N540" t="str">
        <f t="shared" si="33"/>
        <v>Medium</v>
      </c>
      <c r="O540" t="str">
        <f t="shared" si="34"/>
        <v>High Balance</v>
      </c>
      <c r="P540" t="str">
        <f t="shared" si="35"/>
        <v>Mid-term</v>
      </c>
    </row>
    <row r="541" spans="1:16" x14ac:dyDescent="0.25">
      <c r="A541">
        <v>2025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  <c r="M541" t="str">
        <f t="shared" si="32"/>
        <v>&lt;30</v>
      </c>
      <c r="N541" t="str">
        <f t="shared" si="33"/>
        <v>High</v>
      </c>
      <c r="O541" t="str">
        <f t="shared" si="34"/>
        <v>High Balance</v>
      </c>
      <c r="P541" t="str">
        <f t="shared" si="35"/>
        <v>New</v>
      </c>
    </row>
    <row r="542" spans="1:16" x14ac:dyDescent="0.25">
      <c r="A542">
        <v>2025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  <c r="M542" t="str">
        <f t="shared" si="32"/>
        <v>30-45</v>
      </c>
      <c r="N542" t="str">
        <f t="shared" si="33"/>
        <v>High</v>
      </c>
      <c r="O542" t="str">
        <f t="shared" si="34"/>
        <v>High Balance</v>
      </c>
      <c r="P542" t="str">
        <f t="shared" si="35"/>
        <v>Long-term</v>
      </c>
    </row>
    <row r="543" spans="1:16" x14ac:dyDescent="0.25">
      <c r="A543">
        <v>2025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  <c r="M543" t="str">
        <f t="shared" si="32"/>
        <v>&lt;30</v>
      </c>
      <c r="N543" t="str">
        <f t="shared" si="33"/>
        <v>Medium</v>
      </c>
      <c r="O543" t="str">
        <f t="shared" si="34"/>
        <v>Zero Balance</v>
      </c>
      <c r="P543" t="str">
        <f t="shared" si="35"/>
        <v>Long-term</v>
      </c>
    </row>
    <row r="544" spans="1:16" x14ac:dyDescent="0.25">
      <c r="A544">
        <v>2025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  <c r="M544" t="str">
        <f t="shared" si="32"/>
        <v>30-45</v>
      </c>
      <c r="N544" t="str">
        <f t="shared" si="33"/>
        <v>Medium</v>
      </c>
      <c r="O544" t="str">
        <f t="shared" si="34"/>
        <v>Low Balance</v>
      </c>
      <c r="P544" t="str">
        <f t="shared" si="35"/>
        <v>Mid-term</v>
      </c>
    </row>
    <row r="545" spans="1:16" x14ac:dyDescent="0.25">
      <c r="A545">
        <v>2025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  <c r="M545" t="str">
        <f t="shared" si="32"/>
        <v>46-60</v>
      </c>
      <c r="N545" t="str">
        <f t="shared" si="33"/>
        <v>High</v>
      </c>
      <c r="O545" t="str">
        <f t="shared" si="34"/>
        <v>High Balance</v>
      </c>
      <c r="P545" t="str">
        <f t="shared" si="35"/>
        <v>New</v>
      </c>
    </row>
    <row r="546" spans="1:16" x14ac:dyDescent="0.25">
      <c r="A546">
        <v>2025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  <c r="M546" t="str">
        <f t="shared" si="32"/>
        <v>46-60</v>
      </c>
      <c r="N546" t="str">
        <f t="shared" si="33"/>
        <v>Medium</v>
      </c>
      <c r="O546" t="str">
        <f t="shared" si="34"/>
        <v>Zero Balance</v>
      </c>
      <c r="P546" t="str">
        <f t="shared" si="35"/>
        <v>Mid-term</v>
      </c>
    </row>
    <row r="547" spans="1:16" x14ac:dyDescent="0.25">
      <c r="A547">
        <v>2025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  <c r="M547" t="str">
        <f t="shared" si="32"/>
        <v>30-45</v>
      </c>
      <c r="N547" t="str">
        <f t="shared" si="33"/>
        <v>High</v>
      </c>
      <c r="O547" t="str">
        <f t="shared" si="34"/>
        <v>High Balance</v>
      </c>
      <c r="P547" t="str">
        <f t="shared" si="35"/>
        <v>New</v>
      </c>
    </row>
    <row r="548" spans="1:16" x14ac:dyDescent="0.25">
      <c r="A548">
        <v>2025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  <c r="M548" t="str">
        <f t="shared" si="32"/>
        <v>30-45</v>
      </c>
      <c r="N548" t="str">
        <f t="shared" si="33"/>
        <v>Medium</v>
      </c>
      <c r="O548" t="str">
        <f t="shared" si="34"/>
        <v>Zero Balance</v>
      </c>
      <c r="P548" t="str">
        <f t="shared" si="35"/>
        <v>New</v>
      </c>
    </row>
    <row r="549" spans="1:16" x14ac:dyDescent="0.25">
      <c r="A549">
        <v>2025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  <c r="M549" t="str">
        <f t="shared" si="32"/>
        <v>30-45</v>
      </c>
      <c r="N549" t="str">
        <f t="shared" si="33"/>
        <v>Low</v>
      </c>
      <c r="O549" t="str">
        <f t="shared" si="34"/>
        <v>High Balance</v>
      </c>
      <c r="P549" t="str">
        <f t="shared" si="35"/>
        <v>Mid-term</v>
      </c>
    </row>
    <row r="550" spans="1:16" x14ac:dyDescent="0.25">
      <c r="A550">
        <v>2025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  <c r="M550" t="str">
        <f t="shared" si="32"/>
        <v>46-60</v>
      </c>
      <c r="N550" t="str">
        <f t="shared" si="33"/>
        <v>Medium</v>
      </c>
      <c r="O550" t="str">
        <f t="shared" si="34"/>
        <v>High Balance</v>
      </c>
      <c r="P550" t="str">
        <f t="shared" si="35"/>
        <v>Mid-term</v>
      </c>
    </row>
    <row r="551" spans="1:16" x14ac:dyDescent="0.25">
      <c r="A551">
        <v>2025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  <c r="M551" t="str">
        <f t="shared" si="32"/>
        <v>&lt;30</v>
      </c>
      <c r="N551" t="str">
        <f t="shared" si="33"/>
        <v>High</v>
      </c>
      <c r="O551" t="str">
        <f t="shared" si="34"/>
        <v>Zero Balance</v>
      </c>
      <c r="P551" t="str">
        <f t="shared" si="35"/>
        <v>New</v>
      </c>
    </row>
    <row r="552" spans="1:16" x14ac:dyDescent="0.25">
      <c r="A552">
        <v>2025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  <c r="M552" t="str">
        <f t="shared" si="32"/>
        <v>30-45</v>
      </c>
      <c r="N552" t="str">
        <f t="shared" si="33"/>
        <v>High</v>
      </c>
      <c r="O552" t="str">
        <f t="shared" si="34"/>
        <v>Low Balance</v>
      </c>
      <c r="P552" t="str">
        <f t="shared" si="35"/>
        <v>New</v>
      </c>
    </row>
    <row r="553" spans="1:16" x14ac:dyDescent="0.25">
      <c r="A553">
        <v>2025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  <c r="M553" t="str">
        <f t="shared" si="32"/>
        <v>46-60</v>
      </c>
      <c r="N553" t="str">
        <f t="shared" si="33"/>
        <v>Medium</v>
      </c>
      <c r="O553" t="str">
        <f t="shared" si="34"/>
        <v>High Balance</v>
      </c>
      <c r="P553" t="str">
        <f t="shared" si="35"/>
        <v>Mid-term</v>
      </c>
    </row>
    <row r="554" spans="1:16" x14ac:dyDescent="0.25">
      <c r="A554">
        <v>2025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  <c r="M554" t="str">
        <f t="shared" si="32"/>
        <v>&lt;30</v>
      </c>
      <c r="N554" t="str">
        <f t="shared" si="33"/>
        <v>Medium</v>
      </c>
      <c r="O554" t="str">
        <f t="shared" si="34"/>
        <v>High Balance</v>
      </c>
      <c r="P554" t="str">
        <f t="shared" si="35"/>
        <v>Long-term</v>
      </c>
    </row>
    <row r="555" spans="1:16" x14ac:dyDescent="0.25">
      <c r="A555">
        <v>2025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  <c r="M555" t="str">
        <f t="shared" si="32"/>
        <v>30-45</v>
      </c>
      <c r="N555" t="str">
        <f t="shared" si="33"/>
        <v>Low</v>
      </c>
      <c r="O555" t="str">
        <f t="shared" si="34"/>
        <v>Zero Balance</v>
      </c>
      <c r="P555" t="str">
        <f t="shared" si="35"/>
        <v>Mid-term</v>
      </c>
    </row>
    <row r="556" spans="1:16" x14ac:dyDescent="0.25">
      <c r="A556">
        <v>2025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  <c r="M556" t="str">
        <f t="shared" si="32"/>
        <v>30-45</v>
      </c>
      <c r="N556" t="str">
        <f t="shared" si="33"/>
        <v>Medium</v>
      </c>
      <c r="O556" t="str">
        <f t="shared" si="34"/>
        <v>High Balance</v>
      </c>
      <c r="P556" t="str">
        <f t="shared" si="35"/>
        <v>New</v>
      </c>
    </row>
    <row r="557" spans="1:16" x14ac:dyDescent="0.25">
      <c r="A557">
        <v>2025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  <c r="M557" t="str">
        <f t="shared" si="32"/>
        <v>46-60</v>
      </c>
      <c r="N557" t="str">
        <f t="shared" si="33"/>
        <v>Medium</v>
      </c>
      <c r="O557" t="str">
        <f t="shared" si="34"/>
        <v>High Balance</v>
      </c>
      <c r="P557" t="str">
        <f t="shared" si="35"/>
        <v>New</v>
      </c>
    </row>
    <row r="558" spans="1:16" x14ac:dyDescent="0.25">
      <c r="A558">
        <v>2025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  <c r="M558" t="str">
        <f t="shared" si="32"/>
        <v>30-45</v>
      </c>
      <c r="N558" t="str">
        <f t="shared" si="33"/>
        <v>Medium</v>
      </c>
      <c r="O558" t="str">
        <f t="shared" si="34"/>
        <v>High Balance</v>
      </c>
      <c r="P558" t="str">
        <f t="shared" si="35"/>
        <v>Mid-term</v>
      </c>
    </row>
    <row r="559" spans="1:16" x14ac:dyDescent="0.25">
      <c r="A559">
        <v>2025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  <c r="M559" t="str">
        <f t="shared" si="32"/>
        <v>30-45</v>
      </c>
      <c r="N559" t="str">
        <f t="shared" si="33"/>
        <v>Medium</v>
      </c>
      <c r="O559" t="str">
        <f t="shared" si="34"/>
        <v>Low Balance</v>
      </c>
      <c r="P559" t="str">
        <f t="shared" si="35"/>
        <v>New</v>
      </c>
    </row>
    <row r="560" spans="1:16" x14ac:dyDescent="0.25">
      <c r="A560">
        <v>2025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  <c r="M560" t="str">
        <f t="shared" si="32"/>
        <v>46-60</v>
      </c>
      <c r="N560" t="str">
        <f t="shared" si="33"/>
        <v>High</v>
      </c>
      <c r="O560" t="str">
        <f t="shared" si="34"/>
        <v>Zero Balance</v>
      </c>
      <c r="P560" t="str">
        <f t="shared" si="35"/>
        <v>New</v>
      </c>
    </row>
    <row r="561" spans="1:16" x14ac:dyDescent="0.25">
      <c r="A561">
        <v>2025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  <c r="M561" t="str">
        <f t="shared" si="32"/>
        <v>60+</v>
      </c>
      <c r="N561" t="str">
        <f t="shared" si="33"/>
        <v>High</v>
      </c>
      <c r="O561" t="str">
        <f t="shared" si="34"/>
        <v>Zero Balance</v>
      </c>
      <c r="P561" t="str">
        <f t="shared" si="35"/>
        <v>Mid-term</v>
      </c>
    </row>
    <row r="562" spans="1:16" x14ac:dyDescent="0.25">
      <c r="A562">
        <v>2025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  <c r="M562" t="str">
        <f t="shared" si="32"/>
        <v>&lt;30</v>
      </c>
      <c r="N562" t="str">
        <f t="shared" si="33"/>
        <v>Medium</v>
      </c>
      <c r="O562" t="str">
        <f t="shared" si="34"/>
        <v>High Balance</v>
      </c>
      <c r="P562" t="str">
        <f t="shared" si="35"/>
        <v>Mid-term</v>
      </c>
    </row>
    <row r="563" spans="1:16" x14ac:dyDescent="0.25">
      <c r="A563">
        <v>2025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  <c r="M563" t="str">
        <f t="shared" si="32"/>
        <v>60+</v>
      </c>
      <c r="N563" t="str">
        <f t="shared" si="33"/>
        <v>Medium</v>
      </c>
      <c r="O563" t="str">
        <f t="shared" si="34"/>
        <v>High Balance</v>
      </c>
      <c r="P563" t="str">
        <f t="shared" si="35"/>
        <v>New</v>
      </c>
    </row>
    <row r="564" spans="1:16" x14ac:dyDescent="0.25">
      <c r="A564">
        <v>2025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  <c r="M564" t="str">
        <f t="shared" si="32"/>
        <v>30-45</v>
      </c>
      <c r="N564" t="str">
        <f t="shared" si="33"/>
        <v>Medium</v>
      </c>
      <c r="O564" t="str">
        <f t="shared" si="34"/>
        <v>High Balance</v>
      </c>
      <c r="P564" t="str">
        <f t="shared" si="35"/>
        <v>Long-term</v>
      </c>
    </row>
    <row r="565" spans="1:16" x14ac:dyDescent="0.25">
      <c r="A565">
        <v>2025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  <c r="M565" t="str">
        <f t="shared" si="32"/>
        <v>46-60</v>
      </c>
      <c r="N565" t="str">
        <f t="shared" si="33"/>
        <v>Medium</v>
      </c>
      <c r="O565" t="str">
        <f t="shared" si="34"/>
        <v>Zero Balance</v>
      </c>
      <c r="P565" t="str">
        <f t="shared" si="35"/>
        <v>New</v>
      </c>
    </row>
    <row r="566" spans="1:16" x14ac:dyDescent="0.25">
      <c r="A566">
        <v>2025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  <c r="M566" t="str">
        <f t="shared" si="32"/>
        <v>30-45</v>
      </c>
      <c r="N566" t="str">
        <f t="shared" si="33"/>
        <v>Medium</v>
      </c>
      <c r="O566" t="str">
        <f t="shared" si="34"/>
        <v>High Balance</v>
      </c>
      <c r="P566" t="str">
        <f t="shared" si="35"/>
        <v>Mid-term</v>
      </c>
    </row>
    <row r="567" spans="1:16" x14ac:dyDescent="0.25">
      <c r="A567">
        <v>2025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  <c r="M567" t="str">
        <f t="shared" si="32"/>
        <v>30-45</v>
      </c>
      <c r="N567" t="str">
        <f t="shared" si="33"/>
        <v>Medium</v>
      </c>
      <c r="O567" t="str">
        <f t="shared" si="34"/>
        <v>Zero Balance</v>
      </c>
      <c r="P567" t="str">
        <f t="shared" si="35"/>
        <v>Mid-term</v>
      </c>
    </row>
    <row r="568" spans="1:16" x14ac:dyDescent="0.25">
      <c r="A568">
        <v>2025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  <c r="M568" t="str">
        <f t="shared" si="32"/>
        <v>46-60</v>
      </c>
      <c r="N568" t="str">
        <f t="shared" si="33"/>
        <v>Low</v>
      </c>
      <c r="O568" t="str">
        <f t="shared" si="34"/>
        <v>Zero Balance</v>
      </c>
      <c r="P568" t="str">
        <f t="shared" si="35"/>
        <v>New</v>
      </c>
    </row>
    <row r="569" spans="1:16" x14ac:dyDescent="0.25">
      <c r="A569">
        <v>2025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  <c r="M569" t="str">
        <f t="shared" si="32"/>
        <v>60+</v>
      </c>
      <c r="N569" t="str">
        <f t="shared" si="33"/>
        <v>Medium</v>
      </c>
      <c r="O569" t="str">
        <f t="shared" si="34"/>
        <v>High Balance</v>
      </c>
      <c r="P569" t="str">
        <f t="shared" si="35"/>
        <v>New</v>
      </c>
    </row>
    <row r="570" spans="1:16" x14ac:dyDescent="0.25">
      <c r="A570">
        <v>2025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  <c r="M570" t="str">
        <f t="shared" si="32"/>
        <v>30-45</v>
      </c>
      <c r="N570" t="str">
        <f t="shared" si="33"/>
        <v>High</v>
      </c>
      <c r="O570" t="str">
        <f t="shared" si="34"/>
        <v>High Balance</v>
      </c>
      <c r="P570" t="str">
        <f t="shared" si="35"/>
        <v>Mid-term</v>
      </c>
    </row>
    <row r="571" spans="1:16" x14ac:dyDescent="0.25">
      <c r="A571">
        <v>2025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  <c r="M571" t="str">
        <f t="shared" si="32"/>
        <v>30-45</v>
      </c>
      <c r="N571" t="str">
        <f t="shared" si="33"/>
        <v>High</v>
      </c>
      <c r="O571" t="str">
        <f t="shared" si="34"/>
        <v>Zero Balance</v>
      </c>
      <c r="P571" t="str">
        <f t="shared" si="35"/>
        <v>Mid-term</v>
      </c>
    </row>
    <row r="572" spans="1:16" x14ac:dyDescent="0.25">
      <c r="A572">
        <v>2025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  <c r="M572" t="str">
        <f t="shared" si="32"/>
        <v>30-45</v>
      </c>
      <c r="N572" t="str">
        <f t="shared" si="33"/>
        <v>Medium</v>
      </c>
      <c r="O572" t="str">
        <f t="shared" si="34"/>
        <v>High Balance</v>
      </c>
      <c r="P572" t="str">
        <f t="shared" si="35"/>
        <v>New</v>
      </c>
    </row>
    <row r="573" spans="1:16" x14ac:dyDescent="0.25">
      <c r="A573">
        <v>2025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  <c r="M573" t="str">
        <f t="shared" si="32"/>
        <v>30-45</v>
      </c>
      <c r="N573" t="str">
        <f t="shared" si="33"/>
        <v>Medium</v>
      </c>
      <c r="O573" t="str">
        <f t="shared" si="34"/>
        <v>Zero Balance</v>
      </c>
      <c r="P573" t="str">
        <f t="shared" si="35"/>
        <v>New</v>
      </c>
    </row>
    <row r="574" spans="1:16" x14ac:dyDescent="0.25">
      <c r="A574">
        <v>2025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  <c r="M574" t="str">
        <f t="shared" si="32"/>
        <v>30-45</v>
      </c>
      <c r="N574" t="str">
        <f t="shared" si="33"/>
        <v>High</v>
      </c>
      <c r="O574" t="str">
        <f t="shared" si="34"/>
        <v>Low Balance</v>
      </c>
      <c r="P574" t="str">
        <f t="shared" si="35"/>
        <v>Long-term</v>
      </c>
    </row>
    <row r="575" spans="1:16" x14ac:dyDescent="0.25">
      <c r="A575">
        <v>2025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  <c r="M575" t="str">
        <f t="shared" si="32"/>
        <v>46-60</v>
      </c>
      <c r="N575" t="str">
        <f t="shared" si="33"/>
        <v>Medium</v>
      </c>
      <c r="O575" t="str">
        <f t="shared" si="34"/>
        <v>Zero Balance</v>
      </c>
      <c r="P575" t="str">
        <f t="shared" si="35"/>
        <v>Long-term</v>
      </c>
    </row>
    <row r="576" spans="1:16" x14ac:dyDescent="0.25">
      <c r="A576">
        <v>2025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  <c r="M576" t="str">
        <f t="shared" si="32"/>
        <v>30-45</v>
      </c>
      <c r="N576" t="str">
        <f t="shared" si="33"/>
        <v>High</v>
      </c>
      <c r="O576" t="str">
        <f t="shared" si="34"/>
        <v>High Balance</v>
      </c>
      <c r="P576" t="str">
        <f t="shared" si="35"/>
        <v>New</v>
      </c>
    </row>
    <row r="577" spans="1:16" x14ac:dyDescent="0.25">
      <c r="A577">
        <v>2025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  <c r="M577" t="str">
        <f t="shared" si="32"/>
        <v>&lt;30</v>
      </c>
      <c r="N577" t="str">
        <f t="shared" si="33"/>
        <v>Medium</v>
      </c>
      <c r="O577" t="str">
        <f t="shared" si="34"/>
        <v>Zero Balance</v>
      </c>
      <c r="P577" t="str">
        <f t="shared" si="35"/>
        <v>Long-term</v>
      </c>
    </row>
    <row r="578" spans="1:16" x14ac:dyDescent="0.25">
      <c r="A578">
        <v>2025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  <c r="M578" t="str">
        <f t="shared" si="32"/>
        <v>30-45</v>
      </c>
      <c r="N578" t="str">
        <f t="shared" si="33"/>
        <v>Low</v>
      </c>
      <c r="O578" t="str">
        <f t="shared" si="34"/>
        <v>High Balance</v>
      </c>
      <c r="P578" t="str">
        <f t="shared" si="35"/>
        <v>New</v>
      </c>
    </row>
    <row r="579" spans="1:16" x14ac:dyDescent="0.25">
      <c r="A579">
        <v>2025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  <c r="M579" t="str">
        <f t="shared" ref="M579:M642" si="36">IF(E579&lt;30,"&lt;30",IF(E579&lt;=45,"30-45",IF(E579&lt;=60,"46-60","60+")))</f>
        <v>30-45</v>
      </c>
      <c r="N579" t="str">
        <f t="shared" ref="N579:N642" si="37">IF(B579&lt;500,"Low",IF(B579&lt;700,"Medium","High"))</f>
        <v>High</v>
      </c>
      <c r="O579" t="str">
        <f t="shared" ref="O579:O642" si="38">IF(G579=0,"Zero Balance",IF(G579&lt;100000,"Low Balance","High Balance"))</f>
        <v>High Balance</v>
      </c>
      <c r="P579" t="str">
        <f t="shared" ref="P579:P642" si="39">IF(F579&lt;=3,"New",IF(F579&lt;=7,"Mid-term","Long-term"))</f>
        <v>Mid-term</v>
      </c>
    </row>
    <row r="580" spans="1:16" x14ac:dyDescent="0.25">
      <c r="A580">
        <v>2025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  <c r="M580" t="str">
        <f t="shared" si="36"/>
        <v>30-45</v>
      </c>
      <c r="N580" t="str">
        <f t="shared" si="37"/>
        <v>Medium</v>
      </c>
      <c r="O580" t="str">
        <f t="shared" si="38"/>
        <v>Zero Balance</v>
      </c>
      <c r="P580" t="str">
        <f t="shared" si="39"/>
        <v>Mid-term</v>
      </c>
    </row>
    <row r="581" spans="1:16" x14ac:dyDescent="0.25">
      <c r="A581">
        <v>2025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  <c r="M581" t="str">
        <f t="shared" si="36"/>
        <v>30-45</v>
      </c>
      <c r="N581" t="str">
        <f t="shared" si="37"/>
        <v>High</v>
      </c>
      <c r="O581" t="str">
        <f t="shared" si="38"/>
        <v>Zero Balance</v>
      </c>
      <c r="P581" t="str">
        <f t="shared" si="39"/>
        <v>New</v>
      </c>
    </row>
    <row r="582" spans="1:16" x14ac:dyDescent="0.25">
      <c r="A582">
        <v>2025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  <c r="M582" t="str">
        <f t="shared" si="36"/>
        <v>30-45</v>
      </c>
      <c r="N582" t="str">
        <f t="shared" si="37"/>
        <v>High</v>
      </c>
      <c r="O582" t="str">
        <f t="shared" si="38"/>
        <v>Zero Balance</v>
      </c>
      <c r="P582" t="str">
        <f t="shared" si="39"/>
        <v>Long-term</v>
      </c>
    </row>
    <row r="583" spans="1:16" x14ac:dyDescent="0.25">
      <c r="A583">
        <v>2025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  <c r="M583" t="str">
        <f t="shared" si="36"/>
        <v>30-45</v>
      </c>
      <c r="N583" t="str">
        <f t="shared" si="37"/>
        <v>Medium</v>
      </c>
      <c r="O583" t="str">
        <f t="shared" si="38"/>
        <v>High Balance</v>
      </c>
      <c r="P583" t="str">
        <f t="shared" si="39"/>
        <v>New</v>
      </c>
    </row>
    <row r="584" spans="1:16" x14ac:dyDescent="0.25">
      <c r="A584">
        <v>2025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  <c r="M584" t="str">
        <f t="shared" si="36"/>
        <v>46-60</v>
      </c>
      <c r="N584" t="str">
        <f t="shared" si="37"/>
        <v>Medium</v>
      </c>
      <c r="O584" t="str">
        <f t="shared" si="38"/>
        <v>Zero Balance</v>
      </c>
      <c r="P584" t="str">
        <f t="shared" si="39"/>
        <v>New</v>
      </c>
    </row>
    <row r="585" spans="1:16" x14ac:dyDescent="0.25">
      <c r="A585">
        <v>2025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  <c r="M585" t="str">
        <f t="shared" si="36"/>
        <v>30-45</v>
      </c>
      <c r="N585" t="str">
        <f t="shared" si="37"/>
        <v>Medium</v>
      </c>
      <c r="O585" t="str">
        <f t="shared" si="38"/>
        <v>Low Balance</v>
      </c>
      <c r="P585" t="str">
        <f t="shared" si="39"/>
        <v>Long-term</v>
      </c>
    </row>
    <row r="586" spans="1:16" x14ac:dyDescent="0.25">
      <c r="A586">
        <v>2025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  <c r="M586" t="str">
        <f t="shared" si="36"/>
        <v>46-60</v>
      </c>
      <c r="N586" t="str">
        <f t="shared" si="37"/>
        <v>Medium</v>
      </c>
      <c r="O586" t="str">
        <f t="shared" si="38"/>
        <v>High Balance</v>
      </c>
      <c r="P586" t="str">
        <f t="shared" si="39"/>
        <v>New</v>
      </c>
    </row>
    <row r="587" spans="1:16" x14ac:dyDescent="0.25">
      <c r="A587">
        <v>2025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  <c r="M587" t="str">
        <f t="shared" si="36"/>
        <v>46-60</v>
      </c>
      <c r="N587" t="str">
        <f t="shared" si="37"/>
        <v>High</v>
      </c>
      <c r="O587" t="str">
        <f t="shared" si="38"/>
        <v>High Balance</v>
      </c>
      <c r="P587" t="str">
        <f t="shared" si="39"/>
        <v>New</v>
      </c>
    </row>
    <row r="588" spans="1:16" x14ac:dyDescent="0.25">
      <c r="A588">
        <v>2025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  <c r="M588" t="str">
        <f t="shared" si="36"/>
        <v>46-60</v>
      </c>
      <c r="N588" t="str">
        <f t="shared" si="37"/>
        <v>Medium</v>
      </c>
      <c r="O588" t="str">
        <f t="shared" si="38"/>
        <v>High Balance</v>
      </c>
      <c r="P588" t="str">
        <f t="shared" si="39"/>
        <v>Long-term</v>
      </c>
    </row>
    <row r="589" spans="1:16" x14ac:dyDescent="0.25">
      <c r="A589">
        <v>2025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  <c r="M589" t="str">
        <f t="shared" si="36"/>
        <v>30-45</v>
      </c>
      <c r="N589" t="str">
        <f t="shared" si="37"/>
        <v>High</v>
      </c>
      <c r="O589" t="str">
        <f t="shared" si="38"/>
        <v>Zero Balance</v>
      </c>
      <c r="P589" t="str">
        <f t="shared" si="39"/>
        <v>Mid-term</v>
      </c>
    </row>
    <row r="590" spans="1:16" x14ac:dyDescent="0.25">
      <c r="A590">
        <v>2025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  <c r="M590" t="str">
        <f t="shared" si="36"/>
        <v>30-45</v>
      </c>
      <c r="N590" t="str">
        <f t="shared" si="37"/>
        <v>Medium</v>
      </c>
      <c r="O590" t="str">
        <f t="shared" si="38"/>
        <v>Zero Balance</v>
      </c>
      <c r="P590" t="str">
        <f t="shared" si="39"/>
        <v>New</v>
      </c>
    </row>
    <row r="591" spans="1:16" x14ac:dyDescent="0.25">
      <c r="A591">
        <v>2025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  <c r="M591" t="str">
        <f t="shared" si="36"/>
        <v>46-60</v>
      </c>
      <c r="N591" t="str">
        <f t="shared" si="37"/>
        <v>Medium</v>
      </c>
      <c r="O591" t="str">
        <f t="shared" si="38"/>
        <v>High Balance</v>
      </c>
      <c r="P591" t="str">
        <f t="shared" si="39"/>
        <v>Mid-term</v>
      </c>
    </row>
    <row r="592" spans="1:16" x14ac:dyDescent="0.25">
      <c r="A592">
        <v>2025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  <c r="M592" t="str">
        <f t="shared" si="36"/>
        <v>30-45</v>
      </c>
      <c r="N592" t="str">
        <f t="shared" si="37"/>
        <v>High</v>
      </c>
      <c r="O592" t="str">
        <f t="shared" si="38"/>
        <v>High Balance</v>
      </c>
      <c r="P592" t="str">
        <f t="shared" si="39"/>
        <v>Mid-term</v>
      </c>
    </row>
    <row r="593" spans="1:16" x14ac:dyDescent="0.25">
      <c r="A593">
        <v>2025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  <c r="M593" t="str">
        <f t="shared" si="36"/>
        <v>30-45</v>
      </c>
      <c r="N593" t="str">
        <f t="shared" si="37"/>
        <v>High</v>
      </c>
      <c r="O593" t="str">
        <f t="shared" si="38"/>
        <v>High Balance</v>
      </c>
      <c r="P593" t="str">
        <f t="shared" si="39"/>
        <v>Long-term</v>
      </c>
    </row>
    <row r="594" spans="1:16" x14ac:dyDescent="0.25">
      <c r="A594">
        <v>2025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  <c r="M594" t="str">
        <f t="shared" si="36"/>
        <v>30-45</v>
      </c>
      <c r="N594" t="str">
        <f t="shared" si="37"/>
        <v>Medium</v>
      </c>
      <c r="O594" t="str">
        <f t="shared" si="38"/>
        <v>High Balance</v>
      </c>
      <c r="P594" t="str">
        <f t="shared" si="39"/>
        <v>Long-term</v>
      </c>
    </row>
    <row r="595" spans="1:16" x14ac:dyDescent="0.25">
      <c r="A595">
        <v>2025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  <c r="M595" t="str">
        <f t="shared" si="36"/>
        <v>30-45</v>
      </c>
      <c r="N595" t="str">
        <f t="shared" si="37"/>
        <v>Medium</v>
      </c>
      <c r="O595" t="str">
        <f t="shared" si="38"/>
        <v>Low Balance</v>
      </c>
      <c r="P595" t="str">
        <f t="shared" si="39"/>
        <v>Mid-term</v>
      </c>
    </row>
    <row r="596" spans="1:16" x14ac:dyDescent="0.25">
      <c r="A596">
        <v>2025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  <c r="M596" t="str">
        <f t="shared" si="36"/>
        <v>&lt;30</v>
      </c>
      <c r="N596" t="str">
        <f t="shared" si="37"/>
        <v>High</v>
      </c>
      <c r="O596" t="str">
        <f t="shared" si="38"/>
        <v>High Balance</v>
      </c>
      <c r="P596" t="str">
        <f t="shared" si="39"/>
        <v>Mid-term</v>
      </c>
    </row>
    <row r="597" spans="1:16" x14ac:dyDescent="0.25">
      <c r="A597">
        <v>2025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  <c r="M597" t="str">
        <f t="shared" si="36"/>
        <v>30-45</v>
      </c>
      <c r="N597" t="str">
        <f t="shared" si="37"/>
        <v>Medium</v>
      </c>
      <c r="O597" t="str">
        <f t="shared" si="38"/>
        <v>High Balance</v>
      </c>
      <c r="P597" t="str">
        <f t="shared" si="39"/>
        <v>New</v>
      </c>
    </row>
    <row r="598" spans="1:16" x14ac:dyDescent="0.25">
      <c r="A598">
        <v>2025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  <c r="M598" t="str">
        <f t="shared" si="36"/>
        <v>30-45</v>
      </c>
      <c r="N598" t="str">
        <f t="shared" si="37"/>
        <v>Medium</v>
      </c>
      <c r="O598" t="str">
        <f t="shared" si="38"/>
        <v>Zero Balance</v>
      </c>
      <c r="P598" t="str">
        <f t="shared" si="39"/>
        <v>Long-term</v>
      </c>
    </row>
    <row r="599" spans="1:16" x14ac:dyDescent="0.25">
      <c r="A599">
        <v>2025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  <c r="M599" t="str">
        <f t="shared" si="36"/>
        <v>30-45</v>
      </c>
      <c r="N599" t="str">
        <f t="shared" si="37"/>
        <v>Medium</v>
      </c>
      <c r="O599" t="str">
        <f t="shared" si="38"/>
        <v>High Balance</v>
      </c>
      <c r="P599" t="str">
        <f t="shared" si="39"/>
        <v>Long-term</v>
      </c>
    </row>
    <row r="600" spans="1:16" x14ac:dyDescent="0.25">
      <c r="A600">
        <v>2025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  <c r="M600" t="str">
        <f t="shared" si="36"/>
        <v>46-60</v>
      </c>
      <c r="N600" t="str">
        <f t="shared" si="37"/>
        <v>Medium</v>
      </c>
      <c r="O600" t="str">
        <f t="shared" si="38"/>
        <v>High Balance</v>
      </c>
      <c r="P600" t="str">
        <f t="shared" si="39"/>
        <v>Mid-term</v>
      </c>
    </row>
    <row r="601" spans="1:16" x14ac:dyDescent="0.25">
      <c r="A601">
        <v>2025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  <c r="M601" t="str">
        <f t="shared" si="36"/>
        <v>30-45</v>
      </c>
      <c r="N601" t="str">
        <f t="shared" si="37"/>
        <v>Low</v>
      </c>
      <c r="O601" t="str">
        <f t="shared" si="38"/>
        <v>High Balance</v>
      </c>
      <c r="P601" t="str">
        <f t="shared" si="39"/>
        <v>Mid-term</v>
      </c>
    </row>
    <row r="602" spans="1:16" x14ac:dyDescent="0.25">
      <c r="A602">
        <v>2025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  <c r="M602" t="str">
        <f t="shared" si="36"/>
        <v>30-45</v>
      </c>
      <c r="N602" t="str">
        <f t="shared" si="37"/>
        <v>Medium</v>
      </c>
      <c r="O602" t="str">
        <f t="shared" si="38"/>
        <v>Zero Balance</v>
      </c>
      <c r="P602" t="str">
        <f t="shared" si="39"/>
        <v>Long-term</v>
      </c>
    </row>
    <row r="603" spans="1:16" x14ac:dyDescent="0.25">
      <c r="A603">
        <v>2025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  <c r="M603" t="str">
        <f t="shared" si="36"/>
        <v>&lt;30</v>
      </c>
      <c r="N603" t="str">
        <f t="shared" si="37"/>
        <v>High</v>
      </c>
      <c r="O603" t="str">
        <f t="shared" si="38"/>
        <v>High Balance</v>
      </c>
      <c r="P603" t="str">
        <f t="shared" si="39"/>
        <v>Mid-term</v>
      </c>
    </row>
    <row r="604" spans="1:16" x14ac:dyDescent="0.25">
      <c r="A604">
        <v>2025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  <c r="M604" t="str">
        <f t="shared" si="36"/>
        <v>60+</v>
      </c>
      <c r="N604" t="str">
        <f t="shared" si="37"/>
        <v>Medium</v>
      </c>
      <c r="O604" t="str">
        <f t="shared" si="38"/>
        <v>Zero Balance</v>
      </c>
      <c r="P604" t="str">
        <f t="shared" si="39"/>
        <v>Long-term</v>
      </c>
    </row>
    <row r="605" spans="1:16" x14ac:dyDescent="0.25">
      <c r="A605">
        <v>2025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  <c r="M605" t="str">
        <f t="shared" si="36"/>
        <v>30-45</v>
      </c>
      <c r="N605" t="str">
        <f t="shared" si="37"/>
        <v>Medium</v>
      </c>
      <c r="O605" t="str">
        <f t="shared" si="38"/>
        <v>Zero Balance</v>
      </c>
      <c r="P605" t="str">
        <f t="shared" si="39"/>
        <v>Mid-term</v>
      </c>
    </row>
    <row r="606" spans="1:16" x14ac:dyDescent="0.25">
      <c r="A606">
        <v>2025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  <c r="M606" t="str">
        <f t="shared" si="36"/>
        <v>30-45</v>
      </c>
      <c r="N606" t="str">
        <f t="shared" si="37"/>
        <v>High</v>
      </c>
      <c r="O606" t="str">
        <f t="shared" si="38"/>
        <v>High Balance</v>
      </c>
      <c r="P606" t="str">
        <f t="shared" si="39"/>
        <v>Long-term</v>
      </c>
    </row>
    <row r="607" spans="1:16" x14ac:dyDescent="0.25">
      <c r="A607">
        <v>2025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  <c r="M607" t="str">
        <f t="shared" si="36"/>
        <v>&lt;30</v>
      </c>
      <c r="N607" t="str">
        <f t="shared" si="37"/>
        <v>Medium</v>
      </c>
      <c r="O607" t="str">
        <f t="shared" si="38"/>
        <v>Zero Balance</v>
      </c>
      <c r="P607" t="str">
        <f t="shared" si="39"/>
        <v>Long-term</v>
      </c>
    </row>
    <row r="608" spans="1:16" x14ac:dyDescent="0.25">
      <c r="A608">
        <v>2025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  <c r="M608" t="str">
        <f t="shared" si="36"/>
        <v>46-60</v>
      </c>
      <c r="N608" t="str">
        <f t="shared" si="37"/>
        <v>Medium</v>
      </c>
      <c r="O608" t="str">
        <f t="shared" si="38"/>
        <v>Zero Balance</v>
      </c>
      <c r="P608" t="str">
        <f t="shared" si="39"/>
        <v>Mid-term</v>
      </c>
    </row>
    <row r="609" spans="1:16" x14ac:dyDescent="0.25">
      <c r="A609">
        <v>2025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  <c r="M609" t="str">
        <f t="shared" si="36"/>
        <v>&lt;30</v>
      </c>
      <c r="N609" t="str">
        <f t="shared" si="37"/>
        <v>Medium</v>
      </c>
      <c r="O609" t="str">
        <f t="shared" si="38"/>
        <v>Zero Balance</v>
      </c>
      <c r="P609" t="str">
        <f t="shared" si="39"/>
        <v>Long-term</v>
      </c>
    </row>
    <row r="610" spans="1:16" x14ac:dyDescent="0.25">
      <c r="A610">
        <v>2025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  <c r="M610" t="str">
        <f t="shared" si="36"/>
        <v>30-45</v>
      </c>
      <c r="N610" t="str">
        <f t="shared" si="37"/>
        <v>Medium</v>
      </c>
      <c r="O610" t="str">
        <f t="shared" si="38"/>
        <v>Zero Balance</v>
      </c>
      <c r="P610" t="str">
        <f t="shared" si="39"/>
        <v>Mid-term</v>
      </c>
    </row>
    <row r="611" spans="1:16" x14ac:dyDescent="0.25">
      <c r="A611">
        <v>2025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  <c r="M611" t="str">
        <f t="shared" si="36"/>
        <v>46-60</v>
      </c>
      <c r="N611" t="str">
        <f t="shared" si="37"/>
        <v>Medium</v>
      </c>
      <c r="O611" t="str">
        <f t="shared" si="38"/>
        <v>High Balance</v>
      </c>
      <c r="P611" t="str">
        <f t="shared" si="39"/>
        <v>New</v>
      </c>
    </row>
    <row r="612" spans="1:16" x14ac:dyDescent="0.25">
      <c r="A612">
        <v>2025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  <c r="M612" t="str">
        <f t="shared" si="36"/>
        <v>30-45</v>
      </c>
      <c r="N612" t="str">
        <f t="shared" si="37"/>
        <v>Low</v>
      </c>
      <c r="O612" t="str">
        <f t="shared" si="38"/>
        <v>High Balance</v>
      </c>
      <c r="P612" t="str">
        <f t="shared" si="39"/>
        <v>Long-term</v>
      </c>
    </row>
    <row r="613" spans="1:16" x14ac:dyDescent="0.25">
      <c r="A613">
        <v>2025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  <c r="M613" t="str">
        <f t="shared" si="36"/>
        <v>&lt;30</v>
      </c>
      <c r="N613" t="str">
        <f t="shared" si="37"/>
        <v>Medium</v>
      </c>
      <c r="O613" t="str">
        <f t="shared" si="38"/>
        <v>Zero Balance</v>
      </c>
      <c r="P613" t="str">
        <f t="shared" si="39"/>
        <v>Mid-term</v>
      </c>
    </row>
    <row r="614" spans="1:16" x14ac:dyDescent="0.25">
      <c r="A614">
        <v>2025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  <c r="M614" t="str">
        <f t="shared" si="36"/>
        <v>60+</v>
      </c>
      <c r="N614" t="str">
        <f t="shared" si="37"/>
        <v>Medium</v>
      </c>
      <c r="O614" t="str">
        <f t="shared" si="38"/>
        <v>High Balance</v>
      </c>
      <c r="P614" t="str">
        <f t="shared" si="39"/>
        <v>New</v>
      </c>
    </row>
    <row r="615" spans="1:16" x14ac:dyDescent="0.25">
      <c r="A615">
        <v>2025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  <c r="M615" t="str">
        <f t="shared" si="36"/>
        <v>30-45</v>
      </c>
      <c r="N615" t="str">
        <f t="shared" si="37"/>
        <v>Medium</v>
      </c>
      <c r="O615" t="str">
        <f t="shared" si="38"/>
        <v>Low Balance</v>
      </c>
      <c r="P615" t="str">
        <f t="shared" si="39"/>
        <v>New</v>
      </c>
    </row>
    <row r="616" spans="1:16" x14ac:dyDescent="0.25">
      <c r="A616">
        <v>2025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  <c r="M616" t="str">
        <f t="shared" si="36"/>
        <v>&lt;30</v>
      </c>
      <c r="N616" t="str">
        <f t="shared" si="37"/>
        <v>Medium</v>
      </c>
      <c r="O616" t="str">
        <f t="shared" si="38"/>
        <v>High Balance</v>
      </c>
      <c r="P616" t="str">
        <f t="shared" si="39"/>
        <v>Long-term</v>
      </c>
    </row>
    <row r="617" spans="1:16" x14ac:dyDescent="0.25">
      <c r="A617">
        <v>2025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  <c r="M617" t="str">
        <f t="shared" si="36"/>
        <v>30-45</v>
      </c>
      <c r="N617" t="str">
        <f t="shared" si="37"/>
        <v>High</v>
      </c>
      <c r="O617" t="str">
        <f t="shared" si="38"/>
        <v>Zero Balance</v>
      </c>
      <c r="P617" t="str">
        <f t="shared" si="39"/>
        <v>New</v>
      </c>
    </row>
    <row r="618" spans="1:16" x14ac:dyDescent="0.25">
      <c r="A618">
        <v>2025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  <c r="M618" t="str">
        <f t="shared" si="36"/>
        <v>30-45</v>
      </c>
      <c r="N618" t="str">
        <f t="shared" si="37"/>
        <v>High</v>
      </c>
      <c r="O618" t="str">
        <f t="shared" si="38"/>
        <v>High Balance</v>
      </c>
      <c r="P618" t="str">
        <f t="shared" si="39"/>
        <v>Mid-term</v>
      </c>
    </row>
    <row r="619" spans="1:16" x14ac:dyDescent="0.25">
      <c r="A619">
        <v>2025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  <c r="M619" t="str">
        <f t="shared" si="36"/>
        <v>60+</v>
      </c>
      <c r="N619" t="str">
        <f t="shared" si="37"/>
        <v>Medium</v>
      </c>
      <c r="O619" t="str">
        <f t="shared" si="38"/>
        <v>High Balance</v>
      </c>
      <c r="P619" t="str">
        <f t="shared" si="39"/>
        <v>Long-term</v>
      </c>
    </row>
    <row r="620" spans="1:16" x14ac:dyDescent="0.25">
      <c r="A620">
        <v>2025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  <c r="M620" t="str">
        <f t="shared" si="36"/>
        <v>30-45</v>
      </c>
      <c r="N620" t="str">
        <f t="shared" si="37"/>
        <v>Medium</v>
      </c>
      <c r="O620" t="str">
        <f t="shared" si="38"/>
        <v>High Balance</v>
      </c>
      <c r="P620" t="str">
        <f t="shared" si="39"/>
        <v>Mid-term</v>
      </c>
    </row>
    <row r="621" spans="1:16" x14ac:dyDescent="0.25">
      <c r="A621">
        <v>2025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  <c r="M621" t="str">
        <f t="shared" si="36"/>
        <v>30-45</v>
      </c>
      <c r="N621" t="str">
        <f t="shared" si="37"/>
        <v>Medium</v>
      </c>
      <c r="O621" t="str">
        <f t="shared" si="38"/>
        <v>Zero Balance</v>
      </c>
      <c r="P621" t="str">
        <f t="shared" si="39"/>
        <v>Long-term</v>
      </c>
    </row>
    <row r="622" spans="1:16" x14ac:dyDescent="0.25">
      <c r="A622">
        <v>2025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  <c r="M622" t="str">
        <f t="shared" si="36"/>
        <v>30-45</v>
      </c>
      <c r="N622" t="str">
        <f t="shared" si="37"/>
        <v>Medium</v>
      </c>
      <c r="O622" t="str">
        <f t="shared" si="38"/>
        <v>High Balance</v>
      </c>
      <c r="P622" t="str">
        <f t="shared" si="39"/>
        <v>Long-term</v>
      </c>
    </row>
    <row r="623" spans="1:16" x14ac:dyDescent="0.25">
      <c r="A623">
        <v>2025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  <c r="M623" t="str">
        <f t="shared" si="36"/>
        <v>30-45</v>
      </c>
      <c r="N623" t="str">
        <f t="shared" si="37"/>
        <v>Medium</v>
      </c>
      <c r="O623" t="str">
        <f t="shared" si="38"/>
        <v>High Balance</v>
      </c>
      <c r="P623" t="str">
        <f t="shared" si="39"/>
        <v>Long-term</v>
      </c>
    </row>
    <row r="624" spans="1:16" x14ac:dyDescent="0.25">
      <c r="A624">
        <v>2025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  <c r="M624" t="str">
        <f t="shared" si="36"/>
        <v>46-60</v>
      </c>
      <c r="N624" t="str">
        <f t="shared" si="37"/>
        <v>Medium</v>
      </c>
      <c r="O624" t="str">
        <f t="shared" si="38"/>
        <v>High Balance</v>
      </c>
      <c r="P624" t="str">
        <f t="shared" si="39"/>
        <v>Mid-term</v>
      </c>
    </row>
    <row r="625" spans="1:16" x14ac:dyDescent="0.25">
      <c r="A625">
        <v>2025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  <c r="M625" t="str">
        <f t="shared" si="36"/>
        <v>30-45</v>
      </c>
      <c r="N625" t="str">
        <f t="shared" si="37"/>
        <v>Medium</v>
      </c>
      <c r="O625" t="str">
        <f t="shared" si="38"/>
        <v>High Balance</v>
      </c>
      <c r="P625" t="str">
        <f t="shared" si="39"/>
        <v>New</v>
      </c>
    </row>
    <row r="626" spans="1:16" x14ac:dyDescent="0.25">
      <c r="A626">
        <v>2025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  <c r="M626" t="str">
        <f t="shared" si="36"/>
        <v>46-60</v>
      </c>
      <c r="N626" t="str">
        <f t="shared" si="37"/>
        <v>Low</v>
      </c>
      <c r="O626" t="str">
        <f t="shared" si="38"/>
        <v>High Balance</v>
      </c>
      <c r="P626" t="str">
        <f t="shared" si="39"/>
        <v>New</v>
      </c>
    </row>
    <row r="627" spans="1:16" x14ac:dyDescent="0.25">
      <c r="A627">
        <v>2025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  <c r="M627" t="str">
        <f t="shared" si="36"/>
        <v>30-45</v>
      </c>
      <c r="N627" t="str">
        <f t="shared" si="37"/>
        <v>High</v>
      </c>
      <c r="O627" t="str">
        <f t="shared" si="38"/>
        <v>High Balance</v>
      </c>
      <c r="P627" t="str">
        <f t="shared" si="39"/>
        <v>Mid-term</v>
      </c>
    </row>
    <row r="628" spans="1:16" x14ac:dyDescent="0.25">
      <c r="A628">
        <v>2025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  <c r="M628" t="str">
        <f t="shared" si="36"/>
        <v>&lt;30</v>
      </c>
      <c r="N628" t="str">
        <f t="shared" si="37"/>
        <v>Low</v>
      </c>
      <c r="O628" t="str">
        <f t="shared" si="38"/>
        <v>High Balance</v>
      </c>
      <c r="P628" t="str">
        <f t="shared" si="39"/>
        <v>New</v>
      </c>
    </row>
    <row r="629" spans="1:16" x14ac:dyDescent="0.25">
      <c r="A629">
        <v>2025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  <c r="M629" t="str">
        <f t="shared" si="36"/>
        <v>46-60</v>
      </c>
      <c r="N629" t="str">
        <f t="shared" si="37"/>
        <v>High</v>
      </c>
      <c r="O629" t="str">
        <f t="shared" si="38"/>
        <v>Low Balance</v>
      </c>
      <c r="P629" t="str">
        <f t="shared" si="39"/>
        <v>New</v>
      </c>
    </row>
    <row r="630" spans="1:16" x14ac:dyDescent="0.25">
      <c r="A630">
        <v>2025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  <c r="M630" t="str">
        <f t="shared" si="36"/>
        <v>46-60</v>
      </c>
      <c r="N630" t="str">
        <f t="shared" si="37"/>
        <v>Medium</v>
      </c>
      <c r="O630" t="str">
        <f t="shared" si="38"/>
        <v>Zero Balance</v>
      </c>
      <c r="P630" t="str">
        <f t="shared" si="39"/>
        <v>New</v>
      </c>
    </row>
    <row r="631" spans="1:16" x14ac:dyDescent="0.25">
      <c r="A631">
        <v>2025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  <c r="M631" t="str">
        <f t="shared" si="36"/>
        <v>&lt;30</v>
      </c>
      <c r="N631" t="str">
        <f t="shared" si="37"/>
        <v>High</v>
      </c>
      <c r="O631" t="str">
        <f t="shared" si="38"/>
        <v>High Balance</v>
      </c>
      <c r="P631" t="str">
        <f t="shared" si="39"/>
        <v>New</v>
      </c>
    </row>
    <row r="632" spans="1:16" x14ac:dyDescent="0.25">
      <c r="A632">
        <v>2025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  <c r="M632" t="str">
        <f t="shared" si="36"/>
        <v>60+</v>
      </c>
      <c r="N632" t="str">
        <f t="shared" si="37"/>
        <v>Medium</v>
      </c>
      <c r="O632" t="str">
        <f t="shared" si="38"/>
        <v>Zero Balance</v>
      </c>
      <c r="P632" t="str">
        <f t="shared" si="39"/>
        <v>New</v>
      </c>
    </row>
    <row r="633" spans="1:16" x14ac:dyDescent="0.25">
      <c r="A633">
        <v>2025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  <c r="M633" t="str">
        <f t="shared" si="36"/>
        <v>46-60</v>
      </c>
      <c r="N633" t="str">
        <f t="shared" si="37"/>
        <v>Medium</v>
      </c>
      <c r="O633" t="str">
        <f t="shared" si="38"/>
        <v>High Balance</v>
      </c>
      <c r="P633" t="str">
        <f t="shared" si="39"/>
        <v>Mid-term</v>
      </c>
    </row>
    <row r="634" spans="1:16" x14ac:dyDescent="0.25">
      <c r="A634">
        <v>2025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  <c r="M634" t="str">
        <f t="shared" si="36"/>
        <v>30-45</v>
      </c>
      <c r="N634" t="str">
        <f t="shared" si="37"/>
        <v>High</v>
      </c>
      <c r="O634" t="str">
        <f t="shared" si="38"/>
        <v>Low Balance</v>
      </c>
      <c r="P634" t="str">
        <f t="shared" si="39"/>
        <v>Long-term</v>
      </c>
    </row>
    <row r="635" spans="1:16" x14ac:dyDescent="0.25">
      <c r="A635">
        <v>2025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  <c r="M635" t="str">
        <f t="shared" si="36"/>
        <v>30-45</v>
      </c>
      <c r="N635" t="str">
        <f t="shared" si="37"/>
        <v>Medium</v>
      </c>
      <c r="O635" t="str">
        <f t="shared" si="38"/>
        <v>High Balance</v>
      </c>
      <c r="P635" t="str">
        <f t="shared" si="39"/>
        <v>New</v>
      </c>
    </row>
    <row r="636" spans="1:16" x14ac:dyDescent="0.25">
      <c r="A636">
        <v>2025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  <c r="M636" t="str">
        <f t="shared" si="36"/>
        <v>30-45</v>
      </c>
      <c r="N636" t="str">
        <f t="shared" si="37"/>
        <v>High</v>
      </c>
      <c r="O636" t="str">
        <f t="shared" si="38"/>
        <v>Low Balance</v>
      </c>
      <c r="P636" t="str">
        <f t="shared" si="39"/>
        <v>Mid-term</v>
      </c>
    </row>
    <row r="637" spans="1:16" x14ac:dyDescent="0.25">
      <c r="A637">
        <v>2025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  <c r="M637" t="str">
        <f t="shared" si="36"/>
        <v>46-60</v>
      </c>
      <c r="N637" t="str">
        <f t="shared" si="37"/>
        <v>Medium</v>
      </c>
      <c r="O637" t="str">
        <f t="shared" si="38"/>
        <v>Zero Balance</v>
      </c>
      <c r="P637" t="str">
        <f t="shared" si="39"/>
        <v>Mid-term</v>
      </c>
    </row>
    <row r="638" spans="1:16" x14ac:dyDescent="0.25">
      <c r="A638">
        <v>2025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  <c r="M638" t="str">
        <f t="shared" si="36"/>
        <v>30-45</v>
      </c>
      <c r="N638" t="str">
        <f t="shared" si="37"/>
        <v>Medium</v>
      </c>
      <c r="O638" t="str">
        <f t="shared" si="38"/>
        <v>Zero Balance</v>
      </c>
      <c r="P638" t="str">
        <f t="shared" si="39"/>
        <v>New</v>
      </c>
    </row>
    <row r="639" spans="1:16" x14ac:dyDescent="0.25">
      <c r="A639">
        <v>2025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  <c r="M639" t="str">
        <f t="shared" si="36"/>
        <v>46-60</v>
      </c>
      <c r="N639" t="str">
        <f t="shared" si="37"/>
        <v>Medium</v>
      </c>
      <c r="O639" t="str">
        <f t="shared" si="38"/>
        <v>High Balance</v>
      </c>
      <c r="P639" t="str">
        <f t="shared" si="39"/>
        <v>New</v>
      </c>
    </row>
    <row r="640" spans="1:16" x14ac:dyDescent="0.25">
      <c r="A640">
        <v>2025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  <c r="M640" t="str">
        <f t="shared" si="36"/>
        <v>30-45</v>
      </c>
      <c r="N640" t="str">
        <f t="shared" si="37"/>
        <v>High</v>
      </c>
      <c r="O640" t="str">
        <f t="shared" si="38"/>
        <v>High Balance</v>
      </c>
      <c r="P640" t="str">
        <f t="shared" si="39"/>
        <v>Long-term</v>
      </c>
    </row>
    <row r="641" spans="1:16" x14ac:dyDescent="0.25">
      <c r="A641">
        <v>2025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  <c r="M641" t="str">
        <f t="shared" si="36"/>
        <v>30-45</v>
      </c>
      <c r="N641" t="str">
        <f t="shared" si="37"/>
        <v>High</v>
      </c>
      <c r="O641" t="str">
        <f t="shared" si="38"/>
        <v>High Balance</v>
      </c>
      <c r="P641" t="str">
        <f t="shared" si="39"/>
        <v>Mid-term</v>
      </c>
    </row>
    <row r="642" spans="1:16" x14ac:dyDescent="0.25">
      <c r="A642">
        <v>2025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  <c r="M642" t="str">
        <f t="shared" si="36"/>
        <v>46-60</v>
      </c>
      <c r="N642" t="str">
        <f t="shared" si="37"/>
        <v>High</v>
      </c>
      <c r="O642" t="str">
        <f t="shared" si="38"/>
        <v>High Balance</v>
      </c>
      <c r="P642" t="str">
        <f t="shared" si="39"/>
        <v>Mid-term</v>
      </c>
    </row>
    <row r="643" spans="1:16" x14ac:dyDescent="0.25">
      <c r="A643">
        <v>2025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  <c r="M643" t="str">
        <f t="shared" ref="M643:M706" si="40">IF(E643&lt;30,"&lt;30",IF(E643&lt;=45,"30-45",IF(E643&lt;=60,"46-60","60+")))</f>
        <v>&lt;30</v>
      </c>
      <c r="N643" t="str">
        <f t="shared" ref="N643:N706" si="41">IF(B643&lt;500,"Low",IF(B643&lt;700,"Medium","High"))</f>
        <v>High</v>
      </c>
      <c r="O643" t="str">
        <f t="shared" ref="O643:O706" si="42">IF(G643=0,"Zero Balance",IF(G643&lt;100000,"Low Balance","High Balance"))</f>
        <v>High Balance</v>
      </c>
      <c r="P643" t="str">
        <f t="shared" ref="P643:P706" si="43">IF(F643&lt;=3,"New",IF(F643&lt;=7,"Mid-term","Long-term"))</f>
        <v>Mid-term</v>
      </c>
    </row>
    <row r="644" spans="1:16" x14ac:dyDescent="0.25">
      <c r="A644">
        <v>2025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  <c r="M644" t="str">
        <f t="shared" si="40"/>
        <v>&lt;30</v>
      </c>
      <c r="N644" t="str">
        <f t="shared" si="41"/>
        <v>Medium</v>
      </c>
      <c r="O644" t="str">
        <f t="shared" si="42"/>
        <v>High Balance</v>
      </c>
      <c r="P644" t="str">
        <f t="shared" si="43"/>
        <v>New</v>
      </c>
    </row>
    <row r="645" spans="1:16" x14ac:dyDescent="0.25">
      <c r="A645">
        <v>2025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  <c r="M645" t="str">
        <f t="shared" si="40"/>
        <v>30-45</v>
      </c>
      <c r="N645" t="str">
        <f t="shared" si="41"/>
        <v>Medium</v>
      </c>
      <c r="O645" t="str">
        <f t="shared" si="42"/>
        <v>High Balance</v>
      </c>
      <c r="P645" t="str">
        <f t="shared" si="43"/>
        <v>Mid-term</v>
      </c>
    </row>
    <row r="646" spans="1:16" x14ac:dyDescent="0.25">
      <c r="A646">
        <v>2025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  <c r="M646" t="str">
        <f t="shared" si="40"/>
        <v>30-45</v>
      </c>
      <c r="N646" t="str">
        <f t="shared" si="41"/>
        <v>High</v>
      </c>
      <c r="O646" t="str">
        <f t="shared" si="42"/>
        <v>High Balance</v>
      </c>
      <c r="P646" t="str">
        <f t="shared" si="43"/>
        <v>Long-term</v>
      </c>
    </row>
    <row r="647" spans="1:16" x14ac:dyDescent="0.25">
      <c r="A647">
        <v>2025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  <c r="M647" t="str">
        <f t="shared" si="40"/>
        <v>30-45</v>
      </c>
      <c r="N647" t="str">
        <f t="shared" si="41"/>
        <v>Medium</v>
      </c>
      <c r="O647" t="str">
        <f t="shared" si="42"/>
        <v>Low Balance</v>
      </c>
      <c r="P647" t="str">
        <f t="shared" si="43"/>
        <v>Long-term</v>
      </c>
    </row>
    <row r="648" spans="1:16" x14ac:dyDescent="0.25">
      <c r="A648">
        <v>2025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  <c r="M648" t="str">
        <f t="shared" si="40"/>
        <v>30-45</v>
      </c>
      <c r="N648" t="str">
        <f t="shared" si="41"/>
        <v>High</v>
      </c>
      <c r="O648" t="str">
        <f t="shared" si="42"/>
        <v>Zero Balance</v>
      </c>
      <c r="P648" t="str">
        <f t="shared" si="43"/>
        <v>New</v>
      </c>
    </row>
    <row r="649" spans="1:16" x14ac:dyDescent="0.25">
      <c r="A649">
        <v>2025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  <c r="M649" t="str">
        <f t="shared" si="40"/>
        <v>30-45</v>
      </c>
      <c r="N649" t="str">
        <f t="shared" si="41"/>
        <v>Medium</v>
      </c>
      <c r="O649" t="str">
        <f t="shared" si="42"/>
        <v>Low Balance</v>
      </c>
      <c r="P649" t="str">
        <f t="shared" si="43"/>
        <v>Mid-term</v>
      </c>
    </row>
    <row r="650" spans="1:16" x14ac:dyDescent="0.25">
      <c r="A650">
        <v>2025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  <c r="M650" t="str">
        <f t="shared" si="40"/>
        <v>30-45</v>
      </c>
      <c r="N650" t="str">
        <f t="shared" si="41"/>
        <v>Low</v>
      </c>
      <c r="O650" t="str">
        <f t="shared" si="42"/>
        <v>Zero Balance</v>
      </c>
      <c r="P650" t="str">
        <f t="shared" si="43"/>
        <v>Mid-term</v>
      </c>
    </row>
    <row r="651" spans="1:16" x14ac:dyDescent="0.25">
      <c r="A651">
        <v>2025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  <c r="M651" t="str">
        <f t="shared" si="40"/>
        <v>30-45</v>
      </c>
      <c r="N651" t="str">
        <f t="shared" si="41"/>
        <v>Medium</v>
      </c>
      <c r="O651" t="str">
        <f t="shared" si="42"/>
        <v>Zero Balance</v>
      </c>
      <c r="P651" t="str">
        <f t="shared" si="43"/>
        <v>Mid-term</v>
      </c>
    </row>
    <row r="652" spans="1:16" x14ac:dyDescent="0.25">
      <c r="A652">
        <v>2025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  <c r="M652" t="str">
        <f t="shared" si="40"/>
        <v>46-60</v>
      </c>
      <c r="N652" t="str">
        <f t="shared" si="41"/>
        <v>Medium</v>
      </c>
      <c r="O652" t="str">
        <f t="shared" si="42"/>
        <v>Zero Balance</v>
      </c>
      <c r="P652" t="str">
        <f t="shared" si="43"/>
        <v>Mid-term</v>
      </c>
    </row>
    <row r="653" spans="1:16" x14ac:dyDescent="0.25">
      <c r="A653">
        <v>2025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  <c r="M653" t="str">
        <f t="shared" si="40"/>
        <v>46-60</v>
      </c>
      <c r="N653" t="str">
        <f t="shared" si="41"/>
        <v>High</v>
      </c>
      <c r="O653" t="str">
        <f t="shared" si="42"/>
        <v>Zero Balance</v>
      </c>
      <c r="P653" t="str">
        <f t="shared" si="43"/>
        <v>Mid-term</v>
      </c>
    </row>
    <row r="654" spans="1:16" x14ac:dyDescent="0.25">
      <c r="A654">
        <v>2025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  <c r="M654" t="str">
        <f t="shared" si="40"/>
        <v>30-45</v>
      </c>
      <c r="N654" t="str">
        <f t="shared" si="41"/>
        <v>Medium</v>
      </c>
      <c r="O654" t="str">
        <f t="shared" si="42"/>
        <v>High Balance</v>
      </c>
      <c r="P654" t="str">
        <f t="shared" si="43"/>
        <v>New</v>
      </c>
    </row>
    <row r="655" spans="1:16" x14ac:dyDescent="0.25">
      <c r="A655">
        <v>2025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  <c r="M655" t="str">
        <f t="shared" si="40"/>
        <v>46-60</v>
      </c>
      <c r="N655" t="str">
        <f t="shared" si="41"/>
        <v>Low</v>
      </c>
      <c r="O655" t="str">
        <f t="shared" si="42"/>
        <v>High Balance</v>
      </c>
      <c r="P655" t="str">
        <f t="shared" si="43"/>
        <v>Mid-term</v>
      </c>
    </row>
    <row r="656" spans="1:16" x14ac:dyDescent="0.25">
      <c r="A656">
        <v>2025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  <c r="M656" t="str">
        <f t="shared" si="40"/>
        <v>30-45</v>
      </c>
      <c r="N656" t="str">
        <f t="shared" si="41"/>
        <v>High</v>
      </c>
      <c r="O656" t="str">
        <f t="shared" si="42"/>
        <v>High Balance</v>
      </c>
      <c r="P656" t="str">
        <f t="shared" si="43"/>
        <v>Long-term</v>
      </c>
    </row>
    <row r="657" spans="1:16" x14ac:dyDescent="0.25">
      <c r="A657">
        <v>2025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  <c r="M657" t="str">
        <f t="shared" si="40"/>
        <v>&lt;30</v>
      </c>
      <c r="N657" t="str">
        <f t="shared" si="41"/>
        <v>Low</v>
      </c>
      <c r="O657" t="str">
        <f t="shared" si="42"/>
        <v>High Balance</v>
      </c>
      <c r="P657" t="str">
        <f t="shared" si="43"/>
        <v>Long-term</v>
      </c>
    </row>
    <row r="658" spans="1:16" x14ac:dyDescent="0.25">
      <c r="A658">
        <v>2025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  <c r="M658" t="str">
        <f t="shared" si="40"/>
        <v>&lt;30</v>
      </c>
      <c r="N658" t="str">
        <f t="shared" si="41"/>
        <v>Medium</v>
      </c>
      <c r="O658" t="str">
        <f t="shared" si="42"/>
        <v>High Balance</v>
      </c>
      <c r="P658" t="str">
        <f t="shared" si="43"/>
        <v>Mid-term</v>
      </c>
    </row>
    <row r="659" spans="1:16" x14ac:dyDescent="0.25">
      <c r="A659">
        <v>2025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  <c r="M659" t="str">
        <f t="shared" si="40"/>
        <v>46-60</v>
      </c>
      <c r="N659" t="str">
        <f t="shared" si="41"/>
        <v>Medium</v>
      </c>
      <c r="O659" t="str">
        <f t="shared" si="42"/>
        <v>High Balance</v>
      </c>
      <c r="P659" t="str">
        <f t="shared" si="43"/>
        <v>New</v>
      </c>
    </row>
    <row r="660" spans="1:16" x14ac:dyDescent="0.25">
      <c r="A660">
        <v>2025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  <c r="M660" t="str">
        <f t="shared" si="40"/>
        <v>60+</v>
      </c>
      <c r="N660" t="str">
        <f t="shared" si="41"/>
        <v>Medium</v>
      </c>
      <c r="O660" t="str">
        <f t="shared" si="42"/>
        <v>High Balance</v>
      </c>
      <c r="P660" t="str">
        <f t="shared" si="43"/>
        <v>Long-term</v>
      </c>
    </row>
    <row r="661" spans="1:16" x14ac:dyDescent="0.25">
      <c r="A661">
        <v>2025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  <c r="M661" t="str">
        <f t="shared" si="40"/>
        <v>30-45</v>
      </c>
      <c r="N661" t="str">
        <f t="shared" si="41"/>
        <v>High</v>
      </c>
      <c r="O661" t="str">
        <f t="shared" si="42"/>
        <v>Zero Balance</v>
      </c>
      <c r="P661" t="str">
        <f t="shared" si="43"/>
        <v>Mid-term</v>
      </c>
    </row>
    <row r="662" spans="1:16" x14ac:dyDescent="0.25">
      <c r="A662">
        <v>2025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  <c r="M662" t="str">
        <f t="shared" si="40"/>
        <v>30-45</v>
      </c>
      <c r="N662" t="str">
        <f t="shared" si="41"/>
        <v>Medium</v>
      </c>
      <c r="O662" t="str">
        <f t="shared" si="42"/>
        <v>Low Balance</v>
      </c>
      <c r="P662" t="str">
        <f t="shared" si="43"/>
        <v>New</v>
      </c>
    </row>
    <row r="663" spans="1:16" x14ac:dyDescent="0.25">
      <c r="A663">
        <v>2025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  <c r="M663" t="str">
        <f t="shared" si="40"/>
        <v>46-60</v>
      </c>
      <c r="N663" t="str">
        <f t="shared" si="41"/>
        <v>Medium</v>
      </c>
      <c r="O663" t="str">
        <f t="shared" si="42"/>
        <v>High Balance</v>
      </c>
      <c r="P663" t="str">
        <f t="shared" si="43"/>
        <v>Long-term</v>
      </c>
    </row>
    <row r="664" spans="1:16" x14ac:dyDescent="0.25">
      <c r="A664">
        <v>2025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  <c r="M664" t="str">
        <f t="shared" si="40"/>
        <v>30-45</v>
      </c>
      <c r="N664" t="str">
        <f t="shared" si="41"/>
        <v>Medium</v>
      </c>
      <c r="O664" t="str">
        <f t="shared" si="42"/>
        <v>Zero Balance</v>
      </c>
      <c r="P664" t="str">
        <f t="shared" si="43"/>
        <v>New</v>
      </c>
    </row>
    <row r="665" spans="1:16" x14ac:dyDescent="0.25">
      <c r="A665">
        <v>2025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  <c r="M665" t="str">
        <f t="shared" si="40"/>
        <v>46-60</v>
      </c>
      <c r="N665" t="str">
        <f t="shared" si="41"/>
        <v>Medium</v>
      </c>
      <c r="O665" t="str">
        <f t="shared" si="42"/>
        <v>Zero Balance</v>
      </c>
      <c r="P665" t="str">
        <f t="shared" si="43"/>
        <v>Mid-term</v>
      </c>
    </row>
    <row r="666" spans="1:16" x14ac:dyDescent="0.25">
      <c r="A666">
        <v>2025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  <c r="M666" t="str">
        <f t="shared" si="40"/>
        <v>30-45</v>
      </c>
      <c r="N666" t="str">
        <f t="shared" si="41"/>
        <v>Medium</v>
      </c>
      <c r="O666" t="str">
        <f t="shared" si="42"/>
        <v>Zero Balance</v>
      </c>
      <c r="P666" t="str">
        <f t="shared" si="43"/>
        <v>New</v>
      </c>
    </row>
    <row r="667" spans="1:16" x14ac:dyDescent="0.25">
      <c r="A667">
        <v>2025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  <c r="M667" t="str">
        <f t="shared" si="40"/>
        <v>30-45</v>
      </c>
      <c r="N667" t="str">
        <f t="shared" si="41"/>
        <v>Medium</v>
      </c>
      <c r="O667" t="str">
        <f t="shared" si="42"/>
        <v>Zero Balance</v>
      </c>
      <c r="P667" t="str">
        <f t="shared" si="43"/>
        <v>Long-term</v>
      </c>
    </row>
    <row r="668" spans="1:16" x14ac:dyDescent="0.25">
      <c r="A668">
        <v>2025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  <c r="M668" t="str">
        <f t="shared" si="40"/>
        <v>30-45</v>
      </c>
      <c r="N668" t="str">
        <f t="shared" si="41"/>
        <v>Medium</v>
      </c>
      <c r="O668" t="str">
        <f t="shared" si="42"/>
        <v>High Balance</v>
      </c>
      <c r="P668" t="str">
        <f t="shared" si="43"/>
        <v>New</v>
      </c>
    </row>
    <row r="669" spans="1:16" x14ac:dyDescent="0.25">
      <c r="A669">
        <v>2025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  <c r="M669" t="str">
        <f t="shared" si="40"/>
        <v>&lt;30</v>
      </c>
      <c r="N669" t="str">
        <f t="shared" si="41"/>
        <v>Medium</v>
      </c>
      <c r="O669" t="str">
        <f t="shared" si="42"/>
        <v>Zero Balance</v>
      </c>
      <c r="P669" t="str">
        <f t="shared" si="43"/>
        <v>New</v>
      </c>
    </row>
    <row r="670" spans="1:16" x14ac:dyDescent="0.25">
      <c r="A670">
        <v>2025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  <c r="M670" t="str">
        <f t="shared" si="40"/>
        <v>46-60</v>
      </c>
      <c r="N670" t="str">
        <f t="shared" si="41"/>
        <v>Medium</v>
      </c>
      <c r="O670" t="str">
        <f t="shared" si="42"/>
        <v>High Balance</v>
      </c>
      <c r="P670" t="str">
        <f t="shared" si="43"/>
        <v>New</v>
      </c>
    </row>
    <row r="671" spans="1:16" x14ac:dyDescent="0.25">
      <c r="A671">
        <v>2025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  <c r="M671" t="str">
        <f t="shared" si="40"/>
        <v>30-45</v>
      </c>
      <c r="N671" t="str">
        <f t="shared" si="41"/>
        <v>Medium</v>
      </c>
      <c r="O671" t="str">
        <f t="shared" si="42"/>
        <v>High Balance</v>
      </c>
      <c r="P671" t="str">
        <f t="shared" si="43"/>
        <v>Mid-term</v>
      </c>
    </row>
    <row r="672" spans="1:16" x14ac:dyDescent="0.25">
      <c r="A672">
        <v>2025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  <c r="M672" t="str">
        <f t="shared" si="40"/>
        <v>46-60</v>
      </c>
      <c r="N672" t="str">
        <f t="shared" si="41"/>
        <v>Medium</v>
      </c>
      <c r="O672" t="str">
        <f t="shared" si="42"/>
        <v>High Balance</v>
      </c>
      <c r="P672" t="str">
        <f t="shared" si="43"/>
        <v>New</v>
      </c>
    </row>
    <row r="673" spans="1:16" x14ac:dyDescent="0.25">
      <c r="A673">
        <v>2025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  <c r="M673" t="str">
        <f t="shared" si="40"/>
        <v>30-45</v>
      </c>
      <c r="N673" t="str">
        <f t="shared" si="41"/>
        <v>Medium</v>
      </c>
      <c r="O673" t="str">
        <f t="shared" si="42"/>
        <v>Zero Balance</v>
      </c>
      <c r="P673" t="str">
        <f t="shared" si="43"/>
        <v>Long-term</v>
      </c>
    </row>
    <row r="674" spans="1:16" x14ac:dyDescent="0.25">
      <c r="A674">
        <v>2025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  <c r="M674" t="str">
        <f t="shared" si="40"/>
        <v>&lt;30</v>
      </c>
      <c r="N674" t="str">
        <f t="shared" si="41"/>
        <v>Medium</v>
      </c>
      <c r="O674" t="str">
        <f t="shared" si="42"/>
        <v>Zero Balance</v>
      </c>
      <c r="P674" t="str">
        <f t="shared" si="43"/>
        <v>New</v>
      </c>
    </row>
    <row r="675" spans="1:16" x14ac:dyDescent="0.25">
      <c r="A675">
        <v>2025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  <c r="M675" t="str">
        <f t="shared" si="40"/>
        <v>30-45</v>
      </c>
      <c r="N675" t="str">
        <f t="shared" si="41"/>
        <v>Medium</v>
      </c>
      <c r="O675" t="str">
        <f t="shared" si="42"/>
        <v>High Balance</v>
      </c>
      <c r="P675" t="str">
        <f t="shared" si="43"/>
        <v>Mid-term</v>
      </c>
    </row>
    <row r="676" spans="1:16" x14ac:dyDescent="0.25">
      <c r="A676">
        <v>2025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  <c r="M676" t="str">
        <f t="shared" si="40"/>
        <v>30-45</v>
      </c>
      <c r="N676" t="str">
        <f t="shared" si="41"/>
        <v>Medium</v>
      </c>
      <c r="O676" t="str">
        <f t="shared" si="42"/>
        <v>Zero Balance</v>
      </c>
      <c r="P676" t="str">
        <f t="shared" si="43"/>
        <v>Mid-term</v>
      </c>
    </row>
    <row r="677" spans="1:16" x14ac:dyDescent="0.25">
      <c r="A677">
        <v>2025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  <c r="M677" t="str">
        <f t="shared" si="40"/>
        <v>30-45</v>
      </c>
      <c r="N677" t="str">
        <f t="shared" si="41"/>
        <v>Medium</v>
      </c>
      <c r="O677" t="str">
        <f t="shared" si="42"/>
        <v>Zero Balance</v>
      </c>
      <c r="P677" t="str">
        <f t="shared" si="43"/>
        <v>Mid-term</v>
      </c>
    </row>
    <row r="678" spans="1:16" x14ac:dyDescent="0.25">
      <c r="A678">
        <v>2025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  <c r="M678" t="str">
        <f t="shared" si="40"/>
        <v>30-45</v>
      </c>
      <c r="N678" t="str">
        <f t="shared" si="41"/>
        <v>Medium</v>
      </c>
      <c r="O678" t="str">
        <f t="shared" si="42"/>
        <v>Low Balance</v>
      </c>
      <c r="P678" t="str">
        <f t="shared" si="43"/>
        <v>Mid-term</v>
      </c>
    </row>
    <row r="679" spans="1:16" x14ac:dyDescent="0.25">
      <c r="A679">
        <v>2025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  <c r="M679" t="str">
        <f t="shared" si="40"/>
        <v>30-45</v>
      </c>
      <c r="N679" t="str">
        <f t="shared" si="41"/>
        <v>High</v>
      </c>
      <c r="O679" t="str">
        <f t="shared" si="42"/>
        <v>High Balance</v>
      </c>
      <c r="P679" t="str">
        <f t="shared" si="43"/>
        <v>Mid-term</v>
      </c>
    </row>
    <row r="680" spans="1:16" x14ac:dyDescent="0.25">
      <c r="A680">
        <v>2025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  <c r="M680" t="str">
        <f t="shared" si="40"/>
        <v>60+</v>
      </c>
      <c r="N680" t="str">
        <f t="shared" si="41"/>
        <v>High</v>
      </c>
      <c r="O680" t="str">
        <f t="shared" si="42"/>
        <v>Zero Balance</v>
      </c>
      <c r="P680" t="str">
        <f t="shared" si="43"/>
        <v>New</v>
      </c>
    </row>
    <row r="681" spans="1:16" x14ac:dyDescent="0.25">
      <c r="A681">
        <v>2025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  <c r="M681" t="str">
        <f t="shared" si="40"/>
        <v>30-45</v>
      </c>
      <c r="N681" t="str">
        <f t="shared" si="41"/>
        <v>Medium</v>
      </c>
      <c r="O681" t="str">
        <f t="shared" si="42"/>
        <v>Zero Balance</v>
      </c>
      <c r="P681" t="str">
        <f t="shared" si="43"/>
        <v>New</v>
      </c>
    </row>
    <row r="682" spans="1:16" x14ac:dyDescent="0.25">
      <c r="A682">
        <v>2025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  <c r="M682" t="str">
        <f t="shared" si="40"/>
        <v>46-60</v>
      </c>
      <c r="N682" t="str">
        <f t="shared" si="41"/>
        <v>Low</v>
      </c>
      <c r="O682" t="str">
        <f t="shared" si="42"/>
        <v>Low Balance</v>
      </c>
      <c r="P682" t="str">
        <f t="shared" si="43"/>
        <v>Mid-term</v>
      </c>
    </row>
    <row r="683" spans="1:16" x14ac:dyDescent="0.25">
      <c r="A683">
        <v>2025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  <c r="M683" t="str">
        <f t="shared" si="40"/>
        <v>46-60</v>
      </c>
      <c r="N683" t="str">
        <f t="shared" si="41"/>
        <v>Medium</v>
      </c>
      <c r="O683" t="str">
        <f t="shared" si="42"/>
        <v>High Balance</v>
      </c>
      <c r="P683" t="str">
        <f t="shared" si="43"/>
        <v>Mid-term</v>
      </c>
    </row>
    <row r="684" spans="1:16" x14ac:dyDescent="0.25">
      <c r="A684">
        <v>2025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  <c r="M684" t="str">
        <f t="shared" si="40"/>
        <v>30-45</v>
      </c>
      <c r="N684" t="str">
        <f t="shared" si="41"/>
        <v>Medium</v>
      </c>
      <c r="O684" t="str">
        <f t="shared" si="42"/>
        <v>High Balance</v>
      </c>
      <c r="P684" t="str">
        <f t="shared" si="43"/>
        <v>Mid-term</v>
      </c>
    </row>
    <row r="685" spans="1:16" x14ac:dyDescent="0.25">
      <c r="A685">
        <v>2025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  <c r="M685" t="str">
        <f t="shared" si="40"/>
        <v>30-45</v>
      </c>
      <c r="N685" t="str">
        <f t="shared" si="41"/>
        <v>High</v>
      </c>
      <c r="O685" t="str">
        <f t="shared" si="42"/>
        <v>High Balance</v>
      </c>
      <c r="P685" t="str">
        <f t="shared" si="43"/>
        <v>Long-term</v>
      </c>
    </row>
    <row r="686" spans="1:16" x14ac:dyDescent="0.25">
      <c r="A686">
        <v>2025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  <c r="M686" t="str">
        <f t="shared" si="40"/>
        <v>&lt;30</v>
      </c>
      <c r="N686" t="str">
        <f t="shared" si="41"/>
        <v>Medium</v>
      </c>
      <c r="O686" t="str">
        <f t="shared" si="42"/>
        <v>High Balance</v>
      </c>
      <c r="P686" t="str">
        <f t="shared" si="43"/>
        <v>Long-term</v>
      </c>
    </row>
    <row r="687" spans="1:16" x14ac:dyDescent="0.25">
      <c r="A687">
        <v>2025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  <c r="M687" t="str">
        <f t="shared" si="40"/>
        <v>30-45</v>
      </c>
      <c r="N687" t="str">
        <f t="shared" si="41"/>
        <v>Medium</v>
      </c>
      <c r="O687" t="str">
        <f t="shared" si="42"/>
        <v>High Balance</v>
      </c>
      <c r="P687" t="str">
        <f t="shared" si="43"/>
        <v>New</v>
      </c>
    </row>
    <row r="688" spans="1:16" x14ac:dyDescent="0.25">
      <c r="A688">
        <v>2025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  <c r="M688" t="str">
        <f t="shared" si="40"/>
        <v>30-45</v>
      </c>
      <c r="N688" t="str">
        <f t="shared" si="41"/>
        <v>High</v>
      </c>
      <c r="O688" t="str">
        <f t="shared" si="42"/>
        <v>High Balance</v>
      </c>
      <c r="P688" t="str">
        <f t="shared" si="43"/>
        <v>New</v>
      </c>
    </row>
    <row r="689" spans="1:16" x14ac:dyDescent="0.25">
      <c r="A689">
        <v>2025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  <c r="M689" t="str">
        <f t="shared" si="40"/>
        <v>30-45</v>
      </c>
      <c r="N689" t="str">
        <f t="shared" si="41"/>
        <v>High</v>
      </c>
      <c r="O689" t="str">
        <f t="shared" si="42"/>
        <v>High Balance</v>
      </c>
      <c r="P689" t="str">
        <f t="shared" si="43"/>
        <v>Mid-term</v>
      </c>
    </row>
    <row r="690" spans="1:16" x14ac:dyDescent="0.25">
      <c r="A690">
        <v>2025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  <c r="M690" t="str">
        <f t="shared" si="40"/>
        <v>46-60</v>
      </c>
      <c r="N690" t="str">
        <f t="shared" si="41"/>
        <v>Medium</v>
      </c>
      <c r="O690" t="str">
        <f t="shared" si="42"/>
        <v>High Balance</v>
      </c>
      <c r="P690" t="str">
        <f t="shared" si="43"/>
        <v>Mid-term</v>
      </c>
    </row>
    <row r="691" spans="1:16" x14ac:dyDescent="0.25">
      <c r="A691">
        <v>2025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  <c r="M691" t="str">
        <f t="shared" si="40"/>
        <v>30-45</v>
      </c>
      <c r="N691" t="str">
        <f t="shared" si="41"/>
        <v>Medium</v>
      </c>
      <c r="O691" t="str">
        <f t="shared" si="42"/>
        <v>Low Balance</v>
      </c>
      <c r="P691" t="str">
        <f t="shared" si="43"/>
        <v>Mid-term</v>
      </c>
    </row>
    <row r="692" spans="1:16" x14ac:dyDescent="0.25">
      <c r="A692">
        <v>2025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  <c r="M692" t="str">
        <f t="shared" si="40"/>
        <v>&lt;30</v>
      </c>
      <c r="N692" t="str">
        <f t="shared" si="41"/>
        <v>High</v>
      </c>
      <c r="O692" t="str">
        <f t="shared" si="42"/>
        <v>High Balance</v>
      </c>
      <c r="P692" t="str">
        <f t="shared" si="43"/>
        <v>New</v>
      </c>
    </row>
    <row r="693" spans="1:16" x14ac:dyDescent="0.25">
      <c r="A693">
        <v>2025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  <c r="M693" t="str">
        <f t="shared" si="40"/>
        <v>30-45</v>
      </c>
      <c r="N693" t="str">
        <f t="shared" si="41"/>
        <v>High</v>
      </c>
      <c r="O693" t="str">
        <f t="shared" si="42"/>
        <v>Low Balance</v>
      </c>
      <c r="P693" t="str">
        <f t="shared" si="43"/>
        <v>New</v>
      </c>
    </row>
    <row r="694" spans="1:16" x14ac:dyDescent="0.25">
      <c r="A694">
        <v>2025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  <c r="M694" t="str">
        <f t="shared" si="40"/>
        <v>30-45</v>
      </c>
      <c r="N694" t="str">
        <f t="shared" si="41"/>
        <v>High</v>
      </c>
      <c r="O694" t="str">
        <f t="shared" si="42"/>
        <v>High Balance</v>
      </c>
      <c r="P694" t="str">
        <f t="shared" si="43"/>
        <v>Long-term</v>
      </c>
    </row>
    <row r="695" spans="1:16" x14ac:dyDescent="0.25">
      <c r="A695">
        <v>2025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  <c r="M695" t="str">
        <f t="shared" si="40"/>
        <v>30-45</v>
      </c>
      <c r="N695" t="str">
        <f t="shared" si="41"/>
        <v>Medium</v>
      </c>
      <c r="O695" t="str">
        <f t="shared" si="42"/>
        <v>Zero Balance</v>
      </c>
      <c r="P695" t="str">
        <f t="shared" si="43"/>
        <v>Mid-term</v>
      </c>
    </row>
    <row r="696" spans="1:16" x14ac:dyDescent="0.25">
      <c r="A696">
        <v>2025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  <c r="M696" t="str">
        <f t="shared" si="40"/>
        <v>30-45</v>
      </c>
      <c r="N696" t="str">
        <f t="shared" si="41"/>
        <v>High</v>
      </c>
      <c r="O696" t="str">
        <f t="shared" si="42"/>
        <v>High Balance</v>
      </c>
      <c r="P696" t="str">
        <f t="shared" si="43"/>
        <v>New</v>
      </c>
    </row>
    <row r="697" spans="1:16" x14ac:dyDescent="0.25">
      <c r="A697">
        <v>2025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  <c r="M697" t="str">
        <f t="shared" si="40"/>
        <v>46-60</v>
      </c>
      <c r="N697" t="str">
        <f t="shared" si="41"/>
        <v>Medium</v>
      </c>
      <c r="O697" t="str">
        <f t="shared" si="42"/>
        <v>Zero Balance</v>
      </c>
      <c r="P697" t="str">
        <f t="shared" si="43"/>
        <v>Mid-term</v>
      </c>
    </row>
    <row r="698" spans="1:16" x14ac:dyDescent="0.25">
      <c r="A698">
        <v>2025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  <c r="M698" t="str">
        <f t="shared" si="40"/>
        <v>60+</v>
      </c>
      <c r="N698" t="str">
        <f t="shared" si="41"/>
        <v>Low</v>
      </c>
      <c r="O698" t="str">
        <f t="shared" si="42"/>
        <v>Low Balance</v>
      </c>
      <c r="P698" t="str">
        <f t="shared" si="43"/>
        <v>New</v>
      </c>
    </row>
    <row r="699" spans="1:16" x14ac:dyDescent="0.25">
      <c r="A699">
        <v>2025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  <c r="M699" t="str">
        <f t="shared" si="40"/>
        <v>46-60</v>
      </c>
      <c r="N699" t="str">
        <f t="shared" si="41"/>
        <v>Medium</v>
      </c>
      <c r="O699" t="str">
        <f t="shared" si="42"/>
        <v>High Balance</v>
      </c>
      <c r="P699" t="str">
        <f t="shared" si="43"/>
        <v>New</v>
      </c>
    </row>
    <row r="700" spans="1:16" x14ac:dyDescent="0.25">
      <c r="A700">
        <v>2025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  <c r="M700" t="str">
        <f t="shared" si="40"/>
        <v>30-45</v>
      </c>
      <c r="N700" t="str">
        <f t="shared" si="41"/>
        <v>High</v>
      </c>
      <c r="O700" t="str">
        <f t="shared" si="42"/>
        <v>Zero Balance</v>
      </c>
      <c r="P700" t="str">
        <f t="shared" si="43"/>
        <v>New</v>
      </c>
    </row>
    <row r="701" spans="1:16" x14ac:dyDescent="0.25">
      <c r="A701">
        <v>2025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  <c r="M701" t="str">
        <f t="shared" si="40"/>
        <v>30-45</v>
      </c>
      <c r="N701" t="str">
        <f t="shared" si="41"/>
        <v>High</v>
      </c>
      <c r="O701" t="str">
        <f t="shared" si="42"/>
        <v>High Balance</v>
      </c>
      <c r="P701" t="str">
        <f t="shared" si="43"/>
        <v>New</v>
      </c>
    </row>
    <row r="702" spans="1:16" x14ac:dyDescent="0.25">
      <c r="A702">
        <v>2025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  <c r="M702" t="str">
        <f t="shared" si="40"/>
        <v>30-45</v>
      </c>
      <c r="N702" t="str">
        <f t="shared" si="41"/>
        <v>High</v>
      </c>
      <c r="O702" t="str">
        <f t="shared" si="42"/>
        <v>Zero Balance</v>
      </c>
      <c r="P702" t="str">
        <f t="shared" si="43"/>
        <v>Mid-term</v>
      </c>
    </row>
    <row r="703" spans="1:16" x14ac:dyDescent="0.25">
      <c r="A703">
        <v>2025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  <c r="M703" t="str">
        <f t="shared" si="40"/>
        <v>30-45</v>
      </c>
      <c r="N703" t="str">
        <f t="shared" si="41"/>
        <v>Medium</v>
      </c>
      <c r="O703" t="str">
        <f t="shared" si="42"/>
        <v>Low Balance</v>
      </c>
      <c r="P703" t="str">
        <f t="shared" si="43"/>
        <v>Mid-term</v>
      </c>
    </row>
    <row r="704" spans="1:16" x14ac:dyDescent="0.25">
      <c r="A704">
        <v>2025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  <c r="M704" t="str">
        <f t="shared" si="40"/>
        <v>46-60</v>
      </c>
      <c r="N704" t="str">
        <f t="shared" si="41"/>
        <v>Medium</v>
      </c>
      <c r="O704" t="str">
        <f t="shared" si="42"/>
        <v>High Balance</v>
      </c>
      <c r="P704" t="str">
        <f t="shared" si="43"/>
        <v>New</v>
      </c>
    </row>
    <row r="705" spans="1:16" x14ac:dyDescent="0.25">
      <c r="A705">
        <v>2025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  <c r="M705" t="str">
        <f t="shared" si="40"/>
        <v>30-45</v>
      </c>
      <c r="N705" t="str">
        <f t="shared" si="41"/>
        <v>Medium</v>
      </c>
      <c r="O705" t="str">
        <f t="shared" si="42"/>
        <v>Zero Balance</v>
      </c>
      <c r="P705" t="str">
        <f t="shared" si="43"/>
        <v>New</v>
      </c>
    </row>
    <row r="706" spans="1:16" x14ac:dyDescent="0.25">
      <c r="A706">
        <v>2025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  <c r="M706" t="str">
        <f t="shared" si="40"/>
        <v>30-45</v>
      </c>
      <c r="N706" t="str">
        <f t="shared" si="41"/>
        <v>Medium</v>
      </c>
      <c r="O706" t="str">
        <f t="shared" si="42"/>
        <v>Low Balance</v>
      </c>
      <c r="P706" t="str">
        <f t="shared" si="43"/>
        <v>New</v>
      </c>
    </row>
    <row r="707" spans="1:16" x14ac:dyDescent="0.25">
      <c r="A707">
        <v>2025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  <c r="M707" t="str">
        <f t="shared" ref="M707:M770" si="44">IF(E707&lt;30,"&lt;30",IF(E707&lt;=45,"30-45",IF(E707&lt;=60,"46-60","60+")))</f>
        <v>30-45</v>
      </c>
      <c r="N707" t="str">
        <f t="shared" ref="N707:N770" si="45">IF(B707&lt;500,"Low",IF(B707&lt;700,"Medium","High"))</f>
        <v>High</v>
      </c>
      <c r="O707" t="str">
        <f t="shared" ref="O707:O770" si="46">IF(G707=0,"Zero Balance",IF(G707&lt;100000,"Low Balance","High Balance"))</f>
        <v>High Balance</v>
      </c>
      <c r="P707" t="str">
        <f t="shared" ref="P707:P770" si="47">IF(F707&lt;=3,"New",IF(F707&lt;=7,"Mid-term","Long-term"))</f>
        <v>Mid-term</v>
      </c>
    </row>
    <row r="708" spans="1:16" x14ac:dyDescent="0.25">
      <c r="A708">
        <v>2025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  <c r="M708" t="str">
        <f t="shared" si="44"/>
        <v>30-45</v>
      </c>
      <c r="N708" t="str">
        <f t="shared" si="45"/>
        <v>Medium</v>
      </c>
      <c r="O708" t="str">
        <f t="shared" si="46"/>
        <v>Low Balance</v>
      </c>
      <c r="P708" t="str">
        <f t="shared" si="47"/>
        <v>Mid-term</v>
      </c>
    </row>
    <row r="709" spans="1:16" x14ac:dyDescent="0.25">
      <c r="A709">
        <v>2025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  <c r="M709" t="str">
        <f t="shared" si="44"/>
        <v>30-45</v>
      </c>
      <c r="N709" t="str">
        <f t="shared" si="45"/>
        <v>Medium</v>
      </c>
      <c r="O709" t="str">
        <f t="shared" si="46"/>
        <v>Zero Balance</v>
      </c>
      <c r="P709" t="str">
        <f t="shared" si="47"/>
        <v>Mid-term</v>
      </c>
    </row>
    <row r="710" spans="1:16" x14ac:dyDescent="0.25">
      <c r="A710">
        <v>2025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  <c r="M710" t="str">
        <f t="shared" si="44"/>
        <v>30-45</v>
      </c>
      <c r="N710" t="str">
        <f t="shared" si="45"/>
        <v>Medium</v>
      </c>
      <c r="O710" t="str">
        <f t="shared" si="46"/>
        <v>Zero Balance</v>
      </c>
      <c r="P710" t="str">
        <f t="shared" si="47"/>
        <v>Long-term</v>
      </c>
    </row>
    <row r="711" spans="1:16" x14ac:dyDescent="0.25">
      <c r="A711">
        <v>2025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  <c r="M711" t="str">
        <f t="shared" si="44"/>
        <v>30-45</v>
      </c>
      <c r="N711" t="str">
        <f t="shared" si="45"/>
        <v>Medium</v>
      </c>
      <c r="O711" t="str">
        <f t="shared" si="46"/>
        <v>High Balance</v>
      </c>
      <c r="P711" t="str">
        <f t="shared" si="47"/>
        <v>New</v>
      </c>
    </row>
    <row r="712" spans="1:16" x14ac:dyDescent="0.25">
      <c r="A712">
        <v>2025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  <c r="M712" t="str">
        <f t="shared" si="44"/>
        <v>46-60</v>
      </c>
      <c r="N712" t="str">
        <f t="shared" si="45"/>
        <v>Medium</v>
      </c>
      <c r="O712" t="str">
        <f t="shared" si="46"/>
        <v>High Balance</v>
      </c>
      <c r="P712" t="str">
        <f t="shared" si="47"/>
        <v>New</v>
      </c>
    </row>
    <row r="713" spans="1:16" x14ac:dyDescent="0.25">
      <c r="A713">
        <v>2025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  <c r="M713" t="str">
        <f t="shared" si="44"/>
        <v>30-45</v>
      </c>
      <c r="N713" t="str">
        <f t="shared" si="45"/>
        <v>Medium</v>
      </c>
      <c r="O713" t="str">
        <f t="shared" si="46"/>
        <v>High Balance</v>
      </c>
      <c r="P713" t="str">
        <f t="shared" si="47"/>
        <v>Mid-term</v>
      </c>
    </row>
    <row r="714" spans="1:16" x14ac:dyDescent="0.25">
      <c r="A714">
        <v>2025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  <c r="M714" t="str">
        <f t="shared" si="44"/>
        <v>30-45</v>
      </c>
      <c r="N714" t="str">
        <f t="shared" si="45"/>
        <v>Medium</v>
      </c>
      <c r="O714" t="str">
        <f t="shared" si="46"/>
        <v>High Balance</v>
      </c>
      <c r="P714" t="str">
        <f t="shared" si="47"/>
        <v>New</v>
      </c>
    </row>
    <row r="715" spans="1:16" x14ac:dyDescent="0.25">
      <c r="A715">
        <v>2025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  <c r="M715" t="str">
        <f t="shared" si="44"/>
        <v>30-45</v>
      </c>
      <c r="N715" t="str">
        <f t="shared" si="45"/>
        <v>Medium</v>
      </c>
      <c r="O715" t="str">
        <f t="shared" si="46"/>
        <v>High Balance</v>
      </c>
      <c r="P715" t="str">
        <f t="shared" si="47"/>
        <v>New</v>
      </c>
    </row>
    <row r="716" spans="1:16" x14ac:dyDescent="0.25">
      <c r="A716">
        <v>2025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  <c r="M716" t="str">
        <f t="shared" si="44"/>
        <v>&lt;30</v>
      </c>
      <c r="N716" t="str">
        <f t="shared" si="45"/>
        <v>Medium</v>
      </c>
      <c r="O716" t="str">
        <f t="shared" si="46"/>
        <v>Low Balance</v>
      </c>
      <c r="P716" t="str">
        <f t="shared" si="47"/>
        <v>New</v>
      </c>
    </row>
    <row r="717" spans="1:16" x14ac:dyDescent="0.25">
      <c r="A717">
        <v>2025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  <c r="M717" t="str">
        <f t="shared" si="44"/>
        <v>30-45</v>
      </c>
      <c r="N717" t="str">
        <f t="shared" si="45"/>
        <v>High</v>
      </c>
      <c r="O717" t="str">
        <f t="shared" si="46"/>
        <v>Zero Balance</v>
      </c>
      <c r="P717" t="str">
        <f t="shared" si="47"/>
        <v>Long-term</v>
      </c>
    </row>
    <row r="718" spans="1:16" x14ac:dyDescent="0.25">
      <c r="A718">
        <v>2025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  <c r="M718" t="str">
        <f t="shared" si="44"/>
        <v>30-45</v>
      </c>
      <c r="N718" t="str">
        <f t="shared" si="45"/>
        <v>Medium</v>
      </c>
      <c r="O718" t="str">
        <f t="shared" si="46"/>
        <v>Low Balance</v>
      </c>
      <c r="P718" t="str">
        <f t="shared" si="47"/>
        <v>Mid-term</v>
      </c>
    </row>
    <row r="719" spans="1:16" x14ac:dyDescent="0.25">
      <c r="A719">
        <v>2025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  <c r="M719" t="str">
        <f t="shared" si="44"/>
        <v>30-45</v>
      </c>
      <c r="N719" t="str">
        <f t="shared" si="45"/>
        <v>High</v>
      </c>
      <c r="O719" t="str">
        <f t="shared" si="46"/>
        <v>Zero Balance</v>
      </c>
      <c r="P719" t="str">
        <f t="shared" si="47"/>
        <v>Mid-term</v>
      </c>
    </row>
    <row r="720" spans="1:16" x14ac:dyDescent="0.25">
      <c r="A720">
        <v>2025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  <c r="M720" t="str">
        <f t="shared" si="44"/>
        <v>30-45</v>
      </c>
      <c r="N720" t="str">
        <f t="shared" si="45"/>
        <v>Low</v>
      </c>
      <c r="O720" t="str">
        <f t="shared" si="46"/>
        <v>Zero Balance</v>
      </c>
      <c r="P720" t="str">
        <f t="shared" si="47"/>
        <v>Long-term</v>
      </c>
    </row>
    <row r="721" spans="1:16" x14ac:dyDescent="0.25">
      <c r="A721">
        <v>2025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  <c r="M721" t="str">
        <f t="shared" si="44"/>
        <v>30-45</v>
      </c>
      <c r="N721" t="str">
        <f t="shared" si="45"/>
        <v>Medium</v>
      </c>
      <c r="O721" t="str">
        <f t="shared" si="46"/>
        <v>Zero Balance</v>
      </c>
      <c r="P721" t="str">
        <f t="shared" si="47"/>
        <v>Mid-term</v>
      </c>
    </row>
    <row r="722" spans="1:16" x14ac:dyDescent="0.25">
      <c r="A722">
        <v>2025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  <c r="M722" t="str">
        <f t="shared" si="44"/>
        <v>46-60</v>
      </c>
      <c r="N722" t="str">
        <f t="shared" si="45"/>
        <v>Medium</v>
      </c>
      <c r="O722" t="str">
        <f t="shared" si="46"/>
        <v>High Balance</v>
      </c>
      <c r="P722" t="str">
        <f t="shared" si="47"/>
        <v>New</v>
      </c>
    </row>
    <row r="723" spans="1:16" x14ac:dyDescent="0.25">
      <c r="A723">
        <v>2025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  <c r="M723" t="str">
        <f t="shared" si="44"/>
        <v>30-45</v>
      </c>
      <c r="N723" t="str">
        <f t="shared" si="45"/>
        <v>Low</v>
      </c>
      <c r="O723" t="str">
        <f t="shared" si="46"/>
        <v>High Balance</v>
      </c>
      <c r="P723" t="str">
        <f t="shared" si="47"/>
        <v>Mid-term</v>
      </c>
    </row>
    <row r="724" spans="1:16" x14ac:dyDescent="0.25">
      <c r="A724">
        <v>2025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  <c r="M724" t="str">
        <f t="shared" si="44"/>
        <v>&lt;30</v>
      </c>
      <c r="N724" t="str">
        <f t="shared" si="45"/>
        <v>Medium</v>
      </c>
      <c r="O724" t="str">
        <f t="shared" si="46"/>
        <v>Zero Balance</v>
      </c>
      <c r="P724" t="str">
        <f t="shared" si="47"/>
        <v>New</v>
      </c>
    </row>
    <row r="725" spans="1:16" x14ac:dyDescent="0.25">
      <c r="A725">
        <v>2025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  <c r="M725" t="str">
        <f t="shared" si="44"/>
        <v>30-45</v>
      </c>
      <c r="N725" t="str">
        <f t="shared" si="45"/>
        <v>High</v>
      </c>
      <c r="O725" t="str">
        <f t="shared" si="46"/>
        <v>High Balance</v>
      </c>
      <c r="P725" t="str">
        <f t="shared" si="47"/>
        <v>New</v>
      </c>
    </row>
    <row r="726" spans="1:16" x14ac:dyDescent="0.25">
      <c r="A726">
        <v>2025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  <c r="M726" t="str">
        <f t="shared" si="44"/>
        <v>30-45</v>
      </c>
      <c r="N726" t="str">
        <f t="shared" si="45"/>
        <v>Medium</v>
      </c>
      <c r="O726" t="str">
        <f t="shared" si="46"/>
        <v>Low Balance</v>
      </c>
      <c r="P726" t="str">
        <f t="shared" si="47"/>
        <v>New</v>
      </c>
    </row>
    <row r="727" spans="1:16" x14ac:dyDescent="0.25">
      <c r="A727">
        <v>2025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  <c r="M727" t="str">
        <f t="shared" si="44"/>
        <v>30-45</v>
      </c>
      <c r="N727" t="str">
        <f t="shared" si="45"/>
        <v>High</v>
      </c>
      <c r="O727" t="str">
        <f t="shared" si="46"/>
        <v>High Balance</v>
      </c>
      <c r="P727" t="str">
        <f t="shared" si="47"/>
        <v>Long-term</v>
      </c>
    </row>
    <row r="728" spans="1:16" x14ac:dyDescent="0.25">
      <c r="A728">
        <v>2025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  <c r="M728" t="str">
        <f t="shared" si="44"/>
        <v>30-45</v>
      </c>
      <c r="N728" t="str">
        <f t="shared" si="45"/>
        <v>Medium</v>
      </c>
      <c r="O728" t="str">
        <f t="shared" si="46"/>
        <v>Zero Balance</v>
      </c>
      <c r="P728" t="str">
        <f t="shared" si="47"/>
        <v>Long-term</v>
      </c>
    </row>
    <row r="729" spans="1:16" x14ac:dyDescent="0.25">
      <c r="A729">
        <v>2025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  <c r="M729" t="str">
        <f t="shared" si="44"/>
        <v>&lt;30</v>
      </c>
      <c r="N729" t="str">
        <f t="shared" si="45"/>
        <v>High</v>
      </c>
      <c r="O729" t="str">
        <f t="shared" si="46"/>
        <v>Zero Balance</v>
      </c>
      <c r="P729" t="str">
        <f t="shared" si="47"/>
        <v>Mid-term</v>
      </c>
    </row>
    <row r="730" spans="1:16" x14ac:dyDescent="0.25">
      <c r="A730">
        <v>2025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  <c r="M730" t="str">
        <f t="shared" si="44"/>
        <v>30-45</v>
      </c>
      <c r="N730" t="str">
        <f t="shared" si="45"/>
        <v>Medium</v>
      </c>
      <c r="O730" t="str">
        <f t="shared" si="46"/>
        <v>High Balance</v>
      </c>
      <c r="P730" t="str">
        <f t="shared" si="47"/>
        <v>Mid-term</v>
      </c>
    </row>
    <row r="731" spans="1:16" x14ac:dyDescent="0.25">
      <c r="A731">
        <v>2025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  <c r="M731" t="str">
        <f t="shared" si="44"/>
        <v>46-60</v>
      </c>
      <c r="N731" t="str">
        <f t="shared" si="45"/>
        <v>Low</v>
      </c>
      <c r="O731" t="str">
        <f t="shared" si="46"/>
        <v>Zero Balance</v>
      </c>
      <c r="P731" t="str">
        <f t="shared" si="47"/>
        <v>New</v>
      </c>
    </row>
    <row r="732" spans="1:16" x14ac:dyDescent="0.25">
      <c r="A732">
        <v>2025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  <c r="M732" t="str">
        <f t="shared" si="44"/>
        <v>&lt;30</v>
      </c>
      <c r="N732" t="str">
        <f t="shared" si="45"/>
        <v>Medium</v>
      </c>
      <c r="O732" t="str">
        <f t="shared" si="46"/>
        <v>High Balance</v>
      </c>
      <c r="P732" t="str">
        <f t="shared" si="47"/>
        <v>Mid-term</v>
      </c>
    </row>
    <row r="733" spans="1:16" x14ac:dyDescent="0.25">
      <c r="A733">
        <v>2025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  <c r="M733" t="str">
        <f t="shared" si="44"/>
        <v>&lt;30</v>
      </c>
      <c r="N733" t="str">
        <f t="shared" si="45"/>
        <v>High</v>
      </c>
      <c r="O733" t="str">
        <f t="shared" si="46"/>
        <v>Zero Balance</v>
      </c>
      <c r="P733" t="str">
        <f t="shared" si="47"/>
        <v>Long-term</v>
      </c>
    </row>
    <row r="734" spans="1:16" x14ac:dyDescent="0.25">
      <c r="A734">
        <v>2025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  <c r="M734" t="str">
        <f t="shared" si="44"/>
        <v>30-45</v>
      </c>
      <c r="N734" t="str">
        <f t="shared" si="45"/>
        <v>Medium</v>
      </c>
      <c r="O734" t="str">
        <f t="shared" si="46"/>
        <v>High Balance</v>
      </c>
      <c r="P734" t="str">
        <f t="shared" si="47"/>
        <v>New</v>
      </c>
    </row>
    <row r="735" spans="1:16" x14ac:dyDescent="0.25">
      <c r="A735">
        <v>2025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  <c r="M735" t="str">
        <f t="shared" si="44"/>
        <v>30-45</v>
      </c>
      <c r="N735" t="str">
        <f t="shared" si="45"/>
        <v>High</v>
      </c>
      <c r="O735" t="str">
        <f t="shared" si="46"/>
        <v>High Balance</v>
      </c>
      <c r="P735" t="str">
        <f t="shared" si="47"/>
        <v>Long-term</v>
      </c>
    </row>
    <row r="736" spans="1:16" x14ac:dyDescent="0.25">
      <c r="A736">
        <v>2025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  <c r="M736" t="str">
        <f t="shared" si="44"/>
        <v>46-60</v>
      </c>
      <c r="N736" t="str">
        <f t="shared" si="45"/>
        <v>Medium</v>
      </c>
      <c r="O736" t="str">
        <f t="shared" si="46"/>
        <v>High Balance</v>
      </c>
      <c r="P736" t="str">
        <f t="shared" si="47"/>
        <v>Mid-term</v>
      </c>
    </row>
    <row r="737" spans="1:16" x14ac:dyDescent="0.25">
      <c r="A737">
        <v>2025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  <c r="M737" t="str">
        <f t="shared" si="44"/>
        <v>46-60</v>
      </c>
      <c r="N737" t="str">
        <f t="shared" si="45"/>
        <v>Low</v>
      </c>
      <c r="O737" t="str">
        <f t="shared" si="46"/>
        <v>Zero Balance</v>
      </c>
      <c r="P737" t="str">
        <f t="shared" si="47"/>
        <v>Mid-term</v>
      </c>
    </row>
    <row r="738" spans="1:16" x14ac:dyDescent="0.25">
      <c r="A738">
        <v>2025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  <c r="M738" t="str">
        <f t="shared" si="44"/>
        <v>60+</v>
      </c>
      <c r="N738" t="str">
        <f t="shared" si="45"/>
        <v>High</v>
      </c>
      <c r="O738" t="str">
        <f t="shared" si="46"/>
        <v>High Balance</v>
      </c>
      <c r="P738" t="str">
        <f t="shared" si="47"/>
        <v>Mid-term</v>
      </c>
    </row>
    <row r="739" spans="1:16" x14ac:dyDescent="0.25">
      <c r="A739">
        <v>2025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  <c r="M739" t="str">
        <f t="shared" si="44"/>
        <v>30-45</v>
      </c>
      <c r="N739" t="str">
        <f t="shared" si="45"/>
        <v>Medium</v>
      </c>
      <c r="O739" t="str">
        <f t="shared" si="46"/>
        <v>High Balance</v>
      </c>
      <c r="P739" t="str">
        <f t="shared" si="47"/>
        <v>New</v>
      </c>
    </row>
    <row r="740" spans="1:16" x14ac:dyDescent="0.25">
      <c r="A740">
        <v>2025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  <c r="M740" t="str">
        <f t="shared" si="44"/>
        <v>46-60</v>
      </c>
      <c r="N740" t="str">
        <f t="shared" si="45"/>
        <v>High</v>
      </c>
      <c r="O740" t="str">
        <f t="shared" si="46"/>
        <v>Zero Balance</v>
      </c>
      <c r="P740" t="str">
        <f t="shared" si="47"/>
        <v>Mid-term</v>
      </c>
    </row>
    <row r="741" spans="1:16" x14ac:dyDescent="0.25">
      <c r="A741">
        <v>2025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  <c r="M741" t="str">
        <f t="shared" si="44"/>
        <v>&lt;30</v>
      </c>
      <c r="N741" t="str">
        <f t="shared" si="45"/>
        <v>Medium</v>
      </c>
      <c r="O741" t="str">
        <f t="shared" si="46"/>
        <v>Low Balance</v>
      </c>
      <c r="P741" t="str">
        <f t="shared" si="47"/>
        <v>Long-term</v>
      </c>
    </row>
    <row r="742" spans="1:16" x14ac:dyDescent="0.25">
      <c r="A742">
        <v>2025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  <c r="M742" t="str">
        <f t="shared" si="44"/>
        <v>&lt;30</v>
      </c>
      <c r="N742" t="str">
        <f t="shared" si="45"/>
        <v>Medium</v>
      </c>
      <c r="O742" t="str">
        <f t="shared" si="46"/>
        <v>High Balance</v>
      </c>
      <c r="P742" t="str">
        <f t="shared" si="47"/>
        <v>Mid-term</v>
      </c>
    </row>
    <row r="743" spans="1:16" x14ac:dyDescent="0.25">
      <c r="A743">
        <v>2025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  <c r="M743" t="str">
        <f t="shared" si="44"/>
        <v>&lt;30</v>
      </c>
      <c r="N743" t="str">
        <f t="shared" si="45"/>
        <v>Medium</v>
      </c>
      <c r="O743" t="str">
        <f t="shared" si="46"/>
        <v>High Balance</v>
      </c>
      <c r="P743" t="str">
        <f t="shared" si="47"/>
        <v>Long-term</v>
      </c>
    </row>
    <row r="744" spans="1:16" x14ac:dyDescent="0.25">
      <c r="A744">
        <v>2025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  <c r="M744" t="str">
        <f t="shared" si="44"/>
        <v>&lt;30</v>
      </c>
      <c r="N744" t="str">
        <f t="shared" si="45"/>
        <v>Medium</v>
      </c>
      <c r="O744" t="str">
        <f t="shared" si="46"/>
        <v>High Balance</v>
      </c>
      <c r="P744" t="str">
        <f t="shared" si="47"/>
        <v>Mid-term</v>
      </c>
    </row>
    <row r="745" spans="1:16" x14ac:dyDescent="0.25">
      <c r="A745">
        <v>2025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  <c r="M745" t="str">
        <f t="shared" si="44"/>
        <v>46-60</v>
      </c>
      <c r="N745" t="str">
        <f t="shared" si="45"/>
        <v>Medium</v>
      </c>
      <c r="O745" t="str">
        <f t="shared" si="46"/>
        <v>Low Balance</v>
      </c>
      <c r="P745" t="str">
        <f t="shared" si="47"/>
        <v>New</v>
      </c>
    </row>
    <row r="746" spans="1:16" x14ac:dyDescent="0.25">
      <c r="A746">
        <v>2025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  <c r="M746" t="str">
        <f t="shared" si="44"/>
        <v>46-60</v>
      </c>
      <c r="N746" t="str">
        <f t="shared" si="45"/>
        <v>Medium</v>
      </c>
      <c r="O746" t="str">
        <f t="shared" si="46"/>
        <v>Zero Balance</v>
      </c>
      <c r="P746" t="str">
        <f t="shared" si="47"/>
        <v>Long-term</v>
      </c>
    </row>
    <row r="747" spans="1:16" x14ac:dyDescent="0.25">
      <c r="A747">
        <v>2025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  <c r="M747" t="str">
        <f t="shared" si="44"/>
        <v>30-45</v>
      </c>
      <c r="N747" t="str">
        <f t="shared" si="45"/>
        <v>Medium</v>
      </c>
      <c r="O747" t="str">
        <f t="shared" si="46"/>
        <v>Zero Balance</v>
      </c>
      <c r="P747" t="str">
        <f t="shared" si="47"/>
        <v>Mid-term</v>
      </c>
    </row>
    <row r="748" spans="1:16" x14ac:dyDescent="0.25">
      <c r="A748">
        <v>2025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  <c r="M748" t="str">
        <f t="shared" si="44"/>
        <v>&lt;30</v>
      </c>
      <c r="N748" t="str">
        <f t="shared" si="45"/>
        <v>High</v>
      </c>
      <c r="O748" t="str">
        <f t="shared" si="46"/>
        <v>High Balance</v>
      </c>
      <c r="P748" t="str">
        <f t="shared" si="47"/>
        <v>New</v>
      </c>
    </row>
    <row r="749" spans="1:16" x14ac:dyDescent="0.25">
      <c r="A749">
        <v>2025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  <c r="M749" t="str">
        <f t="shared" si="44"/>
        <v>46-60</v>
      </c>
      <c r="N749" t="str">
        <f t="shared" si="45"/>
        <v>Low</v>
      </c>
      <c r="O749" t="str">
        <f t="shared" si="46"/>
        <v>High Balance</v>
      </c>
      <c r="P749" t="str">
        <f t="shared" si="47"/>
        <v>Mid-term</v>
      </c>
    </row>
    <row r="750" spans="1:16" x14ac:dyDescent="0.25">
      <c r="A750">
        <v>2025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  <c r="M750" t="str">
        <f t="shared" si="44"/>
        <v>30-45</v>
      </c>
      <c r="N750" t="str">
        <f t="shared" si="45"/>
        <v>High</v>
      </c>
      <c r="O750" t="str">
        <f t="shared" si="46"/>
        <v>Low Balance</v>
      </c>
      <c r="P750" t="str">
        <f t="shared" si="47"/>
        <v>New</v>
      </c>
    </row>
    <row r="751" spans="1:16" x14ac:dyDescent="0.25">
      <c r="A751">
        <v>2025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  <c r="M751" t="str">
        <f t="shared" si="44"/>
        <v>46-60</v>
      </c>
      <c r="N751" t="str">
        <f t="shared" si="45"/>
        <v>Low</v>
      </c>
      <c r="O751" t="str">
        <f t="shared" si="46"/>
        <v>High Balance</v>
      </c>
      <c r="P751" t="str">
        <f t="shared" si="47"/>
        <v>Mid-term</v>
      </c>
    </row>
    <row r="752" spans="1:16" x14ac:dyDescent="0.25">
      <c r="A752">
        <v>2025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  <c r="M752" t="str">
        <f t="shared" si="44"/>
        <v>30-45</v>
      </c>
      <c r="N752" t="str">
        <f t="shared" si="45"/>
        <v>Medium</v>
      </c>
      <c r="O752" t="str">
        <f t="shared" si="46"/>
        <v>Zero Balance</v>
      </c>
      <c r="P752" t="str">
        <f t="shared" si="47"/>
        <v>New</v>
      </c>
    </row>
    <row r="753" spans="1:16" x14ac:dyDescent="0.25">
      <c r="A753">
        <v>2025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  <c r="M753" t="str">
        <f t="shared" si="44"/>
        <v>46-60</v>
      </c>
      <c r="N753" t="str">
        <f t="shared" si="45"/>
        <v>High</v>
      </c>
      <c r="O753" t="str">
        <f t="shared" si="46"/>
        <v>Low Balance</v>
      </c>
      <c r="P753" t="str">
        <f t="shared" si="47"/>
        <v>Long-term</v>
      </c>
    </row>
    <row r="754" spans="1:16" x14ac:dyDescent="0.25">
      <c r="A754">
        <v>2025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  <c r="M754" t="str">
        <f t="shared" si="44"/>
        <v>30-45</v>
      </c>
      <c r="N754" t="str">
        <f t="shared" si="45"/>
        <v>Low</v>
      </c>
      <c r="O754" t="str">
        <f t="shared" si="46"/>
        <v>High Balance</v>
      </c>
      <c r="P754" t="str">
        <f t="shared" si="47"/>
        <v>Mid-term</v>
      </c>
    </row>
    <row r="755" spans="1:16" x14ac:dyDescent="0.25">
      <c r="A755">
        <v>2025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  <c r="M755" t="str">
        <f t="shared" si="44"/>
        <v>30-45</v>
      </c>
      <c r="N755" t="str">
        <f t="shared" si="45"/>
        <v>High</v>
      </c>
      <c r="O755" t="str">
        <f t="shared" si="46"/>
        <v>High Balance</v>
      </c>
      <c r="P755" t="str">
        <f t="shared" si="47"/>
        <v>New</v>
      </c>
    </row>
    <row r="756" spans="1:16" x14ac:dyDescent="0.25">
      <c r="A756">
        <v>2025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  <c r="M756" t="str">
        <f t="shared" si="44"/>
        <v>30-45</v>
      </c>
      <c r="N756" t="str">
        <f t="shared" si="45"/>
        <v>High</v>
      </c>
      <c r="O756" t="str">
        <f t="shared" si="46"/>
        <v>High Balance</v>
      </c>
      <c r="P756" t="str">
        <f t="shared" si="47"/>
        <v>Mid-term</v>
      </c>
    </row>
    <row r="757" spans="1:16" x14ac:dyDescent="0.25">
      <c r="A757">
        <v>2025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  <c r="M757" t="str">
        <f t="shared" si="44"/>
        <v>30-45</v>
      </c>
      <c r="N757" t="str">
        <f t="shared" si="45"/>
        <v>High</v>
      </c>
      <c r="O757" t="str">
        <f t="shared" si="46"/>
        <v>High Balance</v>
      </c>
      <c r="P757" t="str">
        <f t="shared" si="47"/>
        <v>Long-term</v>
      </c>
    </row>
    <row r="758" spans="1:16" x14ac:dyDescent="0.25">
      <c r="A758">
        <v>2025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  <c r="M758" t="str">
        <f t="shared" si="44"/>
        <v>30-45</v>
      </c>
      <c r="N758" t="str">
        <f t="shared" si="45"/>
        <v>Medium</v>
      </c>
      <c r="O758" t="str">
        <f t="shared" si="46"/>
        <v>High Balance</v>
      </c>
      <c r="P758" t="str">
        <f t="shared" si="47"/>
        <v>New</v>
      </c>
    </row>
    <row r="759" spans="1:16" x14ac:dyDescent="0.25">
      <c r="A759">
        <v>2025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  <c r="M759" t="str">
        <f t="shared" si="44"/>
        <v>&lt;30</v>
      </c>
      <c r="N759" t="str">
        <f t="shared" si="45"/>
        <v>High</v>
      </c>
      <c r="O759" t="str">
        <f t="shared" si="46"/>
        <v>Zero Balance</v>
      </c>
      <c r="P759" t="str">
        <f t="shared" si="47"/>
        <v>New</v>
      </c>
    </row>
    <row r="760" spans="1:16" x14ac:dyDescent="0.25">
      <c r="A760">
        <v>2025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  <c r="M760" t="str">
        <f t="shared" si="44"/>
        <v>30-45</v>
      </c>
      <c r="N760" t="str">
        <f t="shared" si="45"/>
        <v>Medium</v>
      </c>
      <c r="O760" t="str">
        <f t="shared" si="46"/>
        <v>High Balance</v>
      </c>
      <c r="P760" t="str">
        <f t="shared" si="47"/>
        <v>Long-term</v>
      </c>
    </row>
    <row r="761" spans="1:16" x14ac:dyDescent="0.25">
      <c r="A761">
        <v>2025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  <c r="M761" t="str">
        <f t="shared" si="44"/>
        <v>46-60</v>
      </c>
      <c r="N761" t="str">
        <f t="shared" si="45"/>
        <v>Medium</v>
      </c>
      <c r="O761" t="str">
        <f t="shared" si="46"/>
        <v>Low Balance</v>
      </c>
      <c r="P761" t="str">
        <f t="shared" si="47"/>
        <v>Mid-term</v>
      </c>
    </row>
    <row r="762" spans="1:16" x14ac:dyDescent="0.25">
      <c r="A762">
        <v>2025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  <c r="M762" t="str">
        <f t="shared" si="44"/>
        <v>30-45</v>
      </c>
      <c r="N762" t="str">
        <f t="shared" si="45"/>
        <v>Medium</v>
      </c>
      <c r="O762" t="str">
        <f t="shared" si="46"/>
        <v>High Balance</v>
      </c>
      <c r="P762" t="str">
        <f t="shared" si="47"/>
        <v>Mid-term</v>
      </c>
    </row>
    <row r="763" spans="1:16" x14ac:dyDescent="0.25">
      <c r="A763">
        <v>2025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  <c r="M763" t="str">
        <f t="shared" si="44"/>
        <v>30-45</v>
      </c>
      <c r="N763" t="str">
        <f t="shared" si="45"/>
        <v>Medium</v>
      </c>
      <c r="O763" t="str">
        <f t="shared" si="46"/>
        <v>High Balance</v>
      </c>
      <c r="P763" t="str">
        <f t="shared" si="47"/>
        <v>Mid-term</v>
      </c>
    </row>
    <row r="764" spans="1:16" x14ac:dyDescent="0.25">
      <c r="A764">
        <v>2025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  <c r="M764" t="str">
        <f t="shared" si="44"/>
        <v>30-45</v>
      </c>
      <c r="N764" t="str">
        <f t="shared" si="45"/>
        <v>Medium</v>
      </c>
      <c r="O764" t="str">
        <f t="shared" si="46"/>
        <v>Low Balance</v>
      </c>
      <c r="P764" t="str">
        <f t="shared" si="47"/>
        <v>Mid-term</v>
      </c>
    </row>
    <row r="765" spans="1:16" x14ac:dyDescent="0.25">
      <c r="A765">
        <v>2025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  <c r="M765" t="str">
        <f t="shared" si="44"/>
        <v>&lt;30</v>
      </c>
      <c r="N765" t="str">
        <f t="shared" si="45"/>
        <v>High</v>
      </c>
      <c r="O765" t="str">
        <f t="shared" si="46"/>
        <v>High Balance</v>
      </c>
      <c r="P765" t="str">
        <f t="shared" si="47"/>
        <v>New</v>
      </c>
    </row>
    <row r="766" spans="1:16" x14ac:dyDescent="0.25">
      <c r="A766">
        <v>2025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  <c r="M766" t="str">
        <f t="shared" si="44"/>
        <v>30-45</v>
      </c>
      <c r="N766" t="str">
        <f t="shared" si="45"/>
        <v>High</v>
      </c>
      <c r="O766" t="str">
        <f t="shared" si="46"/>
        <v>High Balance</v>
      </c>
      <c r="P766" t="str">
        <f t="shared" si="47"/>
        <v>New</v>
      </c>
    </row>
    <row r="767" spans="1:16" x14ac:dyDescent="0.25">
      <c r="A767">
        <v>2025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  <c r="M767" t="str">
        <f t="shared" si="44"/>
        <v>&lt;30</v>
      </c>
      <c r="N767" t="str">
        <f t="shared" si="45"/>
        <v>High</v>
      </c>
      <c r="O767" t="str">
        <f t="shared" si="46"/>
        <v>High Balance</v>
      </c>
      <c r="P767" t="str">
        <f t="shared" si="47"/>
        <v>New</v>
      </c>
    </row>
    <row r="768" spans="1:16" x14ac:dyDescent="0.25">
      <c r="A768">
        <v>2025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  <c r="M768" t="str">
        <f t="shared" si="44"/>
        <v>60+</v>
      </c>
      <c r="N768" t="str">
        <f t="shared" si="45"/>
        <v>High</v>
      </c>
      <c r="O768" t="str">
        <f t="shared" si="46"/>
        <v>Zero Balance</v>
      </c>
      <c r="P768" t="str">
        <f t="shared" si="47"/>
        <v>New</v>
      </c>
    </row>
    <row r="769" spans="1:16" x14ac:dyDescent="0.25">
      <c r="A769">
        <v>2025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  <c r="M769" t="str">
        <f t="shared" si="44"/>
        <v>46-60</v>
      </c>
      <c r="N769" t="str">
        <f t="shared" si="45"/>
        <v>High</v>
      </c>
      <c r="O769" t="str">
        <f t="shared" si="46"/>
        <v>High Balance</v>
      </c>
      <c r="P769" t="str">
        <f t="shared" si="47"/>
        <v>Long-term</v>
      </c>
    </row>
    <row r="770" spans="1:16" x14ac:dyDescent="0.25">
      <c r="A770">
        <v>2025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  <c r="M770" t="str">
        <f t="shared" si="44"/>
        <v>30-45</v>
      </c>
      <c r="N770" t="str">
        <f t="shared" si="45"/>
        <v>Medium</v>
      </c>
      <c r="O770" t="str">
        <f t="shared" si="46"/>
        <v>High Balance</v>
      </c>
      <c r="P770" t="str">
        <f t="shared" si="47"/>
        <v>New</v>
      </c>
    </row>
    <row r="771" spans="1:16" x14ac:dyDescent="0.25">
      <c r="A771">
        <v>2025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  <c r="M771" t="str">
        <f t="shared" ref="M771:M834" si="48">IF(E771&lt;30,"&lt;30",IF(E771&lt;=45,"30-45",IF(E771&lt;=60,"46-60","60+")))</f>
        <v>60+</v>
      </c>
      <c r="N771" t="str">
        <f t="shared" ref="N771:N834" si="49">IF(B771&lt;500,"Low",IF(B771&lt;700,"Medium","High"))</f>
        <v>Medium</v>
      </c>
      <c r="O771" t="str">
        <f t="shared" ref="O771:O834" si="50">IF(G771=0,"Zero Balance",IF(G771&lt;100000,"Low Balance","High Balance"))</f>
        <v>High Balance</v>
      </c>
      <c r="P771" t="str">
        <f t="shared" ref="P771:P834" si="51">IF(F771&lt;=3,"New",IF(F771&lt;=7,"Mid-term","Long-term"))</f>
        <v>New</v>
      </c>
    </row>
    <row r="772" spans="1:16" x14ac:dyDescent="0.25">
      <c r="A772">
        <v>2025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  <c r="M772" t="str">
        <f t="shared" si="48"/>
        <v>30-45</v>
      </c>
      <c r="N772" t="str">
        <f t="shared" si="49"/>
        <v>High</v>
      </c>
      <c r="O772" t="str">
        <f t="shared" si="50"/>
        <v>High Balance</v>
      </c>
      <c r="P772" t="str">
        <f t="shared" si="51"/>
        <v>New</v>
      </c>
    </row>
    <row r="773" spans="1:16" x14ac:dyDescent="0.25">
      <c r="A773">
        <v>2025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  <c r="M773" t="str">
        <f t="shared" si="48"/>
        <v>30-45</v>
      </c>
      <c r="N773" t="str">
        <f t="shared" si="49"/>
        <v>High</v>
      </c>
      <c r="O773" t="str">
        <f t="shared" si="50"/>
        <v>High Balance</v>
      </c>
      <c r="P773" t="str">
        <f t="shared" si="51"/>
        <v>Mid-term</v>
      </c>
    </row>
    <row r="774" spans="1:16" x14ac:dyDescent="0.25">
      <c r="A774">
        <v>2025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  <c r="M774" t="str">
        <f t="shared" si="48"/>
        <v>30-45</v>
      </c>
      <c r="N774" t="str">
        <f t="shared" si="49"/>
        <v>Medium</v>
      </c>
      <c r="O774" t="str">
        <f t="shared" si="50"/>
        <v>Zero Balance</v>
      </c>
      <c r="P774" t="str">
        <f t="shared" si="51"/>
        <v>New</v>
      </c>
    </row>
    <row r="775" spans="1:16" x14ac:dyDescent="0.25">
      <c r="A775">
        <v>2025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  <c r="M775" t="str">
        <f t="shared" si="48"/>
        <v>30-45</v>
      </c>
      <c r="N775" t="str">
        <f t="shared" si="49"/>
        <v>High</v>
      </c>
      <c r="O775" t="str">
        <f t="shared" si="50"/>
        <v>High Balance</v>
      </c>
      <c r="P775" t="str">
        <f t="shared" si="51"/>
        <v>New</v>
      </c>
    </row>
    <row r="776" spans="1:16" x14ac:dyDescent="0.25">
      <c r="A776">
        <v>2025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  <c r="M776" t="str">
        <f t="shared" si="48"/>
        <v>46-60</v>
      </c>
      <c r="N776" t="str">
        <f t="shared" si="49"/>
        <v>Medium</v>
      </c>
      <c r="O776" t="str">
        <f t="shared" si="50"/>
        <v>High Balance</v>
      </c>
      <c r="P776" t="str">
        <f t="shared" si="51"/>
        <v>Mid-term</v>
      </c>
    </row>
    <row r="777" spans="1:16" x14ac:dyDescent="0.25">
      <c r="A777">
        <v>2025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  <c r="M777" t="str">
        <f t="shared" si="48"/>
        <v>30-45</v>
      </c>
      <c r="N777" t="str">
        <f t="shared" si="49"/>
        <v>Medium</v>
      </c>
      <c r="O777" t="str">
        <f t="shared" si="50"/>
        <v>High Balance</v>
      </c>
      <c r="P777" t="str">
        <f t="shared" si="51"/>
        <v>Mid-term</v>
      </c>
    </row>
    <row r="778" spans="1:16" x14ac:dyDescent="0.25">
      <c r="A778">
        <v>2025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  <c r="M778" t="str">
        <f t="shared" si="48"/>
        <v>46-60</v>
      </c>
      <c r="N778" t="str">
        <f t="shared" si="49"/>
        <v>Medium</v>
      </c>
      <c r="O778" t="str">
        <f t="shared" si="50"/>
        <v>High Balance</v>
      </c>
      <c r="P778" t="str">
        <f t="shared" si="51"/>
        <v>Mid-term</v>
      </c>
    </row>
    <row r="779" spans="1:16" x14ac:dyDescent="0.25">
      <c r="A779">
        <v>2025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  <c r="M779" t="str">
        <f t="shared" si="48"/>
        <v>&lt;30</v>
      </c>
      <c r="N779" t="str">
        <f t="shared" si="49"/>
        <v>Medium</v>
      </c>
      <c r="O779" t="str">
        <f t="shared" si="50"/>
        <v>High Balance</v>
      </c>
      <c r="P779" t="str">
        <f t="shared" si="51"/>
        <v>Long-term</v>
      </c>
    </row>
    <row r="780" spans="1:16" x14ac:dyDescent="0.25">
      <c r="A780">
        <v>2025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  <c r="M780" t="str">
        <f t="shared" si="48"/>
        <v>&lt;30</v>
      </c>
      <c r="N780" t="str">
        <f t="shared" si="49"/>
        <v>High</v>
      </c>
      <c r="O780" t="str">
        <f t="shared" si="50"/>
        <v>Zero Balance</v>
      </c>
      <c r="P780" t="str">
        <f t="shared" si="51"/>
        <v>Long-term</v>
      </c>
    </row>
    <row r="781" spans="1:16" x14ac:dyDescent="0.25">
      <c r="A781">
        <v>2025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  <c r="M781" t="str">
        <f t="shared" si="48"/>
        <v>30-45</v>
      </c>
      <c r="N781" t="str">
        <f t="shared" si="49"/>
        <v>Medium</v>
      </c>
      <c r="O781" t="str">
        <f t="shared" si="50"/>
        <v>High Balance</v>
      </c>
      <c r="P781" t="str">
        <f t="shared" si="51"/>
        <v>Long-term</v>
      </c>
    </row>
    <row r="782" spans="1:16" x14ac:dyDescent="0.25">
      <c r="A782">
        <v>2025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  <c r="M782" t="str">
        <f t="shared" si="48"/>
        <v>&lt;30</v>
      </c>
      <c r="N782" t="str">
        <f t="shared" si="49"/>
        <v>Medium</v>
      </c>
      <c r="O782" t="str">
        <f t="shared" si="50"/>
        <v>Zero Balance</v>
      </c>
      <c r="P782" t="str">
        <f t="shared" si="51"/>
        <v>Long-term</v>
      </c>
    </row>
    <row r="783" spans="1:16" x14ac:dyDescent="0.25">
      <c r="A783">
        <v>2025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  <c r="M783" t="str">
        <f t="shared" si="48"/>
        <v>&lt;30</v>
      </c>
      <c r="N783" t="str">
        <f t="shared" si="49"/>
        <v>High</v>
      </c>
      <c r="O783" t="str">
        <f t="shared" si="50"/>
        <v>Low Balance</v>
      </c>
      <c r="P783" t="str">
        <f t="shared" si="51"/>
        <v>New</v>
      </c>
    </row>
    <row r="784" spans="1:16" x14ac:dyDescent="0.25">
      <c r="A784">
        <v>2025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  <c r="M784" t="str">
        <f t="shared" si="48"/>
        <v>30-45</v>
      </c>
      <c r="N784" t="str">
        <f t="shared" si="49"/>
        <v>Medium</v>
      </c>
      <c r="O784" t="str">
        <f t="shared" si="50"/>
        <v>Zero Balance</v>
      </c>
      <c r="P784" t="str">
        <f t="shared" si="51"/>
        <v>New</v>
      </c>
    </row>
    <row r="785" spans="1:16" x14ac:dyDescent="0.25">
      <c r="A785">
        <v>2025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  <c r="M785" t="str">
        <f t="shared" si="48"/>
        <v>30-45</v>
      </c>
      <c r="N785" t="str">
        <f t="shared" si="49"/>
        <v>Medium</v>
      </c>
      <c r="O785" t="str">
        <f t="shared" si="50"/>
        <v>Zero Balance</v>
      </c>
      <c r="P785" t="str">
        <f t="shared" si="51"/>
        <v>Long-term</v>
      </c>
    </row>
    <row r="786" spans="1:16" x14ac:dyDescent="0.25">
      <c r="A786">
        <v>2025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  <c r="M786" t="str">
        <f t="shared" si="48"/>
        <v>46-60</v>
      </c>
      <c r="N786" t="str">
        <f t="shared" si="49"/>
        <v>High</v>
      </c>
      <c r="O786" t="str">
        <f t="shared" si="50"/>
        <v>High Balance</v>
      </c>
      <c r="P786" t="str">
        <f t="shared" si="51"/>
        <v>Mid-term</v>
      </c>
    </row>
    <row r="787" spans="1:16" x14ac:dyDescent="0.25">
      <c r="A787">
        <v>2025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  <c r="M787" t="str">
        <f t="shared" si="48"/>
        <v>30-45</v>
      </c>
      <c r="N787" t="str">
        <f t="shared" si="49"/>
        <v>High</v>
      </c>
      <c r="O787" t="str">
        <f t="shared" si="50"/>
        <v>Low Balance</v>
      </c>
      <c r="P787" t="str">
        <f t="shared" si="51"/>
        <v>Mid-term</v>
      </c>
    </row>
    <row r="788" spans="1:16" x14ac:dyDescent="0.25">
      <c r="A788">
        <v>2025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  <c r="M788" t="str">
        <f t="shared" si="48"/>
        <v>&lt;30</v>
      </c>
      <c r="N788" t="str">
        <f t="shared" si="49"/>
        <v>Medium</v>
      </c>
      <c r="O788" t="str">
        <f t="shared" si="50"/>
        <v>Zero Balance</v>
      </c>
      <c r="P788" t="str">
        <f t="shared" si="51"/>
        <v>New</v>
      </c>
    </row>
    <row r="789" spans="1:16" x14ac:dyDescent="0.25">
      <c r="A789">
        <v>2025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  <c r="M789" t="str">
        <f t="shared" si="48"/>
        <v>30-45</v>
      </c>
      <c r="N789" t="str">
        <f t="shared" si="49"/>
        <v>High</v>
      </c>
      <c r="O789" t="str">
        <f t="shared" si="50"/>
        <v>High Balance</v>
      </c>
      <c r="P789" t="str">
        <f t="shared" si="51"/>
        <v>New</v>
      </c>
    </row>
    <row r="790" spans="1:16" x14ac:dyDescent="0.25">
      <c r="A790">
        <v>2025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  <c r="M790" t="str">
        <f t="shared" si="48"/>
        <v>30-45</v>
      </c>
      <c r="N790" t="str">
        <f t="shared" si="49"/>
        <v>Medium</v>
      </c>
      <c r="O790" t="str">
        <f t="shared" si="50"/>
        <v>Zero Balance</v>
      </c>
      <c r="P790" t="str">
        <f t="shared" si="51"/>
        <v>New</v>
      </c>
    </row>
    <row r="791" spans="1:16" x14ac:dyDescent="0.25">
      <c r="A791">
        <v>2025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  <c r="M791" t="str">
        <f t="shared" si="48"/>
        <v>46-60</v>
      </c>
      <c r="N791" t="str">
        <f t="shared" si="49"/>
        <v>High</v>
      </c>
      <c r="O791" t="str">
        <f t="shared" si="50"/>
        <v>High Balance</v>
      </c>
      <c r="P791" t="str">
        <f t="shared" si="51"/>
        <v>Long-term</v>
      </c>
    </row>
    <row r="792" spans="1:16" x14ac:dyDescent="0.25">
      <c r="A792">
        <v>2025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  <c r="M792" t="str">
        <f t="shared" si="48"/>
        <v>30-45</v>
      </c>
      <c r="N792" t="str">
        <f t="shared" si="49"/>
        <v>Medium</v>
      </c>
      <c r="O792" t="str">
        <f t="shared" si="50"/>
        <v>Low Balance</v>
      </c>
      <c r="P792" t="str">
        <f t="shared" si="51"/>
        <v>New</v>
      </c>
    </row>
    <row r="793" spans="1:16" x14ac:dyDescent="0.25">
      <c r="A793">
        <v>2025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  <c r="M793" t="str">
        <f t="shared" si="48"/>
        <v>46-60</v>
      </c>
      <c r="N793" t="str">
        <f t="shared" si="49"/>
        <v>Medium</v>
      </c>
      <c r="O793" t="str">
        <f t="shared" si="50"/>
        <v>Zero Balance</v>
      </c>
      <c r="P793" t="str">
        <f t="shared" si="51"/>
        <v>New</v>
      </c>
    </row>
    <row r="794" spans="1:16" x14ac:dyDescent="0.25">
      <c r="A794">
        <v>2025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  <c r="M794" t="str">
        <f t="shared" si="48"/>
        <v>46-60</v>
      </c>
      <c r="N794" t="str">
        <f t="shared" si="49"/>
        <v>High</v>
      </c>
      <c r="O794" t="str">
        <f t="shared" si="50"/>
        <v>High Balance</v>
      </c>
      <c r="P794" t="str">
        <f t="shared" si="51"/>
        <v>Mid-term</v>
      </c>
    </row>
    <row r="795" spans="1:16" x14ac:dyDescent="0.25">
      <c r="A795">
        <v>2025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  <c r="M795" t="str">
        <f t="shared" si="48"/>
        <v>30-45</v>
      </c>
      <c r="N795" t="str">
        <f t="shared" si="49"/>
        <v>High</v>
      </c>
      <c r="O795" t="str">
        <f t="shared" si="50"/>
        <v>High Balance</v>
      </c>
      <c r="P795" t="str">
        <f t="shared" si="51"/>
        <v>New</v>
      </c>
    </row>
    <row r="796" spans="1:16" x14ac:dyDescent="0.25">
      <c r="A796">
        <v>2025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  <c r="M796" t="str">
        <f t="shared" si="48"/>
        <v>&lt;30</v>
      </c>
      <c r="N796" t="str">
        <f t="shared" si="49"/>
        <v>Medium</v>
      </c>
      <c r="O796" t="str">
        <f t="shared" si="50"/>
        <v>Zero Balance</v>
      </c>
      <c r="P796" t="str">
        <f t="shared" si="51"/>
        <v>New</v>
      </c>
    </row>
    <row r="797" spans="1:16" x14ac:dyDescent="0.25">
      <c r="A797">
        <v>2025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  <c r="M797" t="str">
        <f t="shared" si="48"/>
        <v>30-45</v>
      </c>
      <c r="N797" t="str">
        <f t="shared" si="49"/>
        <v>High</v>
      </c>
      <c r="O797" t="str">
        <f t="shared" si="50"/>
        <v>High Balance</v>
      </c>
      <c r="P797" t="str">
        <f t="shared" si="51"/>
        <v>Long-term</v>
      </c>
    </row>
    <row r="798" spans="1:16" x14ac:dyDescent="0.25">
      <c r="A798">
        <v>2025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  <c r="M798" t="str">
        <f t="shared" si="48"/>
        <v>46-60</v>
      </c>
      <c r="N798" t="str">
        <f t="shared" si="49"/>
        <v>High</v>
      </c>
      <c r="O798" t="str">
        <f t="shared" si="50"/>
        <v>Low Balance</v>
      </c>
      <c r="P798" t="str">
        <f t="shared" si="51"/>
        <v>Long-term</v>
      </c>
    </row>
    <row r="799" spans="1:16" x14ac:dyDescent="0.25">
      <c r="A799">
        <v>2025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  <c r="M799" t="str">
        <f t="shared" si="48"/>
        <v>30-45</v>
      </c>
      <c r="N799" t="str">
        <f t="shared" si="49"/>
        <v>Low</v>
      </c>
      <c r="O799" t="str">
        <f t="shared" si="50"/>
        <v>High Balance</v>
      </c>
      <c r="P799" t="str">
        <f t="shared" si="51"/>
        <v>New</v>
      </c>
    </row>
    <row r="800" spans="1:16" x14ac:dyDescent="0.25">
      <c r="A800">
        <v>2025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  <c r="M800" t="str">
        <f t="shared" si="48"/>
        <v>30-45</v>
      </c>
      <c r="N800" t="str">
        <f t="shared" si="49"/>
        <v>Medium</v>
      </c>
      <c r="O800" t="str">
        <f t="shared" si="50"/>
        <v>High Balance</v>
      </c>
      <c r="P800" t="str">
        <f t="shared" si="51"/>
        <v>Mid-term</v>
      </c>
    </row>
    <row r="801" spans="1:16" x14ac:dyDescent="0.25">
      <c r="A801">
        <v>2025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  <c r="M801" t="str">
        <f t="shared" si="48"/>
        <v>30-45</v>
      </c>
      <c r="N801" t="str">
        <f t="shared" si="49"/>
        <v>Medium</v>
      </c>
      <c r="O801" t="str">
        <f t="shared" si="50"/>
        <v>High Balance</v>
      </c>
      <c r="P801" t="str">
        <f t="shared" si="51"/>
        <v>Long-term</v>
      </c>
    </row>
    <row r="802" spans="1:16" x14ac:dyDescent="0.25">
      <c r="A802">
        <v>2025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  <c r="M802" t="str">
        <f t="shared" si="48"/>
        <v>46-60</v>
      </c>
      <c r="N802" t="str">
        <f t="shared" si="49"/>
        <v>Medium</v>
      </c>
      <c r="O802" t="str">
        <f t="shared" si="50"/>
        <v>Zero Balance</v>
      </c>
      <c r="P802" t="str">
        <f t="shared" si="51"/>
        <v>Mid-term</v>
      </c>
    </row>
    <row r="803" spans="1:16" x14ac:dyDescent="0.25">
      <c r="A803">
        <v>2025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  <c r="M803" t="str">
        <f t="shared" si="48"/>
        <v>30-45</v>
      </c>
      <c r="N803" t="str">
        <f t="shared" si="49"/>
        <v>Medium</v>
      </c>
      <c r="O803" t="str">
        <f t="shared" si="50"/>
        <v>Low Balance</v>
      </c>
      <c r="P803" t="str">
        <f t="shared" si="51"/>
        <v>New</v>
      </c>
    </row>
    <row r="804" spans="1:16" x14ac:dyDescent="0.25">
      <c r="A804">
        <v>2025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  <c r="M804" t="str">
        <f t="shared" si="48"/>
        <v>30-45</v>
      </c>
      <c r="N804" t="str">
        <f t="shared" si="49"/>
        <v>Medium</v>
      </c>
      <c r="O804" t="str">
        <f t="shared" si="50"/>
        <v>High Balance</v>
      </c>
      <c r="P804" t="str">
        <f t="shared" si="51"/>
        <v>Mid-term</v>
      </c>
    </row>
    <row r="805" spans="1:16" x14ac:dyDescent="0.25">
      <c r="A805">
        <v>2025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  <c r="M805" t="str">
        <f t="shared" si="48"/>
        <v>&lt;30</v>
      </c>
      <c r="N805" t="str">
        <f t="shared" si="49"/>
        <v>Medium</v>
      </c>
      <c r="O805" t="str">
        <f t="shared" si="50"/>
        <v>Zero Balance</v>
      </c>
      <c r="P805" t="str">
        <f t="shared" si="51"/>
        <v>Long-term</v>
      </c>
    </row>
    <row r="806" spans="1:16" x14ac:dyDescent="0.25">
      <c r="A806">
        <v>2025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  <c r="M806" t="str">
        <f t="shared" si="48"/>
        <v>30-45</v>
      </c>
      <c r="N806" t="str">
        <f t="shared" si="49"/>
        <v>High</v>
      </c>
      <c r="O806" t="str">
        <f t="shared" si="50"/>
        <v>High Balance</v>
      </c>
      <c r="P806" t="str">
        <f t="shared" si="51"/>
        <v>Mid-term</v>
      </c>
    </row>
    <row r="807" spans="1:16" x14ac:dyDescent="0.25">
      <c r="A807">
        <v>2025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  <c r="M807" t="str">
        <f t="shared" si="48"/>
        <v>46-60</v>
      </c>
      <c r="N807" t="str">
        <f t="shared" si="49"/>
        <v>High</v>
      </c>
      <c r="O807" t="str">
        <f t="shared" si="50"/>
        <v>Zero Balance</v>
      </c>
      <c r="P807" t="str">
        <f t="shared" si="51"/>
        <v>Long-term</v>
      </c>
    </row>
    <row r="808" spans="1:16" x14ac:dyDescent="0.25">
      <c r="A808">
        <v>2025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  <c r="M808" t="str">
        <f t="shared" si="48"/>
        <v>30-45</v>
      </c>
      <c r="N808" t="str">
        <f t="shared" si="49"/>
        <v>High</v>
      </c>
      <c r="O808" t="str">
        <f t="shared" si="50"/>
        <v>Zero Balance</v>
      </c>
      <c r="P808" t="str">
        <f t="shared" si="51"/>
        <v>New</v>
      </c>
    </row>
    <row r="809" spans="1:16" x14ac:dyDescent="0.25">
      <c r="A809">
        <v>2025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  <c r="M809" t="str">
        <f t="shared" si="48"/>
        <v>60+</v>
      </c>
      <c r="N809" t="str">
        <f t="shared" si="49"/>
        <v>Medium</v>
      </c>
      <c r="O809" t="str">
        <f t="shared" si="50"/>
        <v>Zero Balance</v>
      </c>
      <c r="P809" t="str">
        <f t="shared" si="51"/>
        <v>Mid-term</v>
      </c>
    </row>
    <row r="810" spans="1:16" x14ac:dyDescent="0.25">
      <c r="A810">
        <v>2025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  <c r="M810" t="str">
        <f t="shared" si="48"/>
        <v>46-60</v>
      </c>
      <c r="N810" t="str">
        <f t="shared" si="49"/>
        <v>Medium</v>
      </c>
      <c r="O810" t="str">
        <f t="shared" si="50"/>
        <v>High Balance</v>
      </c>
      <c r="P810" t="str">
        <f t="shared" si="51"/>
        <v>Long-term</v>
      </c>
    </row>
    <row r="811" spans="1:16" x14ac:dyDescent="0.25">
      <c r="A811">
        <v>2025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  <c r="M811" t="str">
        <f t="shared" si="48"/>
        <v>30-45</v>
      </c>
      <c r="N811" t="str">
        <f t="shared" si="49"/>
        <v>Medium</v>
      </c>
      <c r="O811" t="str">
        <f t="shared" si="50"/>
        <v>Low Balance</v>
      </c>
      <c r="P811" t="str">
        <f t="shared" si="51"/>
        <v>Mid-term</v>
      </c>
    </row>
    <row r="812" spans="1:16" x14ac:dyDescent="0.25">
      <c r="A812">
        <v>2025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  <c r="M812" t="str">
        <f t="shared" si="48"/>
        <v>30-45</v>
      </c>
      <c r="N812" t="str">
        <f t="shared" si="49"/>
        <v>Medium</v>
      </c>
      <c r="O812" t="str">
        <f t="shared" si="50"/>
        <v>Zero Balance</v>
      </c>
      <c r="P812" t="str">
        <f t="shared" si="51"/>
        <v>Long-term</v>
      </c>
    </row>
    <row r="813" spans="1:16" x14ac:dyDescent="0.25">
      <c r="A813">
        <v>2025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  <c r="M813" t="str">
        <f t="shared" si="48"/>
        <v>60+</v>
      </c>
      <c r="N813" t="str">
        <f t="shared" si="49"/>
        <v>Medium</v>
      </c>
      <c r="O813" t="str">
        <f t="shared" si="50"/>
        <v>High Balance</v>
      </c>
      <c r="P813" t="str">
        <f t="shared" si="51"/>
        <v>Mid-term</v>
      </c>
    </row>
    <row r="814" spans="1:16" x14ac:dyDescent="0.25">
      <c r="A814">
        <v>2025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  <c r="M814" t="str">
        <f t="shared" si="48"/>
        <v>30-45</v>
      </c>
      <c r="N814" t="str">
        <f t="shared" si="49"/>
        <v>Medium</v>
      </c>
      <c r="O814" t="str">
        <f t="shared" si="50"/>
        <v>Zero Balance</v>
      </c>
      <c r="P814" t="str">
        <f t="shared" si="51"/>
        <v>New</v>
      </c>
    </row>
    <row r="815" spans="1:16" x14ac:dyDescent="0.25">
      <c r="A815">
        <v>2025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  <c r="M815" t="str">
        <f t="shared" si="48"/>
        <v>&lt;30</v>
      </c>
      <c r="N815" t="str">
        <f t="shared" si="49"/>
        <v>Low</v>
      </c>
      <c r="O815" t="str">
        <f t="shared" si="50"/>
        <v>High Balance</v>
      </c>
      <c r="P815" t="str">
        <f t="shared" si="51"/>
        <v>Long-term</v>
      </c>
    </row>
    <row r="816" spans="1:16" x14ac:dyDescent="0.25">
      <c r="A816">
        <v>2025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  <c r="M816" t="str">
        <f t="shared" si="48"/>
        <v>&lt;30</v>
      </c>
      <c r="N816" t="str">
        <f t="shared" si="49"/>
        <v>High</v>
      </c>
      <c r="O816" t="str">
        <f t="shared" si="50"/>
        <v>Zero Balance</v>
      </c>
      <c r="P816" t="str">
        <f t="shared" si="51"/>
        <v>New</v>
      </c>
    </row>
    <row r="817" spans="1:16" x14ac:dyDescent="0.25">
      <c r="A817">
        <v>2025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  <c r="M817" t="str">
        <f t="shared" si="48"/>
        <v>&lt;30</v>
      </c>
      <c r="N817" t="str">
        <f t="shared" si="49"/>
        <v>High</v>
      </c>
      <c r="O817" t="str">
        <f t="shared" si="50"/>
        <v>High Balance</v>
      </c>
      <c r="P817" t="str">
        <f t="shared" si="51"/>
        <v>Mid-term</v>
      </c>
    </row>
    <row r="818" spans="1:16" x14ac:dyDescent="0.25">
      <c r="A818">
        <v>2025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  <c r="M818" t="str">
        <f t="shared" si="48"/>
        <v>&lt;30</v>
      </c>
      <c r="N818" t="str">
        <f t="shared" si="49"/>
        <v>Medium</v>
      </c>
      <c r="O818" t="str">
        <f t="shared" si="50"/>
        <v>Zero Balance</v>
      </c>
      <c r="P818" t="str">
        <f t="shared" si="51"/>
        <v>Long-term</v>
      </c>
    </row>
    <row r="819" spans="1:16" x14ac:dyDescent="0.25">
      <c r="A819">
        <v>2025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  <c r="M819" t="str">
        <f t="shared" si="48"/>
        <v>30-45</v>
      </c>
      <c r="N819" t="str">
        <f t="shared" si="49"/>
        <v>Medium</v>
      </c>
      <c r="O819" t="str">
        <f t="shared" si="50"/>
        <v>High Balance</v>
      </c>
      <c r="P819" t="str">
        <f t="shared" si="51"/>
        <v>New</v>
      </c>
    </row>
    <row r="820" spans="1:16" x14ac:dyDescent="0.25">
      <c r="A820">
        <v>2025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  <c r="M820" t="str">
        <f t="shared" si="48"/>
        <v>&lt;30</v>
      </c>
      <c r="N820" t="str">
        <f t="shared" si="49"/>
        <v>Low</v>
      </c>
      <c r="O820" t="str">
        <f t="shared" si="50"/>
        <v>Low Balance</v>
      </c>
      <c r="P820" t="str">
        <f t="shared" si="51"/>
        <v>Long-term</v>
      </c>
    </row>
    <row r="821" spans="1:16" x14ac:dyDescent="0.25">
      <c r="A821">
        <v>2025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  <c r="M821" t="str">
        <f t="shared" si="48"/>
        <v>30-45</v>
      </c>
      <c r="N821" t="str">
        <f t="shared" si="49"/>
        <v>High</v>
      </c>
      <c r="O821" t="str">
        <f t="shared" si="50"/>
        <v>High Balance</v>
      </c>
      <c r="P821" t="str">
        <f t="shared" si="51"/>
        <v>Mid-term</v>
      </c>
    </row>
    <row r="822" spans="1:16" x14ac:dyDescent="0.25">
      <c r="A822">
        <v>2025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  <c r="M822" t="str">
        <f t="shared" si="48"/>
        <v>30-45</v>
      </c>
      <c r="N822" t="str">
        <f t="shared" si="49"/>
        <v>Medium</v>
      </c>
      <c r="O822" t="str">
        <f t="shared" si="50"/>
        <v>High Balance</v>
      </c>
      <c r="P822" t="str">
        <f t="shared" si="51"/>
        <v>Mid-term</v>
      </c>
    </row>
    <row r="823" spans="1:16" x14ac:dyDescent="0.25">
      <c r="A823">
        <v>2025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  <c r="M823" t="str">
        <f t="shared" si="48"/>
        <v>30-45</v>
      </c>
      <c r="N823" t="str">
        <f t="shared" si="49"/>
        <v>High</v>
      </c>
      <c r="O823" t="str">
        <f t="shared" si="50"/>
        <v>High Balance</v>
      </c>
      <c r="P823" t="str">
        <f t="shared" si="51"/>
        <v>Mid-term</v>
      </c>
    </row>
    <row r="824" spans="1:16" x14ac:dyDescent="0.25">
      <c r="A824">
        <v>2025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  <c r="M824" t="str">
        <f t="shared" si="48"/>
        <v>30-45</v>
      </c>
      <c r="N824" t="str">
        <f t="shared" si="49"/>
        <v>Medium</v>
      </c>
      <c r="O824" t="str">
        <f t="shared" si="50"/>
        <v>Zero Balance</v>
      </c>
      <c r="P824" t="str">
        <f t="shared" si="51"/>
        <v>Long-term</v>
      </c>
    </row>
    <row r="825" spans="1:16" x14ac:dyDescent="0.25">
      <c r="A825">
        <v>2025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  <c r="M825" t="str">
        <f t="shared" si="48"/>
        <v>60+</v>
      </c>
      <c r="N825" t="str">
        <f t="shared" si="49"/>
        <v>High</v>
      </c>
      <c r="O825" t="str">
        <f t="shared" si="50"/>
        <v>High Balance</v>
      </c>
      <c r="P825" t="str">
        <f t="shared" si="51"/>
        <v>Long-term</v>
      </c>
    </row>
    <row r="826" spans="1:16" x14ac:dyDescent="0.25">
      <c r="A826">
        <v>2025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  <c r="M826" t="str">
        <f t="shared" si="48"/>
        <v>30-45</v>
      </c>
      <c r="N826" t="str">
        <f t="shared" si="49"/>
        <v>Medium</v>
      </c>
      <c r="O826" t="str">
        <f t="shared" si="50"/>
        <v>Zero Balance</v>
      </c>
      <c r="P826" t="str">
        <f t="shared" si="51"/>
        <v>Mid-term</v>
      </c>
    </row>
    <row r="827" spans="1:16" x14ac:dyDescent="0.25">
      <c r="A827">
        <v>2025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  <c r="M827" t="str">
        <f t="shared" si="48"/>
        <v>30-45</v>
      </c>
      <c r="N827" t="str">
        <f t="shared" si="49"/>
        <v>Low</v>
      </c>
      <c r="O827" t="str">
        <f t="shared" si="50"/>
        <v>High Balance</v>
      </c>
      <c r="P827" t="str">
        <f t="shared" si="51"/>
        <v>Long-term</v>
      </c>
    </row>
    <row r="828" spans="1:16" x14ac:dyDescent="0.25">
      <c r="A828">
        <v>2025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  <c r="M828" t="str">
        <f t="shared" si="48"/>
        <v>46-60</v>
      </c>
      <c r="N828" t="str">
        <f t="shared" si="49"/>
        <v>Medium</v>
      </c>
      <c r="O828" t="str">
        <f t="shared" si="50"/>
        <v>Zero Balance</v>
      </c>
      <c r="P828" t="str">
        <f t="shared" si="51"/>
        <v>Mid-term</v>
      </c>
    </row>
    <row r="829" spans="1:16" x14ac:dyDescent="0.25">
      <c r="A829">
        <v>2025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  <c r="M829" t="str">
        <f t="shared" si="48"/>
        <v>46-60</v>
      </c>
      <c r="N829" t="str">
        <f t="shared" si="49"/>
        <v>High</v>
      </c>
      <c r="O829" t="str">
        <f t="shared" si="50"/>
        <v>Zero Balance</v>
      </c>
      <c r="P829" t="str">
        <f t="shared" si="51"/>
        <v>New</v>
      </c>
    </row>
    <row r="830" spans="1:16" x14ac:dyDescent="0.25">
      <c r="A830">
        <v>2025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  <c r="M830" t="str">
        <f t="shared" si="48"/>
        <v>30-45</v>
      </c>
      <c r="N830" t="str">
        <f t="shared" si="49"/>
        <v>Medium</v>
      </c>
      <c r="O830" t="str">
        <f t="shared" si="50"/>
        <v>High Balance</v>
      </c>
      <c r="P830" t="str">
        <f t="shared" si="51"/>
        <v>New</v>
      </c>
    </row>
    <row r="831" spans="1:16" x14ac:dyDescent="0.25">
      <c r="A831">
        <v>2025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  <c r="M831" t="str">
        <f t="shared" si="48"/>
        <v>30-45</v>
      </c>
      <c r="N831" t="str">
        <f t="shared" si="49"/>
        <v>Medium</v>
      </c>
      <c r="O831" t="str">
        <f t="shared" si="50"/>
        <v>Zero Balance</v>
      </c>
      <c r="P831" t="str">
        <f t="shared" si="51"/>
        <v>Long-term</v>
      </c>
    </row>
    <row r="832" spans="1:16" x14ac:dyDescent="0.25">
      <c r="A832">
        <v>2025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  <c r="M832" t="str">
        <f t="shared" si="48"/>
        <v>30-45</v>
      </c>
      <c r="N832" t="str">
        <f t="shared" si="49"/>
        <v>Medium</v>
      </c>
      <c r="O832" t="str">
        <f t="shared" si="50"/>
        <v>Zero Balance</v>
      </c>
      <c r="P832" t="str">
        <f t="shared" si="51"/>
        <v>Mid-term</v>
      </c>
    </row>
    <row r="833" spans="1:16" x14ac:dyDescent="0.25">
      <c r="A833">
        <v>2025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  <c r="M833" t="str">
        <f t="shared" si="48"/>
        <v>30-45</v>
      </c>
      <c r="N833" t="str">
        <f t="shared" si="49"/>
        <v>High</v>
      </c>
      <c r="O833" t="str">
        <f t="shared" si="50"/>
        <v>Zero Balance</v>
      </c>
      <c r="P833" t="str">
        <f t="shared" si="51"/>
        <v>Mid-term</v>
      </c>
    </row>
    <row r="834" spans="1:16" x14ac:dyDescent="0.25">
      <c r="A834">
        <v>2025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  <c r="M834" t="str">
        <f t="shared" si="48"/>
        <v>&lt;30</v>
      </c>
      <c r="N834" t="str">
        <f t="shared" si="49"/>
        <v>High</v>
      </c>
      <c r="O834" t="str">
        <f t="shared" si="50"/>
        <v>High Balance</v>
      </c>
      <c r="P834" t="str">
        <f t="shared" si="51"/>
        <v>New</v>
      </c>
    </row>
    <row r="835" spans="1:16" x14ac:dyDescent="0.25">
      <c r="A835">
        <v>2025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  <c r="M835" t="str">
        <f t="shared" ref="M835:M898" si="52">IF(E835&lt;30,"&lt;30",IF(E835&lt;=45,"30-45",IF(E835&lt;=60,"46-60","60+")))</f>
        <v>30-45</v>
      </c>
      <c r="N835" t="str">
        <f t="shared" ref="N835:N898" si="53">IF(B835&lt;500,"Low",IF(B835&lt;700,"Medium","High"))</f>
        <v>Medium</v>
      </c>
      <c r="O835" t="str">
        <f t="shared" ref="O835:O898" si="54">IF(G835=0,"Zero Balance",IF(G835&lt;100000,"Low Balance","High Balance"))</f>
        <v>High Balance</v>
      </c>
      <c r="P835" t="str">
        <f t="shared" ref="P835:P898" si="55">IF(F835&lt;=3,"New",IF(F835&lt;=7,"Mid-term","Long-term"))</f>
        <v>New</v>
      </c>
    </row>
    <row r="836" spans="1:16" x14ac:dyDescent="0.25">
      <c r="A836">
        <v>2025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  <c r="M836" t="str">
        <f t="shared" si="52"/>
        <v>30-45</v>
      </c>
      <c r="N836" t="str">
        <f t="shared" si="53"/>
        <v>Medium</v>
      </c>
      <c r="O836" t="str">
        <f t="shared" si="54"/>
        <v>Zero Balance</v>
      </c>
      <c r="P836" t="str">
        <f t="shared" si="55"/>
        <v>Mid-term</v>
      </c>
    </row>
    <row r="837" spans="1:16" x14ac:dyDescent="0.25">
      <c r="A837">
        <v>2025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  <c r="M837" t="str">
        <f t="shared" si="52"/>
        <v>30-45</v>
      </c>
      <c r="N837" t="str">
        <f t="shared" si="53"/>
        <v>Medium</v>
      </c>
      <c r="O837" t="str">
        <f t="shared" si="54"/>
        <v>High Balance</v>
      </c>
      <c r="P837" t="str">
        <f t="shared" si="55"/>
        <v>New</v>
      </c>
    </row>
    <row r="838" spans="1:16" x14ac:dyDescent="0.25">
      <c r="A838">
        <v>2025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  <c r="M838" t="str">
        <f t="shared" si="52"/>
        <v>30-45</v>
      </c>
      <c r="N838" t="str">
        <f t="shared" si="53"/>
        <v>Medium</v>
      </c>
      <c r="O838" t="str">
        <f t="shared" si="54"/>
        <v>Zero Balance</v>
      </c>
      <c r="P838" t="str">
        <f t="shared" si="55"/>
        <v>New</v>
      </c>
    </row>
    <row r="839" spans="1:16" x14ac:dyDescent="0.25">
      <c r="A839">
        <v>2025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  <c r="M839" t="str">
        <f t="shared" si="52"/>
        <v>46-60</v>
      </c>
      <c r="N839" t="str">
        <f t="shared" si="53"/>
        <v>Medium</v>
      </c>
      <c r="O839" t="str">
        <f t="shared" si="54"/>
        <v>High Balance</v>
      </c>
      <c r="P839" t="str">
        <f t="shared" si="55"/>
        <v>Mid-term</v>
      </c>
    </row>
    <row r="840" spans="1:16" x14ac:dyDescent="0.25">
      <c r="A840">
        <v>2025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  <c r="M840" t="str">
        <f t="shared" si="52"/>
        <v>46-60</v>
      </c>
      <c r="N840" t="str">
        <f t="shared" si="53"/>
        <v>Medium</v>
      </c>
      <c r="O840" t="str">
        <f t="shared" si="54"/>
        <v>Zero Balance</v>
      </c>
      <c r="P840" t="str">
        <f t="shared" si="55"/>
        <v>New</v>
      </c>
    </row>
    <row r="841" spans="1:16" x14ac:dyDescent="0.25">
      <c r="A841">
        <v>2025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  <c r="M841" t="str">
        <f t="shared" si="52"/>
        <v>30-45</v>
      </c>
      <c r="N841" t="str">
        <f t="shared" si="53"/>
        <v>Medium</v>
      </c>
      <c r="O841" t="str">
        <f t="shared" si="54"/>
        <v>Low Balance</v>
      </c>
      <c r="P841" t="str">
        <f t="shared" si="55"/>
        <v>Mid-term</v>
      </c>
    </row>
    <row r="842" spans="1:16" x14ac:dyDescent="0.25">
      <c r="A842">
        <v>2025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  <c r="M842" t="str">
        <f t="shared" si="52"/>
        <v>46-60</v>
      </c>
      <c r="N842" t="str">
        <f t="shared" si="53"/>
        <v>High</v>
      </c>
      <c r="O842" t="str">
        <f t="shared" si="54"/>
        <v>High Balance</v>
      </c>
      <c r="P842" t="str">
        <f t="shared" si="55"/>
        <v>Mid-term</v>
      </c>
    </row>
    <row r="843" spans="1:16" x14ac:dyDescent="0.25">
      <c r="A843">
        <v>2025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  <c r="M843" t="str">
        <f t="shared" si="52"/>
        <v>30-45</v>
      </c>
      <c r="N843" t="str">
        <f t="shared" si="53"/>
        <v>High</v>
      </c>
      <c r="O843" t="str">
        <f t="shared" si="54"/>
        <v>High Balance</v>
      </c>
      <c r="P843" t="str">
        <f t="shared" si="55"/>
        <v>New</v>
      </c>
    </row>
    <row r="844" spans="1:16" x14ac:dyDescent="0.25">
      <c r="A844">
        <v>2025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  <c r="M844" t="str">
        <f t="shared" si="52"/>
        <v>30-45</v>
      </c>
      <c r="N844" t="str">
        <f t="shared" si="53"/>
        <v>Medium</v>
      </c>
      <c r="O844" t="str">
        <f t="shared" si="54"/>
        <v>Low Balance</v>
      </c>
      <c r="P844" t="str">
        <f t="shared" si="55"/>
        <v>Long-term</v>
      </c>
    </row>
    <row r="845" spans="1:16" x14ac:dyDescent="0.25">
      <c r="A845">
        <v>2025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  <c r="M845" t="str">
        <f t="shared" si="52"/>
        <v>30-45</v>
      </c>
      <c r="N845" t="str">
        <f t="shared" si="53"/>
        <v>High</v>
      </c>
      <c r="O845" t="str">
        <f t="shared" si="54"/>
        <v>Zero Balance</v>
      </c>
      <c r="P845" t="str">
        <f t="shared" si="55"/>
        <v>Mid-term</v>
      </c>
    </row>
    <row r="846" spans="1:16" x14ac:dyDescent="0.25">
      <c r="A846">
        <v>2025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  <c r="M846" t="str">
        <f t="shared" si="52"/>
        <v>30-45</v>
      </c>
      <c r="N846" t="str">
        <f t="shared" si="53"/>
        <v>Medium</v>
      </c>
      <c r="O846" t="str">
        <f t="shared" si="54"/>
        <v>High Balance</v>
      </c>
      <c r="P846" t="str">
        <f t="shared" si="55"/>
        <v>New</v>
      </c>
    </row>
    <row r="847" spans="1:16" x14ac:dyDescent="0.25">
      <c r="A847">
        <v>2025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  <c r="M847" t="str">
        <f t="shared" si="52"/>
        <v>46-60</v>
      </c>
      <c r="N847" t="str">
        <f t="shared" si="53"/>
        <v>Medium</v>
      </c>
      <c r="O847" t="str">
        <f t="shared" si="54"/>
        <v>Low Balance</v>
      </c>
      <c r="P847" t="str">
        <f t="shared" si="55"/>
        <v>Mid-term</v>
      </c>
    </row>
    <row r="848" spans="1:16" x14ac:dyDescent="0.25">
      <c r="A848">
        <v>2025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  <c r="M848" t="str">
        <f t="shared" si="52"/>
        <v>&lt;30</v>
      </c>
      <c r="N848" t="str">
        <f t="shared" si="53"/>
        <v>High</v>
      </c>
      <c r="O848" t="str">
        <f t="shared" si="54"/>
        <v>Low Balance</v>
      </c>
      <c r="P848" t="str">
        <f t="shared" si="55"/>
        <v>Mid-term</v>
      </c>
    </row>
    <row r="849" spans="1:16" x14ac:dyDescent="0.25">
      <c r="A849">
        <v>2025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  <c r="M849" t="str">
        <f t="shared" si="52"/>
        <v>30-45</v>
      </c>
      <c r="N849" t="str">
        <f t="shared" si="53"/>
        <v>Low</v>
      </c>
      <c r="O849" t="str">
        <f t="shared" si="54"/>
        <v>Zero Balance</v>
      </c>
      <c r="P849" t="str">
        <f t="shared" si="55"/>
        <v>Mid-term</v>
      </c>
    </row>
    <row r="850" spans="1:16" x14ac:dyDescent="0.25">
      <c r="A850">
        <v>2025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  <c r="M850" t="str">
        <f t="shared" si="52"/>
        <v>46-60</v>
      </c>
      <c r="N850" t="str">
        <f t="shared" si="53"/>
        <v>Medium</v>
      </c>
      <c r="O850" t="str">
        <f t="shared" si="54"/>
        <v>High Balance</v>
      </c>
      <c r="P850" t="str">
        <f t="shared" si="55"/>
        <v>New</v>
      </c>
    </row>
    <row r="851" spans="1:16" x14ac:dyDescent="0.25">
      <c r="A851">
        <v>2025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  <c r="M851" t="str">
        <f t="shared" si="52"/>
        <v>&lt;30</v>
      </c>
      <c r="N851" t="str">
        <f t="shared" si="53"/>
        <v>High</v>
      </c>
      <c r="O851" t="str">
        <f t="shared" si="54"/>
        <v>Low Balance</v>
      </c>
      <c r="P851" t="str">
        <f t="shared" si="55"/>
        <v>New</v>
      </c>
    </row>
    <row r="852" spans="1:16" x14ac:dyDescent="0.25">
      <c r="A852">
        <v>2025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  <c r="M852" t="str">
        <f t="shared" si="52"/>
        <v>46-60</v>
      </c>
      <c r="N852" t="str">
        <f t="shared" si="53"/>
        <v>Medium</v>
      </c>
      <c r="O852" t="str">
        <f t="shared" si="54"/>
        <v>High Balance</v>
      </c>
      <c r="P852" t="str">
        <f t="shared" si="55"/>
        <v>New</v>
      </c>
    </row>
    <row r="853" spans="1:16" x14ac:dyDescent="0.25">
      <c r="A853">
        <v>2025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  <c r="M853" t="str">
        <f t="shared" si="52"/>
        <v>46-60</v>
      </c>
      <c r="N853" t="str">
        <f t="shared" si="53"/>
        <v>Medium</v>
      </c>
      <c r="O853" t="str">
        <f t="shared" si="54"/>
        <v>Low Balance</v>
      </c>
      <c r="P853" t="str">
        <f t="shared" si="55"/>
        <v>New</v>
      </c>
    </row>
    <row r="854" spans="1:16" x14ac:dyDescent="0.25">
      <c r="A854">
        <v>2025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  <c r="M854" t="str">
        <f t="shared" si="52"/>
        <v>30-45</v>
      </c>
      <c r="N854" t="str">
        <f t="shared" si="53"/>
        <v>Medium</v>
      </c>
      <c r="O854" t="str">
        <f t="shared" si="54"/>
        <v>High Balance</v>
      </c>
      <c r="P854" t="str">
        <f t="shared" si="55"/>
        <v>Long-term</v>
      </c>
    </row>
    <row r="855" spans="1:16" x14ac:dyDescent="0.25">
      <c r="A855">
        <v>2025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  <c r="M855" t="str">
        <f t="shared" si="52"/>
        <v>30-45</v>
      </c>
      <c r="N855" t="str">
        <f t="shared" si="53"/>
        <v>Medium</v>
      </c>
      <c r="O855" t="str">
        <f t="shared" si="54"/>
        <v>Zero Balance</v>
      </c>
      <c r="P855" t="str">
        <f t="shared" si="55"/>
        <v>Mid-term</v>
      </c>
    </row>
    <row r="856" spans="1:16" x14ac:dyDescent="0.25">
      <c r="A856">
        <v>2025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  <c r="M856" t="str">
        <f t="shared" si="52"/>
        <v>46-60</v>
      </c>
      <c r="N856" t="str">
        <f t="shared" si="53"/>
        <v>Medium</v>
      </c>
      <c r="O856" t="str">
        <f t="shared" si="54"/>
        <v>Zero Balance</v>
      </c>
      <c r="P856" t="str">
        <f t="shared" si="55"/>
        <v>Long-term</v>
      </c>
    </row>
    <row r="857" spans="1:16" x14ac:dyDescent="0.25">
      <c r="A857">
        <v>2025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  <c r="M857" t="str">
        <f t="shared" si="52"/>
        <v>30-45</v>
      </c>
      <c r="N857" t="str">
        <f t="shared" si="53"/>
        <v>Medium</v>
      </c>
      <c r="O857" t="str">
        <f t="shared" si="54"/>
        <v>Zero Balance</v>
      </c>
      <c r="P857" t="str">
        <f t="shared" si="55"/>
        <v>Mid-term</v>
      </c>
    </row>
    <row r="858" spans="1:16" x14ac:dyDescent="0.25">
      <c r="A858">
        <v>2025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  <c r="M858" t="str">
        <f t="shared" si="52"/>
        <v>46-60</v>
      </c>
      <c r="N858" t="str">
        <f t="shared" si="53"/>
        <v>Medium</v>
      </c>
      <c r="O858" t="str">
        <f t="shared" si="54"/>
        <v>High Balance</v>
      </c>
      <c r="P858" t="str">
        <f t="shared" si="55"/>
        <v>Mid-term</v>
      </c>
    </row>
    <row r="859" spans="1:16" x14ac:dyDescent="0.25">
      <c r="A859">
        <v>2025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  <c r="M859" t="str">
        <f t="shared" si="52"/>
        <v>30-45</v>
      </c>
      <c r="N859" t="str">
        <f t="shared" si="53"/>
        <v>High</v>
      </c>
      <c r="O859" t="str">
        <f t="shared" si="54"/>
        <v>High Balance</v>
      </c>
      <c r="P859" t="str">
        <f t="shared" si="55"/>
        <v>Mid-term</v>
      </c>
    </row>
    <row r="860" spans="1:16" x14ac:dyDescent="0.25">
      <c r="A860">
        <v>2025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  <c r="M860" t="str">
        <f t="shared" si="52"/>
        <v>30-45</v>
      </c>
      <c r="N860" t="str">
        <f t="shared" si="53"/>
        <v>Low</v>
      </c>
      <c r="O860" t="str">
        <f t="shared" si="54"/>
        <v>High Balance</v>
      </c>
      <c r="P860" t="str">
        <f t="shared" si="55"/>
        <v>Long-term</v>
      </c>
    </row>
    <row r="861" spans="1:16" x14ac:dyDescent="0.25">
      <c r="A861">
        <v>2025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  <c r="M861" t="str">
        <f t="shared" si="52"/>
        <v>60+</v>
      </c>
      <c r="N861" t="str">
        <f t="shared" si="53"/>
        <v>Medium</v>
      </c>
      <c r="O861" t="str">
        <f t="shared" si="54"/>
        <v>Zero Balance</v>
      </c>
      <c r="P861" t="str">
        <f t="shared" si="55"/>
        <v>New</v>
      </c>
    </row>
    <row r="862" spans="1:16" x14ac:dyDescent="0.25">
      <c r="A862">
        <v>2025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  <c r="M862" t="str">
        <f t="shared" si="52"/>
        <v>30-45</v>
      </c>
      <c r="N862" t="str">
        <f t="shared" si="53"/>
        <v>Medium</v>
      </c>
      <c r="O862" t="str">
        <f t="shared" si="54"/>
        <v>High Balance</v>
      </c>
      <c r="P862" t="str">
        <f t="shared" si="55"/>
        <v>Long-term</v>
      </c>
    </row>
    <row r="863" spans="1:16" x14ac:dyDescent="0.25">
      <c r="A863">
        <v>2025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  <c r="M863" t="str">
        <f t="shared" si="52"/>
        <v>30-45</v>
      </c>
      <c r="N863" t="str">
        <f t="shared" si="53"/>
        <v>Medium</v>
      </c>
      <c r="O863" t="str">
        <f t="shared" si="54"/>
        <v>High Balance</v>
      </c>
      <c r="P863" t="str">
        <f t="shared" si="55"/>
        <v>New</v>
      </c>
    </row>
    <row r="864" spans="1:16" x14ac:dyDescent="0.25">
      <c r="A864">
        <v>2025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  <c r="M864" t="str">
        <f t="shared" si="52"/>
        <v>30-45</v>
      </c>
      <c r="N864" t="str">
        <f t="shared" si="53"/>
        <v>High</v>
      </c>
      <c r="O864" t="str">
        <f t="shared" si="54"/>
        <v>High Balance</v>
      </c>
      <c r="P864" t="str">
        <f t="shared" si="55"/>
        <v>Mid-term</v>
      </c>
    </row>
    <row r="865" spans="1:16" x14ac:dyDescent="0.25">
      <c r="A865">
        <v>2025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  <c r="M865" t="str">
        <f t="shared" si="52"/>
        <v>46-60</v>
      </c>
      <c r="N865" t="str">
        <f t="shared" si="53"/>
        <v>High</v>
      </c>
      <c r="O865" t="str">
        <f t="shared" si="54"/>
        <v>Zero Balance</v>
      </c>
      <c r="P865" t="str">
        <f t="shared" si="55"/>
        <v>Mid-term</v>
      </c>
    </row>
    <row r="866" spans="1:16" x14ac:dyDescent="0.25">
      <c r="A866">
        <v>2025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  <c r="M866" t="str">
        <f t="shared" si="52"/>
        <v>30-45</v>
      </c>
      <c r="N866" t="str">
        <f t="shared" si="53"/>
        <v>Medium</v>
      </c>
      <c r="O866" t="str">
        <f t="shared" si="54"/>
        <v>Zero Balance</v>
      </c>
      <c r="P866" t="str">
        <f t="shared" si="55"/>
        <v>Mid-term</v>
      </c>
    </row>
    <row r="867" spans="1:16" x14ac:dyDescent="0.25">
      <c r="A867">
        <v>2025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  <c r="M867" t="str">
        <f t="shared" si="52"/>
        <v>&lt;30</v>
      </c>
      <c r="N867" t="str">
        <f t="shared" si="53"/>
        <v>Medium</v>
      </c>
      <c r="O867" t="str">
        <f t="shared" si="54"/>
        <v>Low Balance</v>
      </c>
      <c r="P867" t="str">
        <f t="shared" si="55"/>
        <v>Long-term</v>
      </c>
    </row>
    <row r="868" spans="1:16" x14ac:dyDescent="0.25">
      <c r="A868">
        <v>2025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  <c r="M868" t="str">
        <f t="shared" si="52"/>
        <v>30-45</v>
      </c>
      <c r="N868" t="str">
        <f t="shared" si="53"/>
        <v>Medium</v>
      </c>
      <c r="O868" t="str">
        <f t="shared" si="54"/>
        <v>Low Balance</v>
      </c>
      <c r="P868" t="str">
        <f t="shared" si="55"/>
        <v>New</v>
      </c>
    </row>
    <row r="869" spans="1:16" x14ac:dyDescent="0.25">
      <c r="A869">
        <v>2025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  <c r="M869" t="str">
        <f t="shared" si="52"/>
        <v>46-60</v>
      </c>
      <c r="N869" t="str">
        <f t="shared" si="53"/>
        <v>Medium</v>
      </c>
      <c r="O869" t="str">
        <f t="shared" si="54"/>
        <v>High Balance</v>
      </c>
      <c r="P869" t="str">
        <f t="shared" si="55"/>
        <v>New</v>
      </c>
    </row>
    <row r="870" spans="1:16" x14ac:dyDescent="0.25">
      <c r="A870">
        <v>2025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  <c r="M870" t="str">
        <f t="shared" si="52"/>
        <v>30-45</v>
      </c>
      <c r="N870" t="str">
        <f t="shared" si="53"/>
        <v>Medium</v>
      </c>
      <c r="O870" t="str">
        <f t="shared" si="54"/>
        <v>High Balance</v>
      </c>
      <c r="P870" t="str">
        <f t="shared" si="55"/>
        <v>Mid-term</v>
      </c>
    </row>
    <row r="871" spans="1:16" x14ac:dyDescent="0.25">
      <c r="A871">
        <v>2025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  <c r="M871" t="str">
        <f t="shared" si="52"/>
        <v>30-45</v>
      </c>
      <c r="N871" t="str">
        <f t="shared" si="53"/>
        <v>Low</v>
      </c>
      <c r="O871" t="str">
        <f t="shared" si="54"/>
        <v>Zero Balance</v>
      </c>
      <c r="P871" t="str">
        <f t="shared" si="55"/>
        <v>Mid-term</v>
      </c>
    </row>
    <row r="872" spans="1:16" x14ac:dyDescent="0.25">
      <c r="A872">
        <v>2025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  <c r="M872" t="str">
        <f t="shared" si="52"/>
        <v>30-45</v>
      </c>
      <c r="N872" t="str">
        <f t="shared" si="53"/>
        <v>Medium</v>
      </c>
      <c r="O872" t="str">
        <f t="shared" si="54"/>
        <v>Zero Balance</v>
      </c>
      <c r="P872" t="str">
        <f t="shared" si="55"/>
        <v>Long-term</v>
      </c>
    </row>
    <row r="873" spans="1:16" x14ac:dyDescent="0.25">
      <c r="A873">
        <v>2025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  <c r="M873" t="str">
        <f t="shared" si="52"/>
        <v>30-45</v>
      </c>
      <c r="N873" t="str">
        <f t="shared" si="53"/>
        <v>Medium</v>
      </c>
      <c r="O873" t="str">
        <f t="shared" si="54"/>
        <v>High Balance</v>
      </c>
      <c r="P873" t="str">
        <f t="shared" si="55"/>
        <v>Mid-term</v>
      </c>
    </row>
    <row r="874" spans="1:16" x14ac:dyDescent="0.25">
      <c r="A874">
        <v>2025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  <c r="M874" t="str">
        <f t="shared" si="52"/>
        <v>30-45</v>
      </c>
      <c r="N874" t="str">
        <f t="shared" si="53"/>
        <v>High</v>
      </c>
      <c r="O874" t="str">
        <f t="shared" si="54"/>
        <v>High Balance</v>
      </c>
      <c r="P874" t="str">
        <f t="shared" si="55"/>
        <v>New</v>
      </c>
    </row>
    <row r="875" spans="1:16" x14ac:dyDescent="0.25">
      <c r="A875">
        <v>2025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  <c r="M875" t="str">
        <f t="shared" si="52"/>
        <v>&lt;30</v>
      </c>
      <c r="N875" t="str">
        <f t="shared" si="53"/>
        <v>Medium</v>
      </c>
      <c r="O875" t="str">
        <f t="shared" si="54"/>
        <v>Zero Balance</v>
      </c>
      <c r="P875" t="str">
        <f t="shared" si="55"/>
        <v>Mid-term</v>
      </c>
    </row>
    <row r="876" spans="1:16" x14ac:dyDescent="0.25">
      <c r="A876">
        <v>2025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  <c r="M876" t="str">
        <f t="shared" si="52"/>
        <v>30-45</v>
      </c>
      <c r="N876" t="str">
        <f t="shared" si="53"/>
        <v>Medium</v>
      </c>
      <c r="O876" t="str">
        <f t="shared" si="54"/>
        <v>High Balance</v>
      </c>
      <c r="P876" t="str">
        <f t="shared" si="55"/>
        <v>Mid-term</v>
      </c>
    </row>
    <row r="877" spans="1:16" x14ac:dyDescent="0.25">
      <c r="A877">
        <v>2025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  <c r="M877" t="str">
        <f t="shared" si="52"/>
        <v>30-45</v>
      </c>
      <c r="N877" t="str">
        <f t="shared" si="53"/>
        <v>Medium</v>
      </c>
      <c r="O877" t="str">
        <f t="shared" si="54"/>
        <v>High Balance</v>
      </c>
      <c r="P877" t="str">
        <f t="shared" si="55"/>
        <v>Long-term</v>
      </c>
    </row>
    <row r="878" spans="1:16" x14ac:dyDescent="0.25">
      <c r="A878">
        <v>2025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  <c r="M878" t="str">
        <f t="shared" si="52"/>
        <v>30-45</v>
      </c>
      <c r="N878" t="str">
        <f t="shared" si="53"/>
        <v>Medium</v>
      </c>
      <c r="O878" t="str">
        <f t="shared" si="54"/>
        <v>High Balance</v>
      </c>
      <c r="P878" t="str">
        <f t="shared" si="55"/>
        <v>New</v>
      </c>
    </row>
    <row r="879" spans="1:16" x14ac:dyDescent="0.25">
      <c r="A879">
        <v>2025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  <c r="M879" t="str">
        <f t="shared" si="52"/>
        <v>30-45</v>
      </c>
      <c r="N879" t="str">
        <f t="shared" si="53"/>
        <v>Medium</v>
      </c>
      <c r="O879" t="str">
        <f t="shared" si="54"/>
        <v>Zero Balance</v>
      </c>
      <c r="P879" t="str">
        <f t="shared" si="55"/>
        <v>Mid-term</v>
      </c>
    </row>
    <row r="880" spans="1:16" x14ac:dyDescent="0.25">
      <c r="A880">
        <v>2025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  <c r="M880" t="str">
        <f t="shared" si="52"/>
        <v>30-45</v>
      </c>
      <c r="N880" t="str">
        <f t="shared" si="53"/>
        <v>Medium</v>
      </c>
      <c r="O880" t="str">
        <f t="shared" si="54"/>
        <v>High Balance</v>
      </c>
      <c r="P880" t="str">
        <f t="shared" si="55"/>
        <v>New</v>
      </c>
    </row>
    <row r="881" spans="1:16" x14ac:dyDescent="0.25">
      <c r="A881">
        <v>2025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  <c r="M881" t="str">
        <f t="shared" si="52"/>
        <v>30-45</v>
      </c>
      <c r="N881" t="str">
        <f t="shared" si="53"/>
        <v>Medium</v>
      </c>
      <c r="O881" t="str">
        <f t="shared" si="54"/>
        <v>High Balance</v>
      </c>
      <c r="P881" t="str">
        <f t="shared" si="55"/>
        <v>Long-term</v>
      </c>
    </row>
    <row r="882" spans="1:16" x14ac:dyDescent="0.25">
      <c r="A882">
        <v>2025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  <c r="M882" t="str">
        <f t="shared" si="52"/>
        <v>46-60</v>
      </c>
      <c r="N882" t="str">
        <f t="shared" si="53"/>
        <v>High</v>
      </c>
      <c r="O882" t="str">
        <f t="shared" si="54"/>
        <v>Zero Balance</v>
      </c>
      <c r="P882" t="str">
        <f t="shared" si="55"/>
        <v>Mid-term</v>
      </c>
    </row>
    <row r="883" spans="1:16" x14ac:dyDescent="0.25">
      <c r="A883">
        <v>2025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  <c r="M883" t="str">
        <f t="shared" si="52"/>
        <v>30-45</v>
      </c>
      <c r="N883" t="str">
        <f t="shared" si="53"/>
        <v>Medium</v>
      </c>
      <c r="O883" t="str">
        <f t="shared" si="54"/>
        <v>Zero Balance</v>
      </c>
      <c r="P883" t="str">
        <f t="shared" si="55"/>
        <v>Mid-term</v>
      </c>
    </row>
    <row r="884" spans="1:16" x14ac:dyDescent="0.25">
      <c r="A884">
        <v>2025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  <c r="M884" t="str">
        <f t="shared" si="52"/>
        <v>30-45</v>
      </c>
      <c r="N884" t="str">
        <f t="shared" si="53"/>
        <v>Medium</v>
      </c>
      <c r="O884" t="str">
        <f t="shared" si="54"/>
        <v>High Balance</v>
      </c>
      <c r="P884" t="str">
        <f t="shared" si="55"/>
        <v>Mid-term</v>
      </c>
    </row>
    <row r="885" spans="1:16" x14ac:dyDescent="0.25">
      <c r="A885">
        <v>2025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  <c r="M885" t="str">
        <f t="shared" si="52"/>
        <v>30-45</v>
      </c>
      <c r="N885" t="str">
        <f t="shared" si="53"/>
        <v>Medium</v>
      </c>
      <c r="O885" t="str">
        <f t="shared" si="54"/>
        <v>Low Balance</v>
      </c>
      <c r="P885" t="str">
        <f t="shared" si="55"/>
        <v>Mid-term</v>
      </c>
    </row>
    <row r="886" spans="1:16" x14ac:dyDescent="0.25">
      <c r="A886">
        <v>2025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  <c r="M886" t="str">
        <f t="shared" si="52"/>
        <v>60+</v>
      </c>
      <c r="N886" t="str">
        <f t="shared" si="53"/>
        <v>Medium</v>
      </c>
      <c r="O886" t="str">
        <f t="shared" si="54"/>
        <v>Low Balance</v>
      </c>
      <c r="P886" t="str">
        <f t="shared" si="55"/>
        <v>Mid-term</v>
      </c>
    </row>
    <row r="887" spans="1:16" x14ac:dyDescent="0.25">
      <c r="A887">
        <v>2025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  <c r="M887" t="str">
        <f t="shared" si="52"/>
        <v>&lt;30</v>
      </c>
      <c r="N887" t="str">
        <f t="shared" si="53"/>
        <v>Medium</v>
      </c>
      <c r="O887" t="str">
        <f t="shared" si="54"/>
        <v>Zero Balance</v>
      </c>
      <c r="P887" t="str">
        <f t="shared" si="55"/>
        <v>Mid-term</v>
      </c>
    </row>
    <row r="888" spans="1:16" x14ac:dyDescent="0.25">
      <c r="A888">
        <v>2025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  <c r="M888" t="str">
        <f t="shared" si="52"/>
        <v>30-45</v>
      </c>
      <c r="N888" t="str">
        <f t="shared" si="53"/>
        <v>High</v>
      </c>
      <c r="O888" t="str">
        <f t="shared" si="54"/>
        <v>High Balance</v>
      </c>
      <c r="P888" t="str">
        <f t="shared" si="55"/>
        <v>New</v>
      </c>
    </row>
    <row r="889" spans="1:16" x14ac:dyDescent="0.25">
      <c r="A889">
        <v>2025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  <c r="M889" t="str">
        <f t="shared" si="52"/>
        <v>30-45</v>
      </c>
      <c r="N889" t="str">
        <f t="shared" si="53"/>
        <v>Medium</v>
      </c>
      <c r="O889" t="str">
        <f t="shared" si="54"/>
        <v>Zero Balance</v>
      </c>
      <c r="P889" t="str">
        <f t="shared" si="55"/>
        <v>New</v>
      </c>
    </row>
    <row r="890" spans="1:16" x14ac:dyDescent="0.25">
      <c r="A890">
        <v>2025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  <c r="M890" t="str">
        <f t="shared" si="52"/>
        <v>60+</v>
      </c>
      <c r="N890" t="str">
        <f t="shared" si="53"/>
        <v>High</v>
      </c>
      <c r="O890" t="str">
        <f t="shared" si="54"/>
        <v>High Balance</v>
      </c>
      <c r="P890" t="str">
        <f t="shared" si="55"/>
        <v>New</v>
      </c>
    </row>
    <row r="891" spans="1:16" x14ac:dyDescent="0.25">
      <c r="A891">
        <v>2025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  <c r="M891" t="str">
        <f t="shared" si="52"/>
        <v>30-45</v>
      </c>
      <c r="N891" t="str">
        <f t="shared" si="53"/>
        <v>Medium</v>
      </c>
      <c r="O891" t="str">
        <f t="shared" si="54"/>
        <v>High Balance</v>
      </c>
      <c r="P891" t="str">
        <f t="shared" si="55"/>
        <v>Long-term</v>
      </c>
    </row>
    <row r="892" spans="1:16" x14ac:dyDescent="0.25">
      <c r="A892">
        <v>2025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  <c r="M892" t="str">
        <f t="shared" si="52"/>
        <v>30-45</v>
      </c>
      <c r="N892" t="str">
        <f t="shared" si="53"/>
        <v>High</v>
      </c>
      <c r="O892" t="str">
        <f t="shared" si="54"/>
        <v>High Balance</v>
      </c>
      <c r="P892" t="str">
        <f t="shared" si="55"/>
        <v>Long-term</v>
      </c>
    </row>
    <row r="893" spans="1:16" x14ac:dyDescent="0.25">
      <c r="A893">
        <v>2025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  <c r="M893" t="str">
        <f t="shared" si="52"/>
        <v>30-45</v>
      </c>
      <c r="N893" t="str">
        <f t="shared" si="53"/>
        <v>Low</v>
      </c>
      <c r="O893" t="str">
        <f t="shared" si="54"/>
        <v>Low Balance</v>
      </c>
      <c r="P893" t="str">
        <f t="shared" si="55"/>
        <v>New</v>
      </c>
    </row>
    <row r="894" spans="1:16" x14ac:dyDescent="0.25">
      <c r="A894">
        <v>2025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  <c r="M894" t="str">
        <f t="shared" si="52"/>
        <v>30-45</v>
      </c>
      <c r="N894" t="str">
        <f t="shared" si="53"/>
        <v>Medium</v>
      </c>
      <c r="O894" t="str">
        <f t="shared" si="54"/>
        <v>Zero Balance</v>
      </c>
      <c r="P894" t="str">
        <f t="shared" si="55"/>
        <v>Long-term</v>
      </c>
    </row>
    <row r="895" spans="1:16" x14ac:dyDescent="0.25">
      <c r="A895">
        <v>2025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  <c r="M895" t="str">
        <f t="shared" si="52"/>
        <v>46-60</v>
      </c>
      <c r="N895" t="str">
        <f t="shared" si="53"/>
        <v>High</v>
      </c>
      <c r="O895" t="str">
        <f t="shared" si="54"/>
        <v>Zero Balance</v>
      </c>
      <c r="P895" t="str">
        <f t="shared" si="55"/>
        <v>New</v>
      </c>
    </row>
    <row r="896" spans="1:16" x14ac:dyDescent="0.25">
      <c r="A896">
        <v>2025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  <c r="M896" t="str">
        <f t="shared" si="52"/>
        <v>30-45</v>
      </c>
      <c r="N896" t="str">
        <f t="shared" si="53"/>
        <v>High</v>
      </c>
      <c r="O896" t="str">
        <f t="shared" si="54"/>
        <v>High Balance</v>
      </c>
      <c r="P896" t="str">
        <f t="shared" si="55"/>
        <v>Long-term</v>
      </c>
    </row>
    <row r="897" spans="1:16" x14ac:dyDescent="0.25">
      <c r="A897">
        <v>2025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  <c r="M897" t="str">
        <f t="shared" si="52"/>
        <v>30-45</v>
      </c>
      <c r="N897" t="str">
        <f t="shared" si="53"/>
        <v>High</v>
      </c>
      <c r="O897" t="str">
        <f t="shared" si="54"/>
        <v>Low Balance</v>
      </c>
      <c r="P897" t="str">
        <f t="shared" si="55"/>
        <v>Mid-term</v>
      </c>
    </row>
    <row r="898" spans="1:16" x14ac:dyDescent="0.25">
      <c r="A898">
        <v>2025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  <c r="M898" t="str">
        <f t="shared" si="52"/>
        <v>30-45</v>
      </c>
      <c r="N898" t="str">
        <f t="shared" si="53"/>
        <v>High</v>
      </c>
      <c r="O898" t="str">
        <f t="shared" si="54"/>
        <v>Zero Balance</v>
      </c>
      <c r="P898" t="str">
        <f t="shared" si="55"/>
        <v>Long-term</v>
      </c>
    </row>
    <row r="899" spans="1:16" x14ac:dyDescent="0.25">
      <c r="A899">
        <v>2025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  <c r="M899" t="str">
        <f t="shared" ref="M899:M962" si="56">IF(E899&lt;30,"&lt;30",IF(E899&lt;=45,"30-45",IF(E899&lt;=60,"46-60","60+")))</f>
        <v>30-45</v>
      </c>
      <c r="N899" t="str">
        <f t="shared" ref="N899:N962" si="57">IF(B899&lt;500,"Low",IF(B899&lt;700,"Medium","High"))</f>
        <v>Medium</v>
      </c>
      <c r="O899" t="str">
        <f t="shared" ref="O899:O962" si="58">IF(G899=0,"Zero Balance",IF(G899&lt;100000,"Low Balance","High Balance"))</f>
        <v>Zero Balance</v>
      </c>
      <c r="P899" t="str">
        <f t="shared" ref="P899:P962" si="59">IF(F899&lt;=3,"New",IF(F899&lt;=7,"Mid-term","Long-term"))</f>
        <v>Mid-term</v>
      </c>
    </row>
    <row r="900" spans="1:16" x14ac:dyDescent="0.25">
      <c r="A900">
        <v>2025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  <c r="M900" t="str">
        <f t="shared" si="56"/>
        <v>30-45</v>
      </c>
      <c r="N900" t="str">
        <f t="shared" si="57"/>
        <v>Medium</v>
      </c>
      <c r="O900" t="str">
        <f t="shared" si="58"/>
        <v>High Balance</v>
      </c>
      <c r="P900" t="str">
        <f t="shared" si="59"/>
        <v>New</v>
      </c>
    </row>
    <row r="901" spans="1:16" x14ac:dyDescent="0.25">
      <c r="A901">
        <v>2025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  <c r="M901" t="str">
        <f t="shared" si="56"/>
        <v>&lt;30</v>
      </c>
      <c r="N901" t="str">
        <f t="shared" si="57"/>
        <v>Medium</v>
      </c>
      <c r="O901" t="str">
        <f t="shared" si="58"/>
        <v>High Balance</v>
      </c>
      <c r="P901" t="str">
        <f t="shared" si="59"/>
        <v>New</v>
      </c>
    </row>
    <row r="902" spans="1:16" x14ac:dyDescent="0.25">
      <c r="A902">
        <v>2025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  <c r="M902" t="str">
        <f t="shared" si="56"/>
        <v>30-45</v>
      </c>
      <c r="N902" t="str">
        <f t="shared" si="57"/>
        <v>High</v>
      </c>
      <c r="O902" t="str">
        <f t="shared" si="58"/>
        <v>Low Balance</v>
      </c>
      <c r="P902" t="str">
        <f t="shared" si="59"/>
        <v>New</v>
      </c>
    </row>
    <row r="903" spans="1:16" x14ac:dyDescent="0.25">
      <c r="A903">
        <v>2025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  <c r="M903" t="str">
        <f t="shared" si="56"/>
        <v>30-45</v>
      </c>
      <c r="N903" t="str">
        <f t="shared" si="57"/>
        <v>Medium</v>
      </c>
      <c r="O903" t="str">
        <f t="shared" si="58"/>
        <v>High Balance</v>
      </c>
      <c r="P903" t="str">
        <f t="shared" si="59"/>
        <v>Mid-term</v>
      </c>
    </row>
    <row r="904" spans="1:16" x14ac:dyDescent="0.25">
      <c r="A904">
        <v>2025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  <c r="M904" t="str">
        <f t="shared" si="56"/>
        <v>46-60</v>
      </c>
      <c r="N904" t="str">
        <f t="shared" si="57"/>
        <v>Medium</v>
      </c>
      <c r="O904" t="str">
        <f t="shared" si="58"/>
        <v>Low Balance</v>
      </c>
      <c r="P904" t="str">
        <f t="shared" si="59"/>
        <v>Mid-term</v>
      </c>
    </row>
    <row r="905" spans="1:16" x14ac:dyDescent="0.25">
      <c r="A905">
        <v>2025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  <c r="M905" t="str">
        <f t="shared" si="56"/>
        <v>&lt;30</v>
      </c>
      <c r="N905" t="str">
        <f t="shared" si="57"/>
        <v>Medium</v>
      </c>
      <c r="O905" t="str">
        <f t="shared" si="58"/>
        <v>High Balance</v>
      </c>
      <c r="P905" t="str">
        <f t="shared" si="59"/>
        <v>Mid-term</v>
      </c>
    </row>
    <row r="906" spans="1:16" x14ac:dyDescent="0.25">
      <c r="A906">
        <v>2025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  <c r="M906" t="str">
        <f t="shared" si="56"/>
        <v>46-60</v>
      </c>
      <c r="N906" t="str">
        <f t="shared" si="57"/>
        <v>Medium</v>
      </c>
      <c r="O906" t="str">
        <f t="shared" si="58"/>
        <v>Zero Balance</v>
      </c>
      <c r="P906" t="str">
        <f t="shared" si="59"/>
        <v>Mid-term</v>
      </c>
    </row>
    <row r="907" spans="1:16" x14ac:dyDescent="0.25">
      <c r="A907">
        <v>2025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  <c r="M907" t="str">
        <f t="shared" si="56"/>
        <v>30-45</v>
      </c>
      <c r="N907" t="str">
        <f t="shared" si="57"/>
        <v>Medium</v>
      </c>
      <c r="O907" t="str">
        <f t="shared" si="58"/>
        <v>Zero Balance</v>
      </c>
      <c r="P907" t="str">
        <f t="shared" si="59"/>
        <v>Long-term</v>
      </c>
    </row>
    <row r="908" spans="1:16" x14ac:dyDescent="0.25">
      <c r="A908">
        <v>2025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  <c r="M908" t="str">
        <f t="shared" si="56"/>
        <v>30-45</v>
      </c>
      <c r="N908" t="str">
        <f t="shared" si="57"/>
        <v>Medium</v>
      </c>
      <c r="O908" t="str">
        <f t="shared" si="58"/>
        <v>High Balance</v>
      </c>
      <c r="P908" t="str">
        <f t="shared" si="59"/>
        <v>Mid-term</v>
      </c>
    </row>
    <row r="909" spans="1:16" x14ac:dyDescent="0.25">
      <c r="A909">
        <v>2025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  <c r="M909" t="str">
        <f t="shared" si="56"/>
        <v>46-60</v>
      </c>
      <c r="N909" t="str">
        <f t="shared" si="57"/>
        <v>Medium</v>
      </c>
      <c r="O909" t="str">
        <f t="shared" si="58"/>
        <v>High Balance</v>
      </c>
      <c r="P909" t="str">
        <f t="shared" si="59"/>
        <v>New</v>
      </c>
    </row>
    <row r="910" spans="1:16" x14ac:dyDescent="0.25">
      <c r="A910">
        <v>2025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  <c r="M910" t="str">
        <f t="shared" si="56"/>
        <v>30-45</v>
      </c>
      <c r="N910" t="str">
        <f t="shared" si="57"/>
        <v>Medium</v>
      </c>
      <c r="O910" t="str">
        <f t="shared" si="58"/>
        <v>High Balance</v>
      </c>
      <c r="P910" t="str">
        <f t="shared" si="59"/>
        <v>Long-term</v>
      </c>
    </row>
    <row r="911" spans="1:16" x14ac:dyDescent="0.25">
      <c r="A911">
        <v>2025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  <c r="M911" t="str">
        <f t="shared" si="56"/>
        <v>&lt;30</v>
      </c>
      <c r="N911" t="str">
        <f t="shared" si="57"/>
        <v>High</v>
      </c>
      <c r="O911" t="str">
        <f t="shared" si="58"/>
        <v>Zero Balance</v>
      </c>
      <c r="P911" t="str">
        <f t="shared" si="59"/>
        <v>Mid-term</v>
      </c>
    </row>
    <row r="912" spans="1:16" x14ac:dyDescent="0.25">
      <c r="A912">
        <v>2025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  <c r="M912" t="str">
        <f t="shared" si="56"/>
        <v>30-45</v>
      </c>
      <c r="N912" t="str">
        <f t="shared" si="57"/>
        <v>Medium</v>
      </c>
      <c r="O912" t="str">
        <f t="shared" si="58"/>
        <v>High Balance</v>
      </c>
      <c r="P912" t="str">
        <f t="shared" si="59"/>
        <v>Mid-term</v>
      </c>
    </row>
    <row r="913" spans="1:16" x14ac:dyDescent="0.25">
      <c r="A913">
        <v>2025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  <c r="M913" t="str">
        <f t="shared" si="56"/>
        <v>46-60</v>
      </c>
      <c r="N913" t="str">
        <f t="shared" si="57"/>
        <v>Medium</v>
      </c>
      <c r="O913" t="str">
        <f t="shared" si="58"/>
        <v>High Balance</v>
      </c>
      <c r="P913" t="str">
        <f t="shared" si="59"/>
        <v>Mid-term</v>
      </c>
    </row>
    <row r="914" spans="1:16" x14ac:dyDescent="0.25">
      <c r="A914">
        <v>2025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  <c r="M914" t="str">
        <f t="shared" si="56"/>
        <v>30-45</v>
      </c>
      <c r="N914" t="str">
        <f t="shared" si="57"/>
        <v>Medium</v>
      </c>
      <c r="O914" t="str">
        <f t="shared" si="58"/>
        <v>Zero Balance</v>
      </c>
      <c r="P914" t="str">
        <f t="shared" si="59"/>
        <v>Mid-term</v>
      </c>
    </row>
    <row r="915" spans="1:16" x14ac:dyDescent="0.25">
      <c r="A915">
        <v>2025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  <c r="M915" t="str">
        <f t="shared" si="56"/>
        <v>&lt;30</v>
      </c>
      <c r="N915" t="str">
        <f t="shared" si="57"/>
        <v>High</v>
      </c>
      <c r="O915" t="str">
        <f t="shared" si="58"/>
        <v>High Balance</v>
      </c>
      <c r="P915" t="str">
        <f t="shared" si="59"/>
        <v>New</v>
      </c>
    </row>
    <row r="916" spans="1:16" x14ac:dyDescent="0.25">
      <c r="A916">
        <v>2025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  <c r="M916" t="str">
        <f t="shared" si="56"/>
        <v>30-45</v>
      </c>
      <c r="N916" t="str">
        <f t="shared" si="57"/>
        <v>Medium</v>
      </c>
      <c r="O916" t="str">
        <f t="shared" si="58"/>
        <v>High Balance</v>
      </c>
      <c r="P916" t="str">
        <f t="shared" si="59"/>
        <v>Long-term</v>
      </c>
    </row>
    <row r="917" spans="1:16" x14ac:dyDescent="0.25">
      <c r="A917">
        <v>2025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  <c r="M917" t="str">
        <f t="shared" si="56"/>
        <v>46-60</v>
      </c>
      <c r="N917" t="str">
        <f t="shared" si="57"/>
        <v>Medium</v>
      </c>
      <c r="O917" t="str">
        <f t="shared" si="58"/>
        <v>Zero Balance</v>
      </c>
      <c r="P917" t="str">
        <f t="shared" si="59"/>
        <v>Mid-term</v>
      </c>
    </row>
    <row r="918" spans="1:16" x14ac:dyDescent="0.25">
      <c r="A918">
        <v>2025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  <c r="M918" t="str">
        <f t="shared" si="56"/>
        <v>30-45</v>
      </c>
      <c r="N918" t="str">
        <f t="shared" si="57"/>
        <v>Low</v>
      </c>
      <c r="O918" t="str">
        <f t="shared" si="58"/>
        <v>Zero Balance</v>
      </c>
      <c r="P918" t="str">
        <f t="shared" si="59"/>
        <v>Mid-term</v>
      </c>
    </row>
    <row r="919" spans="1:16" x14ac:dyDescent="0.25">
      <c r="A919">
        <v>2025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  <c r="M919" t="str">
        <f t="shared" si="56"/>
        <v>30-45</v>
      </c>
      <c r="N919" t="str">
        <f t="shared" si="57"/>
        <v>Medium</v>
      </c>
      <c r="O919" t="str">
        <f t="shared" si="58"/>
        <v>Low Balance</v>
      </c>
      <c r="P919" t="str">
        <f t="shared" si="59"/>
        <v>New</v>
      </c>
    </row>
    <row r="920" spans="1:16" x14ac:dyDescent="0.25">
      <c r="A920">
        <v>2025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  <c r="M920" t="str">
        <f t="shared" si="56"/>
        <v>30-45</v>
      </c>
      <c r="N920" t="str">
        <f t="shared" si="57"/>
        <v>High</v>
      </c>
      <c r="O920" t="str">
        <f t="shared" si="58"/>
        <v>Zero Balance</v>
      </c>
      <c r="P920" t="str">
        <f t="shared" si="59"/>
        <v>New</v>
      </c>
    </row>
    <row r="921" spans="1:16" x14ac:dyDescent="0.25">
      <c r="A921">
        <v>2025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  <c r="M921" t="str">
        <f t="shared" si="56"/>
        <v>30-45</v>
      </c>
      <c r="N921" t="str">
        <f t="shared" si="57"/>
        <v>Medium</v>
      </c>
      <c r="O921" t="str">
        <f t="shared" si="58"/>
        <v>Zero Balance</v>
      </c>
      <c r="P921" t="str">
        <f t="shared" si="59"/>
        <v>Long-term</v>
      </c>
    </row>
    <row r="922" spans="1:16" x14ac:dyDescent="0.25">
      <c r="A922">
        <v>2025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  <c r="M922" t="str">
        <f t="shared" si="56"/>
        <v>30-45</v>
      </c>
      <c r="N922" t="str">
        <f t="shared" si="57"/>
        <v>High</v>
      </c>
      <c r="O922" t="str">
        <f t="shared" si="58"/>
        <v>Zero Balance</v>
      </c>
      <c r="P922" t="str">
        <f t="shared" si="59"/>
        <v>Mid-term</v>
      </c>
    </row>
    <row r="923" spans="1:16" x14ac:dyDescent="0.25">
      <c r="A923">
        <v>2025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  <c r="M923" t="str">
        <f t="shared" si="56"/>
        <v>60+</v>
      </c>
      <c r="N923" t="str">
        <f t="shared" si="57"/>
        <v>Medium</v>
      </c>
      <c r="O923" t="str">
        <f t="shared" si="58"/>
        <v>Zero Balance</v>
      </c>
      <c r="P923" t="str">
        <f t="shared" si="59"/>
        <v>New</v>
      </c>
    </row>
    <row r="924" spans="1:16" x14ac:dyDescent="0.25">
      <c r="A924">
        <v>2025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  <c r="M924" t="str">
        <f t="shared" si="56"/>
        <v>46-60</v>
      </c>
      <c r="N924" t="str">
        <f t="shared" si="57"/>
        <v>Medium</v>
      </c>
      <c r="O924" t="str">
        <f t="shared" si="58"/>
        <v>Zero Balance</v>
      </c>
      <c r="P924" t="str">
        <f t="shared" si="59"/>
        <v>Mid-term</v>
      </c>
    </row>
    <row r="925" spans="1:16" x14ac:dyDescent="0.25">
      <c r="A925">
        <v>2025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  <c r="M925" t="str">
        <f t="shared" si="56"/>
        <v>&lt;30</v>
      </c>
      <c r="N925" t="str">
        <f t="shared" si="57"/>
        <v>Medium</v>
      </c>
      <c r="O925" t="str">
        <f t="shared" si="58"/>
        <v>High Balance</v>
      </c>
      <c r="P925" t="str">
        <f t="shared" si="59"/>
        <v>New</v>
      </c>
    </row>
    <row r="926" spans="1:16" x14ac:dyDescent="0.25">
      <c r="A926">
        <v>2025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  <c r="M926" t="str">
        <f t="shared" si="56"/>
        <v>30-45</v>
      </c>
      <c r="N926" t="str">
        <f t="shared" si="57"/>
        <v>High</v>
      </c>
      <c r="O926" t="str">
        <f t="shared" si="58"/>
        <v>Low Balance</v>
      </c>
      <c r="P926" t="str">
        <f t="shared" si="59"/>
        <v>Long-term</v>
      </c>
    </row>
    <row r="927" spans="1:16" x14ac:dyDescent="0.25">
      <c r="A927">
        <v>2025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  <c r="M927" t="str">
        <f t="shared" si="56"/>
        <v>30-45</v>
      </c>
      <c r="N927" t="str">
        <f t="shared" si="57"/>
        <v>High</v>
      </c>
      <c r="O927" t="str">
        <f t="shared" si="58"/>
        <v>High Balance</v>
      </c>
      <c r="P927" t="str">
        <f t="shared" si="59"/>
        <v>New</v>
      </c>
    </row>
    <row r="928" spans="1:16" x14ac:dyDescent="0.25">
      <c r="A928">
        <v>2025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  <c r="M928" t="str">
        <f t="shared" si="56"/>
        <v>30-45</v>
      </c>
      <c r="N928" t="str">
        <f t="shared" si="57"/>
        <v>High</v>
      </c>
      <c r="O928" t="str">
        <f t="shared" si="58"/>
        <v>Zero Balance</v>
      </c>
      <c r="P928" t="str">
        <f t="shared" si="59"/>
        <v>New</v>
      </c>
    </row>
    <row r="929" spans="1:16" x14ac:dyDescent="0.25">
      <c r="A929">
        <v>2025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  <c r="M929" t="str">
        <f t="shared" si="56"/>
        <v>30-45</v>
      </c>
      <c r="N929" t="str">
        <f t="shared" si="57"/>
        <v>Medium</v>
      </c>
      <c r="O929" t="str">
        <f t="shared" si="58"/>
        <v>High Balance</v>
      </c>
      <c r="P929" t="str">
        <f t="shared" si="59"/>
        <v>Mid-term</v>
      </c>
    </row>
    <row r="930" spans="1:16" x14ac:dyDescent="0.25">
      <c r="A930">
        <v>2025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  <c r="M930" t="str">
        <f t="shared" si="56"/>
        <v>60+</v>
      </c>
      <c r="N930" t="str">
        <f t="shared" si="57"/>
        <v>Medium</v>
      </c>
      <c r="O930" t="str">
        <f t="shared" si="58"/>
        <v>High Balance</v>
      </c>
      <c r="P930" t="str">
        <f t="shared" si="59"/>
        <v>Long-term</v>
      </c>
    </row>
    <row r="931" spans="1:16" x14ac:dyDescent="0.25">
      <c r="A931">
        <v>2025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  <c r="M931" t="str">
        <f t="shared" si="56"/>
        <v>&lt;30</v>
      </c>
      <c r="N931" t="str">
        <f t="shared" si="57"/>
        <v>High</v>
      </c>
      <c r="O931" t="str">
        <f t="shared" si="58"/>
        <v>High Balance</v>
      </c>
      <c r="P931" t="str">
        <f t="shared" si="59"/>
        <v>Mid-term</v>
      </c>
    </row>
    <row r="932" spans="1:16" x14ac:dyDescent="0.25">
      <c r="A932">
        <v>2025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  <c r="M932" t="str">
        <f t="shared" si="56"/>
        <v>30-45</v>
      </c>
      <c r="N932" t="str">
        <f t="shared" si="57"/>
        <v>Medium</v>
      </c>
      <c r="O932" t="str">
        <f t="shared" si="58"/>
        <v>High Balance</v>
      </c>
      <c r="P932" t="str">
        <f t="shared" si="59"/>
        <v>Mid-term</v>
      </c>
    </row>
    <row r="933" spans="1:16" x14ac:dyDescent="0.25">
      <c r="A933">
        <v>2025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  <c r="M933" t="str">
        <f t="shared" si="56"/>
        <v>30-45</v>
      </c>
      <c r="N933" t="str">
        <f t="shared" si="57"/>
        <v>Medium</v>
      </c>
      <c r="O933" t="str">
        <f t="shared" si="58"/>
        <v>High Balance</v>
      </c>
      <c r="P933" t="str">
        <f t="shared" si="59"/>
        <v>Long-term</v>
      </c>
    </row>
    <row r="934" spans="1:16" x14ac:dyDescent="0.25">
      <c r="A934">
        <v>2025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  <c r="M934" t="str">
        <f t="shared" si="56"/>
        <v>30-45</v>
      </c>
      <c r="N934" t="str">
        <f t="shared" si="57"/>
        <v>High</v>
      </c>
      <c r="O934" t="str">
        <f t="shared" si="58"/>
        <v>High Balance</v>
      </c>
      <c r="P934" t="str">
        <f t="shared" si="59"/>
        <v>Long-term</v>
      </c>
    </row>
    <row r="935" spans="1:16" x14ac:dyDescent="0.25">
      <c r="A935">
        <v>2025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  <c r="M935" t="str">
        <f t="shared" si="56"/>
        <v>30-45</v>
      </c>
      <c r="N935" t="str">
        <f t="shared" si="57"/>
        <v>Medium</v>
      </c>
      <c r="O935" t="str">
        <f t="shared" si="58"/>
        <v>Zero Balance</v>
      </c>
      <c r="P935" t="str">
        <f t="shared" si="59"/>
        <v>New</v>
      </c>
    </row>
    <row r="936" spans="1:16" x14ac:dyDescent="0.25">
      <c r="A936">
        <v>2025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  <c r="M936" t="str">
        <f t="shared" si="56"/>
        <v>30-45</v>
      </c>
      <c r="N936" t="str">
        <f t="shared" si="57"/>
        <v>Medium</v>
      </c>
      <c r="O936" t="str">
        <f t="shared" si="58"/>
        <v>Zero Balance</v>
      </c>
      <c r="P936" t="str">
        <f t="shared" si="59"/>
        <v>Long-term</v>
      </c>
    </row>
    <row r="937" spans="1:16" x14ac:dyDescent="0.25">
      <c r="A937">
        <v>2025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  <c r="M937" t="str">
        <f t="shared" si="56"/>
        <v>30-45</v>
      </c>
      <c r="N937" t="str">
        <f t="shared" si="57"/>
        <v>Medium</v>
      </c>
      <c r="O937" t="str">
        <f t="shared" si="58"/>
        <v>Zero Balance</v>
      </c>
      <c r="P937" t="str">
        <f t="shared" si="59"/>
        <v>New</v>
      </c>
    </row>
    <row r="938" spans="1:16" x14ac:dyDescent="0.25">
      <c r="A938">
        <v>2025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  <c r="M938" t="str">
        <f t="shared" si="56"/>
        <v>46-60</v>
      </c>
      <c r="N938" t="str">
        <f t="shared" si="57"/>
        <v>High</v>
      </c>
      <c r="O938" t="str">
        <f t="shared" si="58"/>
        <v>High Balance</v>
      </c>
      <c r="P938" t="str">
        <f t="shared" si="59"/>
        <v>Long-term</v>
      </c>
    </row>
    <row r="939" spans="1:16" x14ac:dyDescent="0.25">
      <c r="A939">
        <v>2025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  <c r="M939" t="str">
        <f t="shared" si="56"/>
        <v>30-45</v>
      </c>
      <c r="N939" t="str">
        <f t="shared" si="57"/>
        <v>High</v>
      </c>
      <c r="O939" t="str">
        <f t="shared" si="58"/>
        <v>High Balance</v>
      </c>
      <c r="P939" t="str">
        <f t="shared" si="59"/>
        <v>Mid-term</v>
      </c>
    </row>
    <row r="940" spans="1:16" x14ac:dyDescent="0.25">
      <c r="A940">
        <v>2025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  <c r="M940" t="str">
        <f t="shared" si="56"/>
        <v>30-45</v>
      </c>
      <c r="N940" t="str">
        <f t="shared" si="57"/>
        <v>Medium</v>
      </c>
      <c r="O940" t="str">
        <f t="shared" si="58"/>
        <v>Zero Balance</v>
      </c>
      <c r="P940" t="str">
        <f t="shared" si="59"/>
        <v>Mid-term</v>
      </c>
    </row>
    <row r="941" spans="1:16" x14ac:dyDescent="0.25">
      <c r="A941">
        <v>2025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  <c r="M941" t="str">
        <f t="shared" si="56"/>
        <v>30-45</v>
      </c>
      <c r="N941" t="str">
        <f t="shared" si="57"/>
        <v>High</v>
      </c>
      <c r="O941" t="str">
        <f t="shared" si="58"/>
        <v>Low Balance</v>
      </c>
      <c r="P941" t="str">
        <f t="shared" si="59"/>
        <v>Long-term</v>
      </c>
    </row>
    <row r="942" spans="1:16" x14ac:dyDescent="0.25">
      <c r="A942">
        <v>2025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  <c r="M942" t="str">
        <f t="shared" si="56"/>
        <v>30-45</v>
      </c>
      <c r="N942" t="str">
        <f t="shared" si="57"/>
        <v>High</v>
      </c>
      <c r="O942" t="str">
        <f t="shared" si="58"/>
        <v>High Balance</v>
      </c>
      <c r="P942" t="str">
        <f t="shared" si="59"/>
        <v>New</v>
      </c>
    </row>
    <row r="943" spans="1:16" x14ac:dyDescent="0.25">
      <c r="A943">
        <v>2025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  <c r="M943" t="str">
        <f t="shared" si="56"/>
        <v>30-45</v>
      </c>
      <c r="N943" t="str">
        <f t="shared" si="57"/>
        <v>Medium</v>
      </c>
      <c r="O943" t="str">
        <f t="shared" si="58"/>
        <v>Zero Balance</v>
      </c>
      <c r="P943" t="str">
        <f t="shared" si="59"/>
        <v>Long-term</v>
      </c>
    </row>
    <row r="944" spans="1:16" x14ac:dyDescent="0.25">
      <c r="A944">
        <v>2025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  <c r="M944" t="str">
        <f t="shared" si="56"/>
        <v>46-60</v>
      </c>
      <c r="N944" t="str">
        <f t="shared" si="57"/>
        <v>Low</v>
      </c>
      <c r="O944" t="str">
        <f t="shared" si="58"/>
        <v>Zero Balance</v>
      </c>
      <c r="P944" t="str">
        <f t="shared" si="59"/>
        <v>Mid-term</v>
      </c>
    </row>
    <row r="945" spans="1:16" x14ac:dyDescent="0.25">
      <c r="A945">
        <v>2025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  <c r="M945" t="str">
        <f t="shared" si="56"/>
        <v>&lt;30</v>
      </c>
      <c r="N945" t="str">
        <f t="shared" si="57"/>
        <v>Medium</v>
      </c>
      <c r="O945" t="str">
        <f t="shared" si="58"/>
        <v>High Balance</v>
      </c>
      <c r="P945" t="str">
        <f t="shared" si="59"/>
        <v>Long-term</v>
      </c>
    </row>
    <row r="946" spans="1:16" x14ac:dyDescent="0.25">
      <c r="A946">
        <v>2025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  <c r="M946" t="str">
        <f t="shared" si="56"/>
        <v>30-45</v>
      </c>
      <c r="N946" t="str">
        <f t="shared" si="57"/>
        <v>High</v>
      </c>
      <c r="O946" t="str">
        <f t="shared" si="58"/>
        <v>Low Balance</v>
      </c>
      <c r="P946" t="str">
        <f t="shared" si="59"/>
        <v>Long-term</v>
      </c>
    </row>
    <row r="947" spans="1:16" x14ac:dyDescent="0.25">
      <c r="A947">
        <v>2025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  <c r="M947" t="str">
        <f t="shared" si="56"/>
        <v>&lt;30</v>
      </c>
      <c r="N947" t="str">
        <f t="shared" si="57"/>
        <v>Medium</v>
      </c>
      <c r="O947" t="str">
        <f t="shared" si="58"/>
        <v>Low Balance</v>
      </c>
      <c r="P947" t="str">
        <f t="shared" si="59"/>
        <v>Mid-term</v>
      </c>
    </row>
    <row r="948" spans="1:16" x14ac:dyDescent="0.25">
      <c r="A948">
        <v>2025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  <c r="M948" t="str">
        <f t="shared" si="56"/>
        <v>30-45</v>
      </c>
      <c r="N948" t="str">
        <f t="shared" si="57"/>
        <v>Medium</v>
      </c>
      <c r="O948" t="str">
        <f t="shared" si="58"/>
        <v>Zero Balance</v>
      </c>
      <c r="P948" t="str">
        <f t="shared" si="59"/>
        <v>Mid-term</v>
      </c>
    </row>
    <row r="949" spans="1:16" x14ac:dyDescent="0.25">
      <c r="A949">
        <v>2025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  <c r="M949" t="str">
        <f t="shared" si="56"/>
        <v>30-45</v>
      </c>
      <c r="N949" t="str">
        <f t="shared" si="57"/>
        <v>High</v>
      </c>
      <c r="O949" t="str">
        <f t="shared" si="58"/>
        <v>High Balance</v>
      </c>
      <c r="P949" t="str">
        <f t="shared" si="59"/>
        <v>Mid-term</v>
      </c>
    </row>
    <row r="950" spans="1:16" x14ac:dyDescent="0.25">
      <c r="A950">
        <v>2025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  <c r="M950" t="str">
        <f t="shared" si="56"/>
        <v>60+</v>
      </c>
      <c r="N950" t="str">
        <f t="shared" si="57"/>
        <v>Medium</v>
      </c>
      <c r="O950" t="str">
        <f t="shared" si="58"/>
        <v>High Balance</v>
      </c>
      <c r="P950" t="str">
        <f t="shared" si="59"/>
        <v>Mid-term</v>
      </c>
    </row>
    <row r="951" spans="1:16" x14ac:dyDescent="0.25">
      <c r="A951">
        <v>2025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  <c r="M951" t="str">
        <f t="shared" si="56"/>
        <v>46-60</v>
      </c>
      <c r="N951" t="str">
        <f t="shared" si="57"/>
        <v>Medium</v>
      </c>
      <c r="O951" t="str">
        <f t="shared" si="58"/>
        <v>Low Balance</v>
      </c>
      <c r="P951" t="str">
        <f t="shared" si="59"/>
        <v>New</v>
      </c>
    </row>
    <row r="952" spans="1:16" x14ac:dyDescent="0.25">
      <c r="A952">
        <v>2025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  <c r="M952" t="str">
        <f t="shared" si="56"/>
        <v>46-60</v>
      </c>
      <c r="N952" t="str">
        <f t="shared" si="57"/>
        <v>Medium</v>
      </c>
      <c r="O952" t="str">
        <f t="shared" si="58"/>
        <v>High Balance</v>
      </c>
      <c r="P952" t="str">
        <f t="shared" si="59"/>
        <v>Long-term</v>
      </c>
    </row>
    <row r="953" spans="1:16" x14ac:dyDescent="0.25">
      <c r="A953">
        <v>2025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  <c r="M953" t="str">
        <f t="shared" si="56"/>
        <v>30-45</v>
      </c>
      <c r="N953" t="str">
        <f t="shared" si="57"/>
        <v>High</v>
      </c>
      <c r="O953" t="str">
        <f t="shared" si="58"/>
        <v>High Balance</v>
      </c>
      <c r="P953" t="str">
        <f t="shared" si="59"/>
        <v>Long-term</v>
      </c>
    </row>
    <row r="954" spans="1:16" x14ac:dyDescent="0.25">
      <c r="A954">
        <v>2025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  <c r="M954" t="str">
        <f t="shared" si="56"/>
        <v>60+</v>
      </c>
      <c r="N954" t="str">
        <f t="shared" si="57"/>
        <v>Medium</v>
      </c>
      <c r="O954" t="str">
        <f t="shared" si="58"/>
        <v>High Balance</v>
      </c>
      <c r="P954" t="str">
        <f t="shared" si="59"/>
        <v>Long-term</v>
      </c>
    </row>
    <row r="955" spans="1:16" x14ac:dyDescent="0.25">
      <c r="A955">
        <v>2025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  <c r="M955" t="str">
        <f t="shared" si="56"/>
        <v>30-45</v>
      </c>
      <c r="N955" t="str">
        <f t="shared" si="57"/>
        <v>Medium</v>
      </c>
      <c r="O955" t="str">
        <f t="shared" si="58"/>
        <v>High Balance</v>
      </c>
      <c r="P955" t="str">
        <f t="shared" si="59"/>
        <v>New</v>
      </c>
    </row>
    <row r="956" spans="1:16" x14ac:dyDescent="0.25">
      <c r="A956">
        <v>2025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  <c r="M956" t="str">
        <f t="shared" si="56"/>
        <v>30-45</v>
      </c>
      <c r="N956" t="str">
        <f t="shared" si="57"/>
        <v>Medium</v>
      </c>
      <c r="O956" t="str">
        <f t="shared" si="58"/>
        <v>High Balance</v>
      </c>
      <c r="P956" t="str">
        <f t="shared" si="59"/>
        <v>New</v>
      </c>
    </row>
    <row r="957" spans="1:16" x14ac:dyDescent="0.25">
      <c r="A957">
        <v>2025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  <c r="M957" t="str">
        <f t="shared" si="56"/>
        <v>30-45</v>
      </c>
      <c r="N957" t="str">
        <f t="shared" si="57"/>
        <v>High</v>
      </c>
      <c r="O957" t="str">
        <f t="shared" si="58"/>
        <v>High Balance</v>
      </c>
      <c r="P957" t="str">
        <f t="shared" si="59"/>
        <v>Mid-term</v>
      </c>
    </row>
    <row r="958" spans="1:16" x14ac:dyDescent="0.25">
      <c r="A958">
        <v>2025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  <c r="M958" t="str">
        <f t="shared" si="56"/>
        <v>30-45</v>
      </c>
      <c r="N958" t="str">
        <f t="shared" si="57"/>
        <v>High</v>
      </c>
      <c r="O958" t="str">
        <f t="shared" si="58"/>
        <v>Zero Balance</v>
      </c>
      <c r="P958" t="str">
        <f t="shared" si="59"/>
        <v>New</v>
      </c>
    </row>
    <row r="959" spans="1:16" x14ac:dyDescent="0.25">
      <c r="A959">
        <v>2025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  <c r="M959" t="str">
        <f t="shared" si="56"/>
        <v>60+</v>
      </c>
      <c r="N959" t="str">
        <f t="shared" si="57"/>
        <v>High</v>
      </c>
      <c r="O959" t="str">
        <f t="shared" si="58"/>
        <v>Zero Balance</v>
      </c>
      <c r="P959" t="str">
        <f t="shared" si="59"/>
        <v>Long-term</v>
      </c>
    </row>
    <row r="960" spans="1:16" x14ac:dyDescent="0.25">
      <c r="A960">
        <v>2025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  <c r="M960" t="str">
        <f t="shared" si="56"/>
        <v>&lt;30</v>
      </c>
      <c r="N960" t="str">
        <f t="shared" si="57"/>
        <v>Medium</v>
      </c>
      <c r="O960" t="str">
        <f t="shared" si="58"/>
        <v>High Balance</v>
      </c>
      <c r="P960" t="str">
        <f t="shared" si="59"/>
        <v>Long-term</v>
      </c>
    </row>
    <row r="961" spans="1:16" x14ac:dyDescent="0.25">
      <c r="A961">
        <v>2025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  <c r="M961" t="str">
        <f t="shared" si="56"/>
        <v>30-45</v>
      </c>
      <c r="N961" t="str">
        <f t="shared" si="57"/>
        <v>Medium</v>
      </c>
      <c r="O961" t="str">
        <f t="shared" si="58"/>
        <v>High Balance</v>
      </c>
      <c r="P961" t="str">
        <f t="shared" si="59"/>
        <v>Mid-term</v>
      </c>
    </row>
    <row r="962" spans="1:16" x14ac:dyDescent="0.25">
      <c r="A962">
        <v>2025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  <c r="M962" t="str">
        <f t="shared" si="56"/>
        <v>30-45</v>
      </c>
      <c r="N962" t="str">
        <f t="shared" si="57"/>
        <v>High</v>
      </c>
      <c r="O962" t="str">
        <f t="shared" si="58"/>
        <v>High Balance</v>
      </c>
      <c r="P962" t="str">
        <f t="shared" si="59"/>
        <v>New</v>
      </c>
    </row>
    <row r="963" spans="1:16" x14ac:dyDescent="0.25">
      <c r="A963">
        <v>2025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  <c r="M963" t="str">
        <f t="shared" ref="M963:M1026" si="60">IF(E963&lt;30,"&lt;30",IF(E963&lt;=45,"30-45",IF(E963&lt;=60,"46-60","60+")))</f>
        <v>30-45</v>
      </c>
      <c r="N963" t="str">
        <f t="shared" ref="N963:N1026" si="61">IF(B963&lt;500,"Low",IF(B963&lt;700,"Medium","High"))</f>
        <v>Medium</v>
      </c>
      <c r="O963" t="str">
        <f t="shared" ref="O963:O1026" si="62">IF(G963=0,"Zero Balance",IF(G963&lt;100000,"Low Balance","High Balance"))</f>
        <v>High Balance</v>
      </c>
      <c r="P963" t="str">
        <f t="shared" ref="P963:P1026" si="63">IF(F963&lt;=3,"New",IF(F963&lt;=7,"Mid-term","Long-term"))</f>
        <v>Mid-term</v>
      </c>
    </row>
    <row r="964" spans="1:16" x14ac:dyDescent="0.25">
      <c r="A964">
        <v>2025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  <c r="M964" t="str">
        <f t="shared" si="60"/>
        <v>30-45</v>
      </c>
      <c r="N964" t="str">
        <f t="shared" si="61"/>
        <v>Medium</v>
      </c>
      <c r="O964" t="str">
        <f t="shared" si="62"/>
        <v>High Balance</v>
      </c>
      <c r="P964" t="str">
        <f t="shared" si="63"/>
        <v>Mid-term</v>
      </c>
    </row>
    <row r="965" spans="1:16" x14ac:dyDescent="0.25">
      <c r="A965">
        <v>2025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  <c r="M965" t="str">
        <f t="shared" si="60"/>
        <v>60+</v>
      </c>
      <c r="N965" t="str">
        <f t="shared" si="61"/>
        <v>Medium</v>
      </c>
      <c r="O965" t="str">
        <f t="shared" si="62"/>
        <v>Low Balance</v>
      </c>
      <c r="P965" t="str">
        <f t="shared" si="63"/>
        <v>Mid-term</v>
      </c>
    </row>
    <row r="966" spans="1:16" x14ac:dyDescent="0.25">
      <c r="A966">
        <v>2025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  <c r="M966" t="str">
        <f t="shared" si="60"/>
        <v>30-45</v>
      </c>
      <c r="N966" t="str">
        <f t="shared" si="61"/>
        <v>Medium</v>
      </c>
      <c r="O966" t="str">
        <f t="shared" si="62"/>
        <v>High Balance</v>
      </c>
      <c r="P966" t="str">
        <f t="shared" si="63"/>
        <v>Mid-term</v>
      </c>
    </row>
    <row r="967" spans="1:16" x14ac:dyDescent="0.25">
      <c r="A967">
        <v>2025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  <c r="M967" t="str">
        <f t="shared" si="60"/>
        <v>30-45</v>
      </c>
      <c r="N967" t="str">
        <f t="shared" si="61"/>
        <v>Medium</v>
      </c>
      <c r="O967" t="str">
        <f t="shared" si="62"/>
        <v>High Balance</v>
      </c>
      <c r="P967" t="str">
        <f t="shared" si="63"/>
        <v>Mid-term</v>
      </c>
    </row>
    <row r="968" spans="1:16" x14ac:dyDescent="0.25">
      <c r="A968">
        <v>2025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  <c r="M968" t="str">
        <f t="shared" si="60"/>
        <v>30-45</v>
      </c>
      <c r="N968" t="str">
        <f t="shared" si="61"/>
        <v>Medium</v>
      </c>
      <c r="O968" t="str">
        <f t="shared" si="62"/>
        <v>High Balance</v>
      </c>
      <c r="P968" t="str">
        <f t="shared" si="63"/>
        <v>Mid-term</v>
      </c>
    </row>
    <row r="969" spans="1:16" x14ac:dyDescent="0.25">
      <c r="A969">
        <v>2025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  <c r="M969" t="str">
        <f t="shared" si="60"/>
        <v>30-45</v>
      </c>
      <c r="N969" t="str">
        <f t="shared" si="61"/>
        <v>Medium</v>
      </c>
      <c r="O969" t="str">
        <f t="shared" si="62"/>
        <v>Zero Balance</v>
      </c>
      <c r="P969" t="str">
        <f t="shared" si="63"/>
        <v>Long-term</v>
      </c>
    </row>
    <row r="970" spans="1:16" x14ac:dyDescent="0.25">
      <c r="A970">
        <v>2025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  <c r="M970" t="str">
        <f t="shared" si="60"/>
        <v>30-45</v>
      </c>
      <c r="N970" t="str">
        <f t="shared" si="61"/>
        <v>Medium</v>
      </c>
      <c r="O970" t="str">
        <f t="shared" si="62"/>
        <v>Low Balance</v>
      </c>
      <c r="P970" t="str">
        <f t="shared" si="63"/>
        <v>New</v>
      </c>
    </row>
    <row r="971" spans="1:16" x14ac:dyDescent="0.25">
      <c r="A971">
        <v>2025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  <c r="M971" t="str">
        <f t="shared" si="60"/>
        <v>60+</v>
      </c>
      <c r="N971" t="str">
        <f t="shared" si="61"/>
        <v>Medium</v>
      </c>
      <c r="O971" t="str">
        <f t="shared" si="62"/>
        <v>High Balance</v>
      </c>
      <c r="P971" t="str">
        <f t="shared" si="63"/>
        <v>Long-term</v>
      </c>
    </row>
    <row r="972" spans="1:16" x14ac:dyDescent="0.25">
      <c r="A972">
        <v>2025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  <c r="M972" t="str">
        <f t="shared" si="60"/>
        <v>46-60</v>
      </c>
      <c r="N972" t="str">
        <f t="shared" si="61"/>
        <v>Medium</v>
      </c>
      <c r="O972" t="str">
        <f t="shared" si="62"/>
        <v>High Balance</v>
      </c>
      <c r="P972" t="str">
        <f t="shared" si="63"/>
        <v>Long-term</v>
      </c>
    </row>
    <row r="973" spans="1:16" x14ac:dyDescent="0.25">
      <c r="A973">
        <v>2025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  <c r="M973" t="str">
        <f t="shared" si="60"/>
        <v>&lt;30</v>
      </c>
      <c r="N973" t="str">
        <f t="shared" si="61"/>
        <v>High</v>
      </c>
      <c r="O973" t="str">
        <f t="shared" si="62"/>
        <v>Zero Balance</v>
      </c>
      <c r="P973" t="str">
        <f t="shared" si="63"/>
        <v>New</v>
      </c>
    </row>
    <row r="974" spans="1:16" x14ac:dyDescent="0.25">
      <c r="A974">
        <v>2025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  <c r="M974" t="str">
        <f t="shared" si="60"/>
        <v>30-45</v>
      </c>
      <c r="N974" t="str">
        <f t="shared" si="61"/>
        <v>Medium</v>
      </c>
      <c r="O974" t="str">
        <f t="shared" si="62"/>
        <v>Low Balance</v>
      </c>
      <c r="P974" t="str">
        <f t="shared" si="63"/>
        <v>Mid-term</v>
      </c>
    </row>
    <row r="975" spans="1:16" x14ac:dyDescent="0.25">
      <c r="A975">
        <v>2025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  <c r="M975" t="str">
        <f t="shared" si="60"/>
        <v>30-45</v>
      </c>
      <c r="N975" t="str">
        <f t="shared" si="61"/>
        <v>High</v>
      </c>
      <c r="O975" t="str">
        <f t="shared" si="62"/>
        <v>Low Balance</v>
      </c>
      <c r="P975" t="str">
        <f t="shared" si="63"/>
        <v>Mid-term</v>
      </c>
    </row>
    <row r="976" spans="1:16" x14ac:dyDescent="0.25">
      <c r="A976">
        <v>2025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  <c r="M976" t="str">
        <f t="shared" si="60"/>
        <v>30-45</v>
      </c>
      <c r="N976" t="str">
        <f t="shared" si="61"/>
        <v>High</v>
      </c>
      <c r="O976" t="str">
        <f t="shared" si="62"/>
        <v>High Balance</v>
      </c>
      <c r="P976" t="str">
        <f t="shared" si="63"/>
        <v>Mid-term</v>
      </c>
    </row>
    <row r="977" spans="1:16" x14ac:dyDescent="0.25">
      <c r="A977">
        <v>2025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  <c r="M977" t="str">
        <f t="shared" si="60"/>
        <v>30-45</v>
      </c>
      <c r="N977" t="str">
        <f t="shared" si="61"/>
        <v>High</v>
      </c>
      <c r="O977" t="str">
        <f t="shared" si="62"/>
        <v>High Balance</v>
      </c>
      <c r="P977" t="str">
        <f t="shared" si="63"/>
        <v>Long-term</v>
      </c>
    </row>
    <row r="978" spans="1:16" x14ac:dyDescent="0.25">
      <c r="A978">
        <v>2025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  <c r="M978" t="str">
        <f t="shared" si="60"/>
        <v>30-45</v>
      </c>
      <c r="N978" t="str">
        <f t="shared" si="61"/>
        <v>Medium</v>
      </c>
      <c r="O978" t="str">
        <f t="shared" si="62"/>
        <v>High Balance</v>
      </c>
      <c r="P978" t="str">
        <f t="shared" si="63"/>
        <v>Long-term</v>
      </c>
    </row>
    <row r="979" spans="1:16" x14ac:dyDescent="0.25">
      <c r="A979">
        <v>2025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  <c r="M979" t="str">
        <f t="shared" si="60"/>
        <v>30-45</v>
      </c>
      <c r="N979" t="str">
        <f t="shared" si="61"/>
        <v>Medium</v>
      </c>
      <c r="O979" t="str">
        <f t="shared" si="62"/>
        <v>Zero Balance</v>
      </c>
      <c r="P979" t="str">
        <f t="shared" si="63"/>
        <v>Mid-term</v>
      </c>
    </row>
    <row r="980" spans="1:16" x14ac:dyDescent="0.25">
      <c r="A980">
        <v>2025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  <c r="M980" t="str">
        <f t="shared" si="60"/>
        <v>46-60</v>
      </c>
      <c r="N980" t="str">
        <f t="shared" si="61"/>
        <v>Medium</v>
      </c>
      <c r="O980" t="str">
        <f t="shared" si="62"/>
        <v>High Balance</v>
      </c>
      <c r="P980" t="str">
        <f t="shared" si="63"/>
        <v>Long-term</v>
      </c>
    </row>
    <row r="981" spans="1:16" x14ac:dyDescent="0.25">
      <c r="A981">
        <v>2025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  <c r="M981" t="str">
        <f t="shared" si="60"/>
        <v>46-60</v>
      </c>
      <c r="N981" t="str">
        <f t="shared" si="61"/>
        <v>Medium</v>
      </c>
      <c r="O981" t="str">
        <f t="shared" si="62"/>
        <v>Zero Balance</v>
      </c>
      <c r="P981" t="str">
        <f t="shared" si="63"/>
        <v>Mid-term</v>
      </c>
    </row>
    <row r="982" spans="1:16" x14ac:dyDescent="0.25">
      <c r="A982">
        <v>2025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  <c r="M982" t="str">
        <f t="shared" si="60"/>
        <v>&lt;30</v>
      </c>
      <c r="N982" t="str">
        <f t="shared" si="61"/>
        <v>Medium</v>
      </c>
      <c r="O982" t="str">
        <f t="shared" si="62"/>
        <v>High Balance</v>
      </c>
      <c r="P982" t="str">
        <f t="shared" si="63"/>
        <v>New</v>
      </c>
    </row>
    <row r="983" spans="1:16" x14ac:dyDescent="0.25">
      <c r="A983">
        <v>2025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  <c r="M983" t="str">
        <f t="shared" si="60"/>
        <v>30-45</v>
      </c>
      <c r="N983" t="str">
        <f t="shared" si="61"/>
        <v>High</v>
      </c>
      <c r="O983" t="str">
        <f t="shared" si="62"/>
        <v>Low Balance</v>
      </c>
      <c r="P983" t="str">
        <f t="shared" si="63"/>
        <v>New</v>
      </c>
    </row>
    <row r="984" spans="1:16" x14ac:dyDescent="0.25">
      <c r="A984">
        <v>2025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  <c r="M984" t="str">
        <f t="shared" si="60"/>
        <v>30-45</v>
      </c>
      <c r="N984" t="str">
        <f t="shared" si="61"/>
        <v>Medium</v>
      </c>
      <c r="O984" t="str">
        <f t="shared" si="62"/>
        <v>Zero Balance</v>
      </c>
      <c r="P984" t="str">
        <f t="shared" si="63"/>
        <v>Mid-term</v>
      </c>
    </row>
    <row r="985" spans="1:16" x14ac:dyDescent="0.25">
      <c r="A985">
        <v>2025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  <c r="M985" t="str">
        <f t="shared" si="60"/>
        <v>30-45</v>
      </c>
      <c r="N985" t="str">
        <f t="shared" si="61"/>
        <v>Medium</v>
      </c>
      <c r="O985" t="str">
        <f t="shared" si="62"/>
        <v>High Balance</v>
      </c>
      <c r="P985" t="str">
        <f t="shared" si="63"/>
        <v>Mid-term</v>
      </c>
    </row>
    <row r="986" spans="1:16" x14ac:dyDescent="0.25">
      <c r="A986">
        <v>2025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  <c r="M986" t="str">
        <f t="shared" si="60"/>
        <v>&lt;30</v>
      </c>
      <c r="N986" t="str">
        <f t="shared" si="61"/>
        <v>High</v>
      </c>
      <c r="O986" t="str">
        <f t="shared" si="62"/>
        <v>High Balance</v>
      </c>
      <c r="P986" t="str">
        <f t="shared" si="63"/>
        <v>New</v>
      </c>
    </row>
    <row r="987" spans="1:16" x14ac:dyDescent="0.25">
      <c r="A987">
        <v>2025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  <c r="M987" t="str">
        <f t="shared" si="60"/>
        <v>30-45</v>
      </c>
      <c r="N987" t="str">
        <f t="shared" si="61"/>
        <v>Medium</v>
      </c>
      <c r="O987" t="str">
        <f t="shared" si="62"/>
        <v>Low Balance</v>
      </c>
      <c r="P987" t="str">
        <f t="shared" si="63"/>
        <v>Long-term</v>
      </c>
    </row>
    <row r="988" spans="1:16" x14ac:dyDescent="0.25">
      <c r="A988">
        <v>2025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  <c r="M988" t="str">
        <f t="shared" si="60"/>
        <v>30-45</v>
      </c>
      <c r="N988" t="str">
        <f t="shared" si="61"/>
        <v>Medium</v>
      </c>
      <c r="O988" t="str">
        <f t="shared" si="62"/>
        <v>High Balance</v>
      </c>
      <c r="P988" t="str">
        <f t="shared" si="63"/>
        <v>New</v>
      </c>
    </row>
    <row r="989" spans="1:16" x14ac:dyDescent="0.25">
      <c r="A989">
        <v>2025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  <c r="M989" t="str">
        <f t="shared" si="60"/>
        <v>30-45</v>
      </c>
      <c r="N989" t="str">
        <f t="shared" si="61"/>
        <v>Medium</v>
      </c>
      <c r="O989" t="str">
        <f t="shared" si="62"/>
        <v>High Balance</v>
      </c>
      <c r="P989" t="str">
        <f t="shared" si="63"/>
        <v>New</v>
      </c>
    </row>
    <row r="990" spans="1:16" x14ac:dyDescent="0.25">
      <c r="A990">
        <v>2025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  <c r="M990" t="str">
        <f t="shared" si="60"/>
        <v>30-45</v>
      </c>
      <c r="N990" t="str">
        <f t="shared" si="61"/>
        <v>Medium</v>
      </c>
      <c r="O990" t="str">
        <f t="shared" si="62"/>
        <v>High Balance</v>
      </c>
      <c r="P990" t="str">
        <f t="shared" si="63"/>
        <v>Mid-term</v>
      </c>
    </row>
    <row r="991" spans="1:16" x14ac:dyDescent="0.25">
      <c r="A991">
        <v>2025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  <c r="M991" t="str">
        <f t="shared" si="60"/>
        <v>46-60</v>
      </c>
      <c r="N991" t="str">
        <f t="shared" si="61"/>
        <v>High</v>
      </c>
      <c r="O991" t="str">
        <f t="shared" si="62"/>
        <v>High Balance</v>
      </c>
      <c r="P991" t="str">
        <f t="shared" si="63"/>
        <v>New</v>
      </c>
    </row>
    <row r="992" spans="1:16" x14ac:dyDescent="0.25">
      <c r="A992">
        <v>2025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  <c r="M992" t="str">
        <f t="shared" si="60"/>
        <v>30-45</v>
      </c>
      <c r="N992" t="str">
        <f t="shared" si="61"/>
        <v>Medium</v>
      </c>
      <c r="O992" t="str">
        <f t="shared" si="62"/>
        <v>Low Balance</v>
      </c>
      <c r="P992" t="str">
        <f t="shared" si="63"/>
        <v>Mid-term</v>
      </c>
    </row>
    <row r="993" spans="1:16" x14ac:dyDescent="0.25">
      <c r="A993">
        <v>2025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  <c r="M993" t="str">
        <f t="shared" si="60"/>
        <v>30-45</v>
      </c>
      <c r="N993" t="str">
        <f t="shared" si="61"/>
        <v>Medium</v>
      </c>
      <c r="O993" t="str">
        <f t="shared" si="62"/>
        <v>Low Balance</v>
      </c>
      <c r="P993" t="str">
        <f t="shared" si="63"/>
        <v>New</v>
      </c>
    </row>
    <row r="994" spans="1:16" x14ac:dyDescent="0.25">
      <c r="A994">
        <v>2025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  <c r="M994" t="str">
        <f t="shared" si="60"/>
        <v>30-45</v>
      </c>
      <c r="N994" t="str">
        <f t="shared" si="61"/>
        <v>High</v>
      </c>
      <c r="O994" t="str">
        <f t="shared" si="62"/>
        <v>Low Balance</v>
      </c>
      <c r="P994" t="str">
        <f t="shared" si="63"/>
        <v>New</v>
      </c>
    </row>
    <row r="995" spans="1:16" x14ac:dyDescent="0.25">
      <c r="A995">
        <v>2025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  <c r="M995" t="str">
        <f t="shared" si="60"/>
        <v>&lt;30</v>
      </c>
      <c r="N995" t="str">
        <f t="shared" si="61"/>
        <v>Medium</v>
      </c>
      <c r="O995" t="str">
        <f t="shared" si="62"/>
        <v>Low Balance</v>
      </c>
      <c r="P995" t="str">
        <f t="shared" si="63"/>
        <v>Mid-term</v>
      </c>
    </row>
    <row r="996" spans="1:16" x14ac:dyDescent="0.25">
      <c r="A996">
        <v>2025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  <c r="M996" t="str">
        <f t="shared" si="60"/>
        <v>30-45</v>
      </c>
      <c r="N996" t="str">
        <f t="shared" si="61"/>
        <v>High</v>
      </c>
      <c r="O996" t="str">
        <f t="shared" si="62"/>
        <v>High Balance</v>
      </c>
      <c r="P996" t="str">
        <f t="shared" si="63"/>
        <v>Long-term</v>
      </c>
    </row>
    <row r="997" spans="1:16" x14ac:dyDescent="0.25">
      <c r="A997">
        <v>2025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  <c r="M997" t="str">
        <f t="shared" si="60"/>
        <v>&lt;30</v>
      </c>
      <c r="N997" t="str">
        <f t="shared" si="61"/>
        <v>Medium</v>
      </c>
      <c r="O997" t="str">
        <f t="shared" si="62"/>
        <v>Zero Balance</v>
      </c>
      <c r="P997" t="str">
        <f t="shared" si="63"/>
        <v>Long-term</v>
      </c>
    </row>
    <row r="998" spans="1:16" x14ac:dyDescent="0.25">
      <c r="A998">
        <v>2025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  <c r="M998" t="str">
        <f t="shared" si="60"/>
        <v>30-45</v>
      </c>
      <c r="N998" t="str">
        <f t="shared" si="61"/>
        <v>High</v>
      </c>
      <c r="O998" t="str">
        <f t="shared" si="62"/>
        <v>Zero Balance</v>
      </c>
      <c r="P998" t="str">
        <f t="shared" si="63"/>
        <v>New</v>
      </c>
    </row>
    <row r="999" spans="1:16" x14ac:dyDescent="0.25">
      <c r="A999">
        <v>2025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  <c r="M999" t="str">
        <f t="shared" si="60"/>
        <v>60+</v>
      </c>
      <c r="N999" t="str">
        <f t="shared" si="61"/>
        <v>Medium</v>
      </c>
      <c r="O999" t="str">
        <f t="shared" si="62"/>
        <v>High Balance</v>
      </c>
      <c r="P999" t="str">
        <f t="shared" si="63"/>
        <v>Mid-term</v>
      </c>
    </row>
    <row r="1000" spans="1:16" x14ac:dyDescent="0.25">
      <c r="A1000">
        <v>2025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  <c r="M1000" t="str">
        <f t="shared" si="60"/>
        <v>&lt;30</v>
      </c>
      <c r="N1000" t="str">
        <f t="shared" si="61"/>
        <v>High</v>
      </c>
      <c r="O1000" t="str">
        <f t="shared" si="62"/>
        <v>High Balance</v>
      </c>
      <c r="P1000" t="str">
        <f t="shared" si="63"/>
        <v>Mid-term</v>
      </c>
    </row>
    <row r="1001" spans="1:16" x14ac:dyDescent="0.25">
      <c r="A1001">
        <v>2025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  <c r="M1001" t="str">
        <f t="shared" si="60"/>
        <v>30-45</v>
      </c>
      <c r="N1001" t="str">
        <f t="shared" si="61"/>
        <v>High</v>
      </c>
      <c r="O1001" t="str">
        <f t="shared" si="62"/>
        <v>High Balance</v>
      </c>
      <c r="P1001" t="str">
        <f t="shared" si="63"/>
        <v>New</v>
      </c>
    </row>
    <row r="1002" spans="1:16" x14ac:dyDescent="0.25">
      <c r="A1002">
        <v>2025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  <c r="M1002" t="str">
        <f t="shared" si="60"/>
        <v>30-45</v>
      </c>
      <c r="N1002" t="str">
        <f t="shared" si="61"/>
        <v>Medium</v>
      </c>
      <c r="O1002" t="str">
        <f t="shared" si="62"/>
        <v>High Balance</v>
      </c>
      <c r="P1002" t="str">
        <f t="shared" si="63"/>
        <v>Long-term</v>
      </c>
    </row>
    <row r="1003" spans="1:16" x14ac:dyDescent="0.25">
      <c r="A1003">
        <v>2025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  <c r="M1003" t="str">
        <f t="shared" si="60"/>
        <v>30-45</v>
      </c>
      <c r="N1003" t="str">
        <f t="shared" si="61"/>
        <v>High</v>
      </c>
      <c r="O1003" t="str">
        <f t="shared" si="62"/>
        <v>Zero Balance</v>
      </c>
      <c r="P1003" t="str">
        <f t="shared" si="63"/>
        <v>Long-term</v>
      </c>
    </row>
    <row r="1004" spans="1:16" x14ac:dyDescent="0.25">
      <c r="A1004">
        <v>2025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  <c r="M1004" t="str">
        <f t="shared" si="60"/>
        <v>30-45</v>
      </c>
      <c r="N1004" t="str">
        <f t="shared" si="61"/>
        <v>High</v>
      </c>
      <c r="O1004" t="str">
        <f t="shared" si="62"/>
        <v>Low Balance</v>
      </c>
      <c r="P1004" t="str">
        <f t="shared" si="63"/>
        <v>New</v>
      </c>
    </row>
    <row r="1005" spans="1:16" x14ac:dyDescent="0.25">
      <c r="A1005">
        <v>2025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  <c r="M1005" t="str">
        <f t="shared" si="60"/>
        <v>30-45</v>
      </c>
      <c r="N1005" t="str">
        <f t="shared" si="61"/>
        <v>Medium</v>
      </c>
      <c r="O1005" t="str">
        <f t="shared" si="62"/>
        <v>High Balance</v>
      </c>
      <c r="P1005" t="str">
        <f t="shared" si="63"/>
        <v>New</v>
      </c>
    </row>
    <row r="1006" spans="1:16" x14ac:dyDescent="0.25">
      <c r="A1006">
        <v>2025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  <c r="M1006" t="str">
        <f t="shared" si="60"/>
        <v>&lt;30</v>
      </c>
      <c r="N1006" t="str">
        <f t="shared" si="61"/>
        <v>Medium</v>
      </c>
      <c r="O1006" t="str">
        <f t="shared" si="62"/>
        <v>High Balance</v>
      </c>
      <c r="P1006" t="str">
        <f t="shared" si="63"/>
        <v>Mid-term</v>
      </c>
    </row>
    <row r="1007" spans="1:16" x14ac:dyDescent="0.25">
      <c r="A1007">
        <v>2025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  <c r="M1007" t="str">
        <f t="shared" si="60"/>
        <v>46-60</v>
      </c>
      <c r="N1007" t="str">
        <f t="shared" si="61"/>
        <v>Medium</v>
      </c>
      <c r="O1007" t="str">
        <f t="shared" si="62"/>
        <v>High Balance</v>
      </c>
      <c r="P1007" t="str">
        <f t="shared" si="63"/>
        <v>Mid-term</v>
      </c>
    </row>
    <row r="1008" spans="1:16" x14ac:dyDescent="0.25">
      <c r="A1008">
        <v>2025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  <c r="M1008" t="str">
        <f t="shared" si="60"/>
        <v>30-45</v>
      </c>
      <c r="N1008" t="str">
        <f t="shared" si="61"/>
        <v>Medium</v>
      </c>
      <c r="O1008" t="str">
        <f t="shared" si="62"/>
        <v>Zero Balance</v>
      </c>
      <c r="P1008" t="str">
        <f t="shared" si="63"/>
        <v>Mid-term</v>
      </c>
    </row>
    <row r="1009" spans="1:16" x14ac:dyDescent="0.25">
      <c r="A1009">
        <v>2025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  <c r="M1009" t="str">
        <f t="shared" si="60"/>
        <v>30-45</v>
      </c>
      <c r="N1009" t="str">
        <f t="shared" si="61"/>
        <v>Medium</v>
      </c>
      <c r="O1009" t="str">
        <f t="shared" si="62"/>
        <v>Low Balance</v>
      </c>
      <c r="P1009" t="str">
        <f t="shared" si="63"/>
        <v>Mid-term</v>
      </c>
    </row>
    <row r="1010" spans="1:16" x14ac:dyDescent="0.25">
      <c r="A1010">
        <v>2025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  <c r="M1010" t="str">
        <f t="shared" si="60"/>
        <v>30-45</v>
      </c>
      <c r="N1010" t="str">
        <f t="shared" si="61"/>
        <v>Low</v>
      </c>
      <c r="O1010" t="str">
        <f t="shared" si="62"/>
        <v>Zero Balance</v>
      </c>
      <c r="P1010" t="str">
        <f t="shared" si="63"/>
        <v>Mid-term</v>
      </c>
    </row>
    <row r="1011" spans="1:16" x14ac:dyDescent="0.25">
      <c r="A1011">
        <v>2025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  <c r="M1011" t="str">
        <f t="shared" si="60"/>
        <v>60+</v>
      </c>
      <c r="N1011" t="str">
        <f t="shared" si="61"/>
        <v>Medium</v>
      </c>
      <c r="O1011" t="str">
        <f t="shared" si="62"/>
        <v>Zero Balance</v>
      </c>
      <c r="P1011" t="str">
        <f t="shared" si="63"/>
        <v>New</v>
      </c>
    </row>
    <row r="1012" spans="1:16" x14ac:dyDescent="0.25">
      <c r="A1012">
        <v>2025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  <c r="M1012" t="str">
        <f t="shared" si="60"/>
        <v>30-45</v>
      </c>
      <c r="N1012" t="str">
        <f t="shared" si="61"/>
        <v>High</v>
      </c>
      <c r="O1012" t="str">
        <f t="shared" si="62"/>
        <v>Zero Balance</v>
      </c>
      <c r="P1012" t="str">
        <f t="shared" si="63"/>
        <v>Long-term</v>
      </c>
    </row>
    <row r="1013" spans="1:16" x14ac:dyDescent="0.25">
      <c r="A1013">
        <v>2025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  <c r="M1013" t="str">
        <f t="shared" si="60"/>
        <v>30-45</v>
      </c>
      <c r="N1013" t="str">
        <f t="shared" si="61"/>
        <v>High</v>
      </c>
      <c r="O1013" t="str">
        <f t="shared" si="62"/>
        <v>High Balance</v>
      </c>
      <c r="P1013" t="str">
        <f t="shared" si="63"/>
        <v>New</v>
      </c>
    </row>
    <row r="1014" spans="1:16" x14ac:dyDescent="0.25">
      <c r="A1014">
        <v>2025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  <c r="M1014" t="str">
        <f t="shared" si="60"/>
        <v>&lt;30</v>
      </c>
      <c r="N1014" t="str">
        <f t="shared" si="61"/>
        <v>Medium</v>
      </c>
      <c r="O1014" t="str">
        <f t="shared" si="62"/>
        <v>Zero Balance</v>
      </c>
      <c r="P1014" t="str">
        <f t="shared" si="63"/>
        <v>Mid-term</v>
      </c>
    </row>
    <row r="1015" spans="1:16" x14ac:dyDescent="0.25">
      <c r="A1015">
        <v>2025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  <c r="M1015" t="str">
        <f t="shared" si="60"/>
        <v>&lt;30</v>
      </c>
      <c r="N1015" t="str">
        <f t="shared" si="61"/>
        <v>Medium</v>
      </c>
      <c r="O1015" t="str">
        <f t="shared" si="62"/>
        <v>Zero Balance</v>
      </c>
      <c r="P1015" t="str">
        <f t="shared" si="63"/>
        <v>Mid-term</v>
      </c>
    </row>
    <row r="1016" spans="1:16" x14ac:dyDescent="0.25">
      <c r="A1016">
        <v>2025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  <c r="M1016" t="str">
        <f t="shared" si="60"/>
        <v>30-45</v>
      </c>
      <c r="N1016" t="str">
        <f t="shared" si="61"/>
        <v>Low</v>
      </c>
      <c r="O1016" t="str">
        <f t="shared" si="62"/>
        <v>Zero Balance</v>
      </c>
      <c r="P1016" t="str">
        <f t="shared" si="63"/>
        <v>New</v>
      </c>
    </row>
    <row r="1017" spans="1:16" x14ac:dyDescent="0.25">
      <c r="A1017">
        <v>2025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  <c r="M1017" t="str">
        <f t="shared" si="60"/>
        <v>30-45</v>
      </c>
      <c r="N1017" t="str">
        <f t="shared" si="61"/>
        <v>Medium</v>
      </c>
      <c r="O1017" t="str">
        <f t="shared" si="62"/>
        <v>Low Balance</v>
      </c>
      <c r="P1017" t="str">
        <f t="shared" si="63"/>
        <v>Mid-term</v>
      </c>
    </row>
    <row r="1018" spans="1:16" x14ac:dyDescent="0.25">
      <c r="A1018">
        <v>2025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  <c r="M1018" t="str">
        <f t="shared" si="60"/>
        <v>30-45</v>
      </c>
      <c r="N1018" t="str">
        <f t="shared" si="61"/>
        <v>Medium</v>
      </c>
      <c r="O1018" t="str">
        <f t="shared" si="62"/>
        <v>Low Balance</v>
      </c>
      <c r="P1018" t="str">
        <f t="shared" si="63"/>
        <v>Mid-term</v>
      </c>
    </row>
    <row r="1019" spans="1:16" x14ac:dyDescent="0.25">
      <c r="A1019">
        <v>2025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  <c r="M1019" t="str">
        <f t="shared" si="60"/>
        <v>30-45</v>
      </c>
      <c r="N1019" t="str">
        <f t="shared" si="61"/>
        <v>High</v>
      </c>
      <c r="O1019" t="str">
        <f t="shared" si="62"/>
        <v>High Balance</v>
      </c>
      <c r="P1019" t="str">
        <f t="shared" si="63"/>
        <v>Mid-term</v>
      </c>
    </row>
    <row r="1020" spans="1:16" x14ac:dyDescent="0.25">
      <c r="A1020">
        <v>2025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  <c r="M1020" t="str">
        <f t="shared" si="60"/>
        <v>30-45</v>
      </c>
      <c r="N1020" t="str">
        <f t="shared" si="61"/>
        <v>High</v>
      </c>
      <c r="O1020" t="str">
        <f t="shared" si="62"/>
        <v>High Balance</v>
      </c>
      <c r="P1020" t="str">
        <f t="shared" si="63"/>
        <v>Mid-term</v>
      </c>
    </row>
    <row r="1021" spans="1:16" x14ac:dyDescent="0.25">
      <c r="A1021">
        <v>2025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  <c r="M1021" t="str">
        <f t="shared" si="60"/>
        <v>30-45</v>
      </c>
      <c r="N1021" t="str">
        <f t="shared" si="61"/>
        <v>Medium</v>
      </c>
      <c r="O1021" t="str">
        <f t="shared" si="62"/>
        <v>Zero Balance</v>
      </c>
      <c r="P1021" t="str">
        <f t="shared" si="63"/>
        <v>New</v>
      </c>
    </row>
    <row r="1022" spans="1:16" x14ac:dyDescent="0.25">
      <c r="A1022">
        <v>2025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  <c r="M1022" t="str">
        <f t="shared" si="60"/>
        <v>46-60</v>
      </c>
      <c r="N1022" t="str">
        <f t="shared" si="61"/>
        <v>Medium</v>
      </c>
      <c r="O1022" t="str">
        <f t="shared" si="62"/>
        <v>High Balance</v>
      </c>
      <c r="P1022" t="str">
        <f t="shared" si="63"/>
        <v>Mid-term</v>
      </c>
    </row>
    <row r="1023" spans="1:16" x14ac:dyDescent="0.25">
      <c r="A1023">
        <v>2025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  <c r="M1023" t="str">
        <f t="shared" si="60"/>
        <v>30-45</v>
      </c>
      <c r="N1023" t="str">
        <f t="shared" si="61"/>
        <v>Low</v>
      </c>
      <c r="O1023" t="str">
        <f t="shared" si="62"/>
        <v>High Balance</v>
      </c>
      <c r="P1023" t="str">
        <f t="shared" si="63"/>
        <v>Mid-term</v>
      </c>
    </row>
    <row r="1024" spans="1:16" x14ac:dyDescent="0.25">
      <c r="A1024">
        <v>2025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  <c r="M1024" t="str">
        <f t="shared" si="60"/>
        <v>46-60</v>
      </c>
      <c r="N1024" t="str">
        <f t="shared" si="61"/>
        <v>Medium</v>
      </c>
      <c r="O1024" t="str">
        <f t="shared" si="62"/>
        <v>High Balance</v>
      </c>
      <c r="P1024" t="str">
        <f t="shared" si="63"/>
        <v>New</v>
      </c>
    </row>
    <row r="1025" spans="1:16" x14ac:dyDescent="0.25">
      <c r="A1025">
        <v>2025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  <c r="M1025" t="str">
        <f t="shared" si="60"/>
        <v>30-45</v>
      </c>
      <c r="N1025" t="str">
        <f t="shared" si="61"/>
        <v>Medium</v>
      </c>
      <c r="O1025" t="str">
        <f t="shared" si="62"/>
        <v>Zero Balance</v>
      </c>
      <c r="P1025" t="str">
        <f t="shared" si="63"/>
        <v>New</v>
      </c>
    </row>
    <row r="1026" spans="1:16" x14ac:dyDescent="0.25">
      <c r="A1026">
        <v>2025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  <c r="M1026" t="str">
        <f t="shared" si="60"/>
        <v>&lt;30</v>
      </c>
      <c r="N1026" t="str">
        <f t="shared" si="61"/>
        <v>High</v>
      </c>
      <c r="O1026" t="str">
        <f t="shared" si="62"/>
        <v>High Balance</v>
      </c>
      <c r="P1026" t="str">
        <f t="shared" si="63"/>
        <v>Mid-term</v>
      </c>
    </row>
    <row r="1027" spans="1:16" x14ac:dyDescent="0.25">
      <c r="A1027">
        <v>2025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  <c r="M1027" t="str">
        <f t="shared" ref="M1027:M1090" si="64">IF(E1027&lt;30,"&lt;30",IF(E1027&lt;=45,"30-45",IF(E1027&lt;=60,"46-60","60+")))</f>
        <v>30-45</v>
      </c>
      <c r="N1027" t="str">
        <f t="shared" ref="N1027:N1090" si="65">IF(B1027&lt;500,"Low",IF(B1027&lt;700,"Medium","High"))</f>
        <v>Medium</v>
      </c>
      <c r="O1027" t="str">
        <f t="shared" ref="O1027:O1090" si="66">IF(G1027=0,"Zero Balance",IF(G1027&lt;100000,"Low Balance","High Balance"))</f>
        <v>Zero Balance</v>
      </c>
      <c r="P1027" t="str">
        <f t="shared" ref="P1027:P1090" si="67">IF(F1027&lt;=3,"New",IF(F1027&lt;=7,"Mid-term","Long-term"))</f>
        <v>Mid-term</v>
      </c>
    </row>
    <row r="1028" spans="1:16" x14ac:dyDescent="0.25">
      <c r="A1028">
        <v>2025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  <c r="M1028" t="str">
        <f t="shared" si="64"/>
        <v>30-45</v>
      </c>
      <c r="N1028" t="str">
        <f t="shared" si="65"/>
        <v>Medium</v>
      </c>
      <c r="O1028" t="str">
        <f t="shared" si="66"/>
        <v>Zero Balance</v>
      </c>
      <c r="P1028" t="str">
        <f t="shared" si="67"/>
        <v>Mid-term</v>
      </c>
    </row>
    <row r="1029" spans="1:16" x14ac:dyDescent="0.25">
      <c r="A1029">
        <v>2025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  <c r="M1029" t="str">
        <f t="shared" si="64"/>
        <v>30-45</v>
      </c>
      <c r="N1029" t="str">
        <f t="shared" si="65"/>
        <v>High</v>
      </c>
      <c r="O1029" t="str">
        <f t="shared" si="66"/>
        <v>High Balance</v>
      </c>
      <c r="P1029" t="str">
        <f t="shared" si="67"/>
        <v>New</v>
      </c>
    </row>
    <row r="1030" spans="1:16" x14ac:dyDescent="0.25">
      <c r="A1030">
        <v>2025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  <c r="M1030" t="str">
        <f t="shared" si="64"/>
        <v>30-45</v>
      </c>
      <c r="N1030" t="str">
        <f t="shared" si="65"/>
        <v>High</v>
      </c>
      <c r="O1030" t="str">
        <f t="shared" si="66"/>
        <v>Zero Balance</v>
      </c>
      <c r="P1030" t="str">
        <f t="shared" si="67"/>
        <v>Long-term</v>
      </c>
    </row>
    <row r="1031" spans="1:16" x14ac:dyDescent="0.25">
      <c r="A1031">
        <v>2025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  <c r="M1031" t="str">
        <f t="shared" si="64"/>
        <v>46-60</v>
      </c>
      <c r="N1031" t="str">
        <f t="shared" si="65"/>
        <v>Medium</v>
      </c>
      <c r="O1031" t="str">
        <f t="shared" si="66"/>
        <v>Zero Balance</v>
      </c>
      <c r="P1031" t="str">
        <f t="shared" si="67"/>
        <v>Long-term</v>
      </c>
    </row>
    <row r="1032" spans="1:16" x14ac:dyDescent="0.25">
      <c r="A1032">
        <v>2025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  <c r="M1032" t="str">
        <f t="shared" si="64"/>
        <v>30-45</v>
      </c>
      <c r="N1032" t="str">
        <f t="shared" si="65"/>
        <v>High</v>
      </c>
      <c r="O1032" t="str">
        <f t="shared" si="66"/>
        <v>High Balance</v>
      </c>
      <c r="P1032" t="str">
        <f t="shared" si="67"/>
        <v>New</v>
      </c>
    </row>
    <row r="1033" spans="1:16" x14ac:dyDescent="0.25">
      <c r="A1033">
        <v>2025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  <c r="M1033" t="str">
        <f t="shared" si="64"/>
        <v>&lt;30</v>
      </c>
      <c r="N1033" t="str">
        <f t="shared" si="65"/>
        <v>Medium</v>
      </c>
      <c r="O1033" t="str">
        <f t="shared" si="66"/>
        <v>Zero Balance</v>
      </c>
      <c r="P1033" t="str">
        <f t="shared" si="67"/>
        <v>New</v>
      </c>
    </row>
    <row r="1034" spans="1:16" x14ac:dyDescent="0.25">
      <c r="A1034">
        <v>2025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  <c r="M1034" t="str">
        <f t="shared" si="64"/>
        <v>30-45</v>
      </c>
      <c r="N1034" t="str">
        <f t="shared" si="65"/>
        <v>High</v>
      </c>
      <c r="O1034" t="str">
        <f t="shared" si="66"/>
        <v>Zero Balance</v>
      </c>
      <c r="P1034" t="str">
        <f t="shared" si="67"/>
        <v>Mid-term</v>
      </c>
    </row>
    <row r="1035" spans="1:16" x14ac:dyDescent="0.25">
      <c r="A1035">
        <v>2025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  <c r="M1035" t="str">
        <f t="shared" si="64"/>
        <v>&lt;30</v>
      </c>
      <c r="N1035" t="str">
        <f t="shared" si="65"/>
        <v>Medium</v>
      </c>
      <c r="O1035" t="str">
        <f t="shared" si="66"/>
        <v>High Balance</v>
      </c>
      <c r="P1035" t="str">
        <f t="shared" si="67"/>
        <v>New</v>
      </c>
    </row>
    <row r="1036" spans="1:16" x14ac:dyDescent="0.25">
      <c r="A1036">
        <v>2025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  <c r="M1036" t="str">
        <f t="shared" si="64"/>
        <v>46-60</v>
      </c>
      <c r="N1036" t="str">
        <f t="shared" si="65"/>
        <v>Medium</v>
      </c>
      <c r="O1036" t="str">
        <f t="shared" si="66"/>
        <v>Zero Balance</v>
      </c>
      <c r="P1036" t="str">
        <f t="shared" si="67"/>
        <v>New</v>
      </c>
    </row>
    <row r="1037" spans="1:16" x14ac:dyDescent="0.25">
      <c r="A1037">
        <v>2025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  <c r="M1037" t="str">
        <f t="shared" si="64"/>
        <v>30-45</v>
      </c>
      <c r="N1037" t="str">
        <f t="shared" si="65"/>
        <v>Medium</v>
      </c>
      <c r="O1037" t="str">
        <f t="shared" si="66"/>
        <v>Zero Balance</v>
      </c>
      <c r="P1037" t="str">
        <f t="shared" si="67"/>
        <v>New</v>
      </c>
    </row>
    <row r="1038" spans="1:16" x14ac:dyDescent="0.25">
      <c r="A1038">
        <v>2025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  <c r="M1038" t="str">
        <f t="shared" si="64"/>
        <v>30-45</v>
      </c>
      <c r="N1038" t="str">
        <f t="shared" si="65"/>
        <v>Medium</v>
      </c>
      <c r="O1038" t="str">
        <f t="shared" si="66"/>
        <v>High Balance</v>
      </c>
      <c r="P1038" t="str">
        <f t="shared" si="67"/>
        <v>New</v>
      </c>
    </row>
    <row r="1039" spans="1:16" x14ac:dyDescent="0.25">
      <c r="A1039">
        <v>2025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  <c r="M1039" t="str">
        <f t="shared" si="64"/>
        <v>&lt;30</v>
      </c>
      <c r="N1039" t="str">
        <f t="shared" si="65"/>
        <v>Medium</v>
      </c>
      <c r="O1039" t="str">
        <f t="shared" si="66"/>
        <v>Zero Balance</v>
      </c>
      <c r="P1039" t="str">
        <f t="shared" si="67"/>
        <v>New</v>
      </c>
    </row>
    <row r="1040" spans="1:16" x14ac:dyDescent="0.25">
      <c r="A1040">
        <v>2025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  <c r="M1040" t="str">
        <f t="shared" si="64"/>
        <v>30-45</v>
      </c>
      <c r="N1040" t="str">
        <f t="shared" si="65"/>
        <v>Medium</v>
      </c>
      <c r="O1040" t="str">
        <f t="shared" si="66"/>
        <v>Low Balance</v>
      </c>
      <c r="P1040" t="str">
        <f t="shared" si="67"/>
        <v>New</v>
      </c>
    </row>
    <row r="1041" spans="1:16" x14ac:dyDescent="0.25">
      <c r="A1041">
        <v>2025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  <c r="M1041" t="str">
        <f t="shared" si="64"/>
        <v>60+</v>
      </c>
      <c r="N1041" t="str">
        <f t="shared" si="65"/>
        <v>High</v>
      </c>
      <c r="O1041" t="str">
        <f t="shared" si="66"/>
        <v>Zero Balance</v>
      </c>
      <c r="P1041" t="str">
        <f t="shared" si="67"/>
        <v>New</v>
      </c>
    </row>
    <row r="1042" spans="1:16" x14ac:dyDescent="0.25">
      <c r="A1042">
        <v>2025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  <c r="M1042" t="str">
        <f t="shared" si="64"/>
        <v>60+</v>
      </c>
      <c r="N1042" t="str">
        <f t="shared" si="65"/>
        <v>Medium</v>
      </c>
      <c r="O1042" t="str">
        <f t="shared" si="66"/>
        <v>High Balance</v>
      </c>
      <c r="P1042" t="str">
        <f t="shared" si="67"/>
        <v>New</v>
      </c>
    </row>
    <row r="1043" spans="1:16" x14ac:dyDescent="0.25">
      <c r="A1043">
        <v>2025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  <c r="M1043" t="str">
        <f t="shared" si="64"/>
        <v>30-45</v>
      </c>
      <c r="N1043" t="str">
        <f t="shared" si="65"/>
        <v>High</v>
      </c>
      <c r="O1043" t="str">
        <f t="shared" si="66"/>
        <v>Zero Balance</v>
      </c>
      <c r="P1043" t="str">
        <f t="shared" si="67"/>
        <v>Mid-term</v>
      </c>
    </row>
    <row r="1044" spans="1:16" x14ac:dyDescent="0.25">
      <c r="A1044">
        <v>2025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  <c r="M1044" t="str">
        <f t="shared" si="64"/>
        <v>30-45</v>
      </c>
      <c r="N1044" t="str">
        <f t="shared" si="65"/>
        <v>Medium</v>
      </c>
      <c r="O1044" t="str">
        <f t="shared" si="66"/>
        <v>High Balance</v>
      </c>
      <c r="P1044" t="str">
        <f t="shared" si="67"/>
        <v>Mid-term</v>
      </c>
    </row>
    <row r="1045" spans="1:16" x14ac:dyDescent="0.25">
      <c r="A1045">
        <v>2025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  <c r="M1045" t="str">
        <f t="shared" si="64"/>
        <v>30-45</v>
      </c>
      <c r="N1045" t="str">
        <f t="shared" si="65"/>
        <v>Medium</v>
      </c>
      <c r="O1045" t="str">
        <f t="shared" si="66"/>
        <v>Zero Balance</v>
      </c>
      <c r="P1045" t="str">
        <f t="shared" si="67"/>
        <v>New</v>
      </c>
    </row>
    <row r="1046" spans="1:16" x14ac:dyDescent="0.25">
      <c r="A1046">
        <v>2025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  <c r="M1046" t="str">
        <f t="shared" si="64"/>
        <v>30-45</v>
      </c>
      <c r="N1046" t="str">
        <f t="shared" si="65"/>
        <v>Medium</v>
      </c>
      <c r="O1046" t="str">
        <f t="shared" si="66"/>
        <v>High Balance</v>
      </c>
      <c r="P1046" t="str">
        <f t="shared" si="67"/>
        <v>Mid-term</v>
      </c>
    </row>
    <row r="1047" spans="1:16" x14ac:dyDescent="0.25">
      <c r="A1047">
        <v>2025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  <c r="M1047" t="str">
        <f t="shared" si="64"/>
        <v>30-45</v>
      </c>
      <c r="N1047" t="str">
        <f t="shared" si="65"/>
        <v>Medium</v>
      </c>
      <c r="O1047" t="str">
        <f t="shared" si="66"/>
        <v>High Balance</v>
      </c>
      <c r="P1047" t="str">
        <f t="shared" si="67"/>
        <v>Mid-term</v>
      </c>
    </row>
    <row r="1048" spans="1:16" x14ac:dyDescent="0.25">
      <c r="A1048">
        <v>2025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  <c r="M1048" t="str">
        <f t="shared" si="64"/>
        <v>30-45</v>
      </c>
      <c r="N1048" t="str">
        <f t="shared" si="65"/>
        <v>High</v>
      </c>
      <c r="O1048" t="str">
        <f t="shared" si="66"/>
        <v>Zero Balance</v>
      </c>
      <c r="P1048" t="str">
        <f t="shared" si="67"/>
        <v>New</v>
      </c>
    </row>
    <row r="1049" spans="1:16" x14ac:dyDescent="0.25">
      <c r="A1049">
        <v>2025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  <c r="M1049" t="str">
        <f t="shared" si="64"/>
        <v>46-60</v>
      </c>
      <c r="N1049" t="str">
        <f t="shared" si="65"/>
        <v>High</v>
      </c>
      <c r="O1049" t="str">
        <f t="shared" si="66"/>
        <v>Zero Balance</v>
      </c>
      <c r="P1049" t="str">
        <f t="shared" si="67"/>
        <v>Mid-term</v>
      </c>
    </row>
    <row r="1050" spans="1:16" x14ac:dyDescent="0.25">
      <c r="A1050">
        <v>2025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  <c r="M1050" t="str">
        <f t="shared" si="64"/>
        <v>&lt;30</v>
      </c>
      <c r="N1050" t="str">
        <f t="shared" si="65"/>
        <v>High</v>
      </c>
      <c r="O1050" t="str">
        <f t="shared" si="66"/>
        <v>Low Balance</v>
      </c>
      <c r="P1050" t="str">
        <f t="shared" si="67"/>
        <v>Mid-term</v>
      </c>
    </row>
    <row r="1051" spans="1:16" x14ac:dyDescent="0.25">
      <c r="A1051">
        <v>2025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  <c r="M1051" t="str">
        <f t="shared" si="64"/>
        <v>30-45</v>
      </c>
      <c r="N1051" t="str">
        <f t="shared" si="65"/>
        <v>Medium</v>
      </c>
      <c r="O1051" t="str">
        <f t="shared" si="66"/>
        <v>High Balance</v>
      </c>
      <c r="P1051" t="str">
        <f t="shared" si="67"/>
        <v>New</v>
      </c>
    </row>
    <row r="1052" spans="1:16" x14ac:dyDescent="0.25">
      <c r="A1052">
        <v>2025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  <c r="M1052" t="str">
        <f t="shared" si="64"/>
        <v>30-45</v>
      </c>
      <c r="N1052" t="str">
        <f t="shared" si="65"/>
        <v>Medium</v>
      </c>
      <c r="O1052" t="str">
        <f t="shared" si="66"/>
        <v>Zero Balance</v>
      </c>
      <c r="P1052" t="str">
        <f t="shared" si="67"/>
        <v>Mid-term</v>
      </c>
    </row>
    <row r="1053" spans="1:16" x14ac:dyDescent="0.25">
      <c r="A1053">
        <v>2025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  <c r="M1053" t="str">
        <f t="shared" si="64"/>
        <v>46-60</v>
      </c>
      <c r="N1053" t="str">
        <f t="shared" si="65"/>
        <v>Medium</v>
      </c>
      <c r="O1053" t="str">
        <f t="shared" si="66"/>
        <v>Low Balance</v>
      </c>
      <c r="P1053" t="str">
        <f t="shared" si="67"/>
        <v>New</v>
      </c>
    </row>
    <row r="1054" spans="1:16" x14ac:dyDescent="0.25">
      <c r="A1054">
        <v>2025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  <c r="M1054" t="str">
        <f t="shared" si="64"/>
        <v>30-45</v>
      </c>
      <c r="N1054" t="str">
        <f t="shared" si="65"/>
        <v>Medium</v>
      </c>
      <c r="O1054" t="str">
        <f t="shared" si="66"/>
        <v>Low Balance</v>
      </c>
      <c r="P1054" t="str">
        <f t="shared" si="67"/>
        <v>New</v>
      </c>
    </row>
    <row r="1055" spans="1:16" x14ac:dyDescent="0.25">
      <c r="A1055">
        <v>2025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  <c r="M1055" t="str">
        <f t="shared" si="64"/>
        <v>46-60</v>
      </c>
      <c r="N1055" t="str">
        <f t="shared" si="65"/>
        <v>Medium</v>
      </c>
      <c r="O1055" t="str">
        <f t="shared" si="66"/>
        <v>Low Balance</v>
      </c>
      <c r="P1055" t="str">
        <f t="shared" si="67"/>
        <v>Mid-term</v>
      </c>
    </row>
    <row r="1056" spans="1:16" x14ac:dyDescent="0.25">
      <c r="A1056">
        <v>2025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  <c r="M1056" t="str">
        <f t="shared" si="64"/>
        <v>&lt;30</v>
      </c>
      <c r="N1056" t="str">
        <f t="shared" si="65"/>
        <v>Medium</v>
      </c>
      <c r="O1056" t="str">
        <f t="shared" si="66"/>
        <v>High Balance</v>
      </c>
      <c r="P1056" t="str">
        <f t="shared" si="67"/>
        <v>Mid-term</v>
      </c>
    </row>
    <row r="1057" spans="1:16" x14ac:dyDescent="0.25">
      <c r="A1057">
        <v>2025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  <c r="M1057" t="str">
        <f t="shared" si="64"/>
        <v>60+</v>
      </c>
      <c r="N1057" t="str">
        <f t="shared" si="65"/>
        <v>Medium</v>
      </c>
      <c r="O1057" t="str">
        <f t="shared" si="66"/>
        <v>Zero Balance</v>
      </c>
      <c r="P1057" t="str">
        <f t="shared" si="67"/>
        <v>New</v>
      </c>
    </row>
    <row r="1058" spans="1:16" x14ac:dyDescent="0.25">
      <c r="A1058">
        <v>2025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  <c r="M1058" t="str">
        <f t="shared" si="64"/>
        <v>30-45</v>
      </c>
      <c r="N1058" t="str">
        <f t="shared" si="65"/>
        <v>Medium</v>
      </c>
      <c r="O1058" t="str">
        <f t="shared" si="66"/>
        <v>Zero Balance</v>
      </c>
      <c r="P1058" t="str">
        <f t="shared" si="67"/>
        <v>New</v>
      </c>
    </row>
    <row r="1059" spans="1:16" x14ac:dyDescent="0.25">
      <c r="A1059">
        <v>2025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  <c r="M1059" t="str">
        <f t="shared" si="64"/>
        <v>46-60</v>
      </c>
      <c r="N1059" t="str">
        <f t="shared" si="65"/>
        <v>Medium</v>
      </c>
      <c r="O1059" t="str">
        <f t="shared" si="66"/>
        <v>High Balance</v>
      </c>
      <c r="P1059" t="str">
        <f t="shared" si="67"/>
        <v>New</v>
      </c>
    </row>
    <row r="1060" spans="1:16" x14ac:dyDescent="0.25">
      <c r="A1060">
        <v>2025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  <c r="M1060" t="str">
        <f t="shared" si="64"/>
        <v>30-45</v>
      </c>
      <c r="N1060" t="str">
        <f t="shared" si="65"/>
        <v>Medium</v>
      </c>
      <c r="O1060" t="str">
        <f t="shared" si="66"/>
        <v>Low Balance</v>
      </c>
      <c r="P1060" t="str">
        <f t="shared" si="67"/>
        <v>Long-term</v>
      </c>
    </row>
    <row r="1061" spans="1:16" x14ac:dyDescent="0.25">
      <c r="A1061">
        <v>2025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  <c r="M1061" t="str">
        <f t="shared" si="64"/>
        <v>30-45</v>
      </c>
      <c r="N1061" t="str">
        <f t="shared" si="65"/>
        <v>High</v>
      </c>
      <c r="O1061" t="str">
        <f t="shared" si="66"/>
        <v>Low Balance</v>
      </c>
      <c r="P1061" t="str">
        <f t="shared" si="67"/>
        <v>Mid-term</v>
      </c>
    </row>
    <row r="1062" spans="1:16" x14ac:dyDescent="0.25">
      <c r="A1062">
        <v>2025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  <c r="M1062" t="str">
        <f t="shared" si="64"/>
        <v>46-60</v>
      </c>
      <c r="N1062" t="str">
        <f t="shared" si="65"/>
        <v>Low</v>
      </c>
      <c r="O1062" t="str">
        <f t="shared" si="66"/>
        <v>High Balance</v>
      </c>
      <c r="P1062" t="str">
        <f t="shared" si="67"/>
        <v>Long-term</v>
      </c>
    </row>
    <row r="1063" spans="1:16" x14ac:dyDescent="0.25">
      <c r="A1063">
        <v>2025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  <c r="M1063" t="str">
        <f t="shared" si="64"/>
        <v>30-45</v>
      </c>
      <c r="N1063" t="str">
        <f t="shared" si="65"/>
        <v>High</v>
      </c>
      <c r="O1063" t="str">
        <f t="shared" si="66"/>
        <v>Zero Balance</v>
      </c>
      <c r="P1063" t="str">
        <f t="shared" si="67"/>
        <v>Mid-term</v>
      </c>
    </row>
    <row r="1064" spans="1:16" x14ac:dyDescent="0.25">
      <c r="A1064">
        <v>2025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  <c r="M1064" t="str">
        <f t="shared" si="64"/>
        <v>30-45</v>
      </c>
      <c r="N1064" t="str">
        <f t="shared" si="65"/>
        <v>Medium</v>
      </c>
      <c r="O1064" t="str">
        <f t="shared" si="66"/>
        <v>Low Balance</v>
      </c>
      <c r="P1064" t="str">
        <f t="shared" si="67"/>
        <v>Long-term</v>
      </c>
    </row>
    <row r="1065" spans="1:16" x14ac:dyDescent="0.25">
      <c r="A1065">
        <v>2025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  <c r="M1065" t="str">
        <f t="shared" si="64"/>
        <v>30-45</v>
      </c>
      <c r="N1065" t="str">
        <f t="shared" si="65"/>
        <v>High</v>
      </c>
      <c r="O1065" t="str">
        <f t="shared" si="66"/>
        <v>High Balance</v>
      </c>
      <c r="P1065" t="str">
        <f t="shared" si="67"/>
        <v>Mid-term</v>
      </c>
    </row>
    <row r="1066" spans="1:16" x14ac:dyDescent="0.25">
      <c r="A1066">
        <v>2025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  <c r="M1066" t="str">
        <f t="shared" si="64"/>
        <v>&lt;30</v>
      </c>
      <c r="N1066" t="str">
        <f t="shared" si="65"/>
        <v>High</v>
      </c>
      <c r="O1066" t="str">
        <f t="shared" si="66"/>
        <v>Zero Balance</v>
      </c>
      <c r="P1066" t="str">
        <f t="shared" si="67"/>
        <v>Mid-term</v>
      </c>
    </row>
    <row r="1067" spans="1:16" x14ac:dyDescent="0.25">
      <c r="A1067">
        <v>2025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  <c r="M1067" t="str">
        <f t="shared" si="64"/>
        <v>30-45</v>
      </c>
      <c r="N1067" t="str">
        <f t="shared" si="65"/>
        <v>Medium</v>
      </c>
      <c r="O1067" t="str">
        <f t="shared" si="66"/>
        <v>High Balance</v>
      </c>
      <c r="P1067" t="str">
        <f t="shared" si="67"/>
        <v>Mid-term</v>
      </c>
    </row>
    <row r="1068" spans="1:16" x14ac:dyDescent="0.25">
      <c r="A1068">
        <v>2025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  <c r="M1068" t="str">
        <f t="shared" si="64"/>
        <v>46-60</v>
      </c>
      <c r="N1068" t="str">
        <f t="shared" si="65"/>
        <v>High</v>
      </c>
      <c r="O1068" t="str">
        <f t="shared" si="66"/>
        <v>Zero Balance</v>
      </c>
      <c r="P1068" t="str">
        <f t="shared" si="67"/>
        <v>Long-term</v>
      </c>
    </row>
    <row r="1069" spans="1:16" x14ac:dyDescent="0.25">
      <c r="A1069">
        <v>2025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  <c r="M1069" t="str">
        <f t="shared" si="64"/>
        <v>&lt;30</v>
      </c>
      <c r="N1069" t="str">
        <f t="shared" si="65"/>
        <v>Medium</v>
      </c>
      <c r="O1069" t="str">
        <f t="shared" si="66"/>
        <v>High Balance</v>
      </c>
      <c r="P1069" t="str">
        <f t="shared" si="67"/>
        <v>Mid-term</v>
      </c>
    </row>
    <row r="1070" spans="1:16" x14ac:dyDescent="0.25">
      <c r="A1070">
        <v>2025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  <c r="M1070" t="str">
        <f t="shared" si="64"/>
        <v>46-60</v>
      </c>
      <c r="N1070" t="str">
        <f t="shared" si="65"/>
        <v>Medium</v>
      </c>
      <c r="O1070" t="str">
        <f t="shared" si="66"/>
        <v>Zero Balance</v>
      </c>
      <c r="P1070" t="str">
        <f t="shared" si="67"/>
        <v>Mid-term</v>
      </c>
    </row>
    <row r="1071" spans="1:16" x14ac:dyDescent="0.25">
      <c r="A1071">
        <v>2025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  <c r="M1071" t="str">
        <f t="shared" si="64"/>
        <v>30-45</v>
      </c>
      <c r="N1071" t="str">
        <f t="shared" si="65"/>
        <v>High</v>
      </c>
      <c r="O1071" t="str">
        <f t="shared" si="66"/>
        <v>High Balance</v>
      </c>
      <c r="P1071" t="str">
        <f t="shared" si="67"/>
        <v>Mid-term</v>
      </c>
    </row>
    <row r="1072" spans="1:16" x14ac:dyDescent="0.25">
      <c r="A1072">
        <v>2025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  <c r="M1072" t="str">
        <f t="shared" si="64"/>
        <v>46-60</v>
      </c>
      <c r="N1072" t="str">
        <f t="shared" si="65"/>
        <v>Medium</v>
      </c>
      <c r="O1072" t="str">
        <f t="shared" si="66"/>
        <v>High Balance</v>
      </c>
      <c r="P1072" t="str">
        <f t="shared" si="67"/>
        <v>Mid-term</v>
      </c>
    </row>
    <row r="1073" spans="1:16" x14ac:dyDescent="0.25">
      <c r="A1073">
        <v>2025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  <c r="M1073" t="str">
        <f t="shared" si="64"/>
        <v>46-60</v>
      </c>
      <c r="N1073" t="str">
        <f t="shared" si="65"/>
        <v>Medium</v>
      </c>
      <c r="O1073" t="str">
        <f t="shared" si="66"/>
        <v>High Balance</v>
      </c>
      <c r="P1073" t="str">
        <f t="shared" si="67"/>
        <v>Long-term</v>
      </c>
    </row>
    <row r="1074" spans="1:16" x14ac:dyDescent="0.25">
      <c r="A1074">
        <v>2025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  <c r="M1074" t="str">
        <f t="shared" si="64"/>
        <v>&lt;30</v>
      </c>
      <c r="N1074" t="str">
        <f t="shared" si="65"/>
        <v>Medium</v>
      </c>
      <c r="O1074" t="str">
        <f t="shared" si="66"/>
        <v>Zero Balance</v>
      </c>
      <c r="P1074" t="str">
        <f t="shared" si="67"/>
        <v>Mid-term</v>
      </c>
    </row>
    <row r="1075" spans="1:16" x14ac:dyDescent="0.25">
      <c r="A1075">
        <v>2025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  <c r="M1075" t="str">
        <f t="shared" si="64"/>
        <v>30-45</v>
      </c>
      <c r="N1075" t="str">
        <f t="shared" si="65"/>
        <v>Medium</v>
      </c>
      <c r="O1075" t="str">
        <f t="shared" si="66"/>
        <v>Zero Balance</v>
      </c>
      <c r="P1075" t="str">
        <f t="shared" si="67"/>
        <v>Mid-term</v>
      </c>
    </row>
    <row r="1076" spans="1:16" x14ac:dyDescent="0.25">
      <c r="A1076">
        <v>2025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  <c r="M1076" t="str">
        <f t="shared" si="64"/>
        <v>30-45</v>
      </c>
      <c r="N1076" t="str">
        <f t="shared" si="65"/>
        <v>Medium</v>
      </c>
      <c r="O1076" t="str">
        <f t="shared" si="66"/>
        <v>High Balance</v>
      </c>
      <c r="P1076" t="str">
        <f t="shared" si="67"/>
        <v>Mid-term</v>
      </c>
    </row>
    <row r="1077" spans="1:16" x14ac:dyDescent="0.25">
      <c r="A1077">
        <v>2025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  <c r="M1077" t="str">
        <f t="shared" si="64"/>
        <v>30-45</v>
      </c>
      <c r="N1077" t="str">
        <f t="shared" si="65"/>
        <v>High</v>
      </c>
      <c r="O1077" t="str">
        <f t="shared" si="66"/>
        <v>High Balance</v>
      </c>
      <c r="P1077" t="str">
        <f t="shared" si="67"/>
        <v>Mid-term</v>
      </c>
    </row>
    <row r="1078" spans="1:16" x14ac:dyDescent="0.25">
      <c r="A1078">
        <v>2025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  <c r="M1078" t="str">
        <f t="shared" si="64"/>
        <v>30-45</v>
      </c>
      <c r="N1078" t="str">
        <f t="shared" si="65"/>
        <v>High</v>
      </c>
      <c r="O1078" t="str">
        <f t="shared" si="66"/>
        <v>Zero Balance</v>
      </c>
      <c r="P1078" t="str">
        <f t="shared" si="67"/>
        <v>Long-term</v>
      </c>
    </row>
    <row r="1079" spans="1:16" x14ac:dyDescent="0.25">
      <c r="A1079">
        <v>2025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  <c r="M1079" t="str">
        <f t="shared" si="64"/>
        <v>&lt;30</v>
      </c>
      <c r="N1079" t="str">
        <f t="shared" si="65"/>
        <v>Medium</v>
      </c>
      <c r="O1079" t="str">
        <f t="shared" si="66"/>
        <v>High Balance</v>
      </c>
      <c r="P1079" t="str">
        <f t="shared" si="67"/>
        <v>New</v>
      </c>
    </row>
    <row r="1080" spans="1:16" x14ac:dyDescent="0.25">
      <c r="A1080">
        <v>2025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  <c r="M1080" t="str">
        <f t="shared" si="64"/>
        <v>30-45</v>
      </c>
      <c r="N1080" t="str">
        <f t="shared" si="65"/>
        <v>Medium</v>
      </c>
      <c r="O1080" t="str">
        <f t="shared" si="66"/>
        <v>High Balance</v>
      </c>
      <c r="P1080" t="str">
        <f t="shared" si="67"/>
        <v>Long-term</v>
      </c>
    </row>
    <row r="1081" spans="1:16" x14ac:dyDescent="0.25">
      <c r="A1081">
        <v>2025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  <c r="M1081" t="str">
        <f t="shared" si="64"/>
        <v>30-45</v>
      </c>
      <c r="N1081" t="str">
        <f t="shared" si="65"/>
        <v>Medium</v>
      </c>
      <c r="O1081" t="str">
        <f t="shared" si="66"/>
        <v>High Balance</v>
      </c>
      <c r="P1081" t="str">
        <f t="shared" si="67"/>
        <v>Long-term</v>
      </c>
    </row>
    <row r="1082" spans="1:16" x14ac:dyDescent="0.25">
      <c r="A1082">
        <v>2025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  <c r="M1082" t="str">
        <f t="shared" si="64"/>
        <v>30-45</v>
      </c>
      <c r="N1082" t="str">
        <f t="shared" si="65"/>
        <v>High</v>
      </c>
      <c r="O1082" t="str">
        <f t="shared" si="66"/>
        <v>High Balance</v>
      </c>
      <c r="P1082" t="str">
        <f t="shared" si="67"/>
        <v>Mid-term</v>
      </c>
    </row>
    <row r="1083" spans="1:16" x14ac:dyDescent="0.25">
      <c r="A1083">
        <v>2025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  <c r="M1083" t="str">
        <f t="shared" si="64"/>
        <v>30-45</v>
      </c>
      <c r="N1083" t="str">
        <f t="shared" si="65"/>
        <v>Low</v>
      </c>
      <c r="O1083" t="str">
        <f t="shared" si="66"/>
        <v>Zero Balance</v>
      </c>
      <c r="P1083" t="str">
        <f t="shared" si="67"/>
        <v>Long-term</v>
      </c>
    </row>
    <row r="1084" spans="1:16" x14ac:dyDescent="0.25">
      <c r="A1084">
        <v>2025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  <c r="M1084" t="str">
        <f t="shared" si="64"/>
        <v>30-45</v>
      </c>
      <c r="N1084" t="str">
        <f t="shared" si="65"/>
        <v>Medium</v>
      </c>
      <c r="O1084" t="str">
        <f t="shared" si="66"/>
        <v>Low Balance</v>
      </c>
      <c r="P1084" t="str">
        <f t="shared" si="67"/>
        <v>New</v>
      </c>
    </row>
    <row r="1085" spans="1:16" x14ac:dyDescent="0.25">
      <c r="A1085">
        <v>2025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  <c r="M1085" t="str">
        <f t="shared" si="64"/>
        <v>30-45</v>
      </c>
      <c r="N1085" t="str">
        <f t="shared" si="65"/>
        <v>Medium</v>
      </c>
      <c r="O1085" t="str">
        <f t="shared" si="66"/>
        <v>Zero Balance</v>
      </c>
      <c r="P1085" t="str">
        <f t="shared" si="67"/>
        <v>Mid-term</v>
      </c>
    </row>
    <row r="1086" spans="1:16" x14ac:dyDescent="0.25">
      <c r="A1086">
        <v>2025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  <c r="M1086" t="str">
        <f t="shared" si="64"/>
        <v>&lt;30</v>
      </c>
      <c r="N1086" t="str">
        <f t="shared" si="65"/>
        <v>High</v>
      </c>
      <c r="O1086" t="str">
        <f t="shared" si="66"/>
        <v>Zero Balance</v>
      </c>
      <c r="P1086" t="str">
        <f t="shared" si="67"/>
        <v>Long-term</v>
      </c>
    </row>
    <row r="1087" spans="1:16" x14ac:dyDescent="0.25">
      <c r="A1087">
        <v>2025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  <c r="M1087" t="str">
        <f t="shared" si="64"/>
        <v>30-45</v>
      </c>
      <c r="N1087" t="str">
        <f t="shared" si="65"/>
        <v>High</v>
      </c>
      <c r="O1087" t="str">
        <f t="shared" si="66"/>
        <v>Zero Balance</v>
      </c>
      <c r="P1087" t="str">
        <f t="shared" si="67"/>
        <v>Mid-term</v>
      </c>
    </row>
    <row r="1088" spans="1:16" x14ac:dyDescent="0.25">
      <c r="A1088">
        <v>2025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  <c r="M1088" t="str">
        <f t="shared" si="64"/>
        <v>30-45</v>
      </c>
      <c r="N1088" t="str">
        <f t="shared" si="65"/>
        <v>High</v>
      </c>
      <c r="O1088" t="str">
        <f t="shared" si="66"/>
        <v>High Balance</v>
      </c>
      <c r="P1088" t="str">
        <f t="shared" si="67"/>
        <v>New</v>
      </c>
    </row>
    <row r="1089" spans="1:16" x14ac:dyDescent="0.25">
      <c r="A1089">
        <v>2025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  <c r="M1089" t="str">
        <f t="shared" si="64"/>
        <v>30-45</v>
      </c>
      <c r="N1089" t="str">
        <f t="shared" si="65"/>
        <v>Low</v>
      </c>
      <c r="O1089" t="str">
        <f t="shared" si="66"/>
        <v>Zero Balance</v>
      </c>
      <c r="P1089" t="str">
        <f t="shared" si="67"/>
        <v>Long-term</v>
      </c>
    </row>
    <row r="1090" spans="1:16" x14ac:dyDescent="0.25">
      <c r="A1090">
        <v>2025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  <c r="M1090" t="str">
        <f t="shared" si="64"/>
        <v>&lt;30</v>
      </c>
      <c r="N1090" t="str">
        <f t="shared" si="65"/>
        <v>High</v>
      </c>
      <c r="O1090" t="str">
        <f t="shared" si="66"/>
        <v>Zero Balance</v>
      </c>
      <c r="P1090" t="str">
        <f t="shared" si="67"/>
        <v>New</v>
      </c>
    </row>
    <row r="1091" spans="1:16" x14ac:dyDescent="0.25">
      <c r="A1091">
        <v>2025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  <c r="M1091" t="str">
        <f t="shared" ref="M1091:M1154" si="68">IF(E1091&lt;30,"&lt;30",IF(E1091&lt;=45,"30-45",IF(E1091&lt;=60,"46-60","60+")))</f>
        <v>46-60</v>
      </c>
      <c r="N1091" t="str">
        <f t="shared" ref="N1091:N1154" si="69">IF(B1091&lt;500,"Low",IF(B1091&lt;700,"Medium","High"))</f>
        <v>Medium</v>
      </c>
      <c r="O1091" t="str">
        <f t="shared" ref="O1091:O1154" si="70">IF(G1091=0,"Zero Balance",IF(G1091&lt;100000,"Low Balance","High Balance"))</f>
        <v>High Balance</v>
      </c>
      <c r="P1091" t="str">
        <f t="shared" ref="P1091:P1154" si="71">IF(F1091&lt;=3,"New",IF(F1091&lt;=7,"Mid-term","Long-term"))</f>
        <v>New</v>
      </c>
    </row>
    <row r="1092" spans="1:16" x14ac:dyDescent="0.25">
      <c r="A1092">
        <v>2025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  <c r="M1092" t="str">
        <f t="shared" si="68"/>
        <v>30-45</v>
      </c>
      <c r="N1092" t="str">
        <f t="shared" si="69"/>
        <v>Medium</v>
      </c>
      <c r="O1092" t="str">
        <f t="shared" si="70"/>
        <v>Low Balance</v>
      </c>
      <c r="P1092" t="str">
        <f t="shared" si="71"/>
        <v>Mid-term</v>
      </c>
    </row>
    <row r="1093" spans="1:16" x14ac:dyDescent="0.25">
      <c r="A1093">
        <v>2025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  <c r="M1093" t="str">
        <f t="shared" si="68"/>
        <v>30-45</v>
      </c>
      <c r="N1093" t="str">
        <f t="shared" si="69"/>
        <v>High</v>
      </c>
      <c r="O1093" t="str">
        <f t="shared" si="70"/>
        <v>High Balance</v>
      </c>
      <c r="P1093" t="str">
        <f t="shared" si="71"/>
        <v>Mid-term</v>
      </c>
    </row>
    <row r="1094" spans="1:16" x14ac:dyDescent="0.25">
      <c r="A1094">
        <v>2025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  <c r="M1094" t="str">
        <f t="shared" si="68"/>
        <v>30-45</v>
      </c>
      <c r="N1094" t="str">
        <f t="shared" si="69"/>
        <v>High</v>
      </c>
      <c r="O1094" t="str">
        <f t="shared" si="70"/>
        <v>Low Balance</v>
      </c>
      <c r="P1094" t="str">
        <f t="shared" si="71"/>
        <v>Mid-term</v>
      </c>
    </row>
    <row r="1095" spans="1:16" x14ac:dyDescent="0.25">
      <c r="A1095">
        <v>2025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  <c r="M1095" t="str">
        <f t="shared" si="68"/>
        <v>30-45</v>
      </c>
      <c r="N1095" t="str">
        <f t="shared" si="69"/>
        <v>Medium</v>
      </c>
      <c r="O1095" t="str">
        <f t="shared" si="70"/>
        <v>Zero Balance</v>
      </c>
      <c r="P1095" t="str">
        <f t="shared" si="71"/>
        <v>Mid-term</v>
      </c>
    </row>
    <row r="1096" spans="1:16" x14ac:dyDescent="0.25">
      <c r="A1096">
        <v>2025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  <c r="M1096" t="str">
        <f t="shared" si="68"/>
        <v>30-45</v>
      </c>
      <c r="N1096" t="str">
        <f t="shared" si="69"/>
        <v>High</v>
      </c>
      <c r="O1096" t="str">
        <f t="shared" si="70"/>
        <v>Zero Balance</v>
      </c>
      <c r="P1096" t="str">
        <f t="shared" si="71"/>
        <v>New</v>
      </c>
    </row>
    <row r="1097" spans="1:16" x14ac:dyDescent="0.25">
      <c r="A1097">
        <v>2025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  <c r="M1097" t="str">
        <f t="shared" si="68"/>
        <v>&lt;30</v>
      </c>
      <c r="N1097" t="str">
        <f t="shared" si="69"/>
        <v>Medium</v>
      </c>
      <c r="O1097" t="str">
        <f t="shared" si="70"/>
        <v>Zero Balance</v>
      </c>
      <c r="P1097" t="str">
        <f t="shared" si="71"/>
        <v>Mid-term</v>
      </c>
    </row>
    <row r="1098" spans="1:16" x14ac:dyDescent="0.25">
      <c r="A1098">
        <v>2025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  <c r="M1098" t="str">
        <f t="shared" si="68"/>
        <v>30-45</v>
      </c>
      <c r="N1098" t="str">
        <f t="shared" si="69"/>
        <v>High</v>
      </c>
      <c r="O1098" t="str">
        <f t="shared" si="70"/>
        <v>High Balance</v>
      </c>
      <c r="P1098" t="str">
        <f t="shared" si="71"/>
        <v>New</v>
      </c>
    </row>
    <row r="1099" spans="1:16" x14ac:dyDescent="0.25">
      <c r="A1099">
        <v>2025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  <c r="M1099" t="str">
        <f t="shared" si="68"/>
        <v>30-45</v>
      </c>
      <c r="N1099" t="str">
        <f t="shared" si="69"/>
        <v>Medium</v>
      </c>
      <c r="O1099" t="str">
        <f t="shared" si="70"/>
        <v>Zero Balance</v>
      </c>
      <c r="P1099" t="str">
        <f t="shared" si="71"/>
        <v>Mid-term</v>
      </c>
    </row>
    <row r="1100" spans="1:16" x14ac:dyDescent="0.25">
      <c r="A1100">
        <v>2025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  <c r="M1100" t="str">
        <f t="shared" si="68"/>
        <v>&lt;30</v>
      </c>
      <c r="N1100" t="str">
        <f t="shared" si="69"/>
        <v>High</v>
      </c>
      <c r="O1100" t="str">
        <f t="shared" si="70"/>
        <v>High Balance</v>
      </c>
      <c r="P1100" t="str">
        <f t="shared" si="71"/>
        <v>Mid-term</v>
      </c>
    </row>
    <row r="1101" spans="1:16" x14ac:dyDescent="0.25">
      <c r="A1101">
        <v>2025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  <c r="M1101" t="str">
        <f t="shared" si="68"/>
        <v>30-45</v>
      </c>
      <c r="N1101" t="str">
        <f t="shared" si="69"/>
        <v>Low</v>
      </c>
      <c r="O1101" t="str">
        <f t="shared" si="70"/>
        <v>Zero Balance</v>
      </c>
      <c r="P1101" t="str">
        <f t="shared" si="71"/>
        <v>Mid-term</v>
      </c>
    </row>
    <row r="1102" spans="1:16" x14ac:dyDescent="0.25">
      <c r="A1102">
        <v>2025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  <c r="M1102" t="str">
        <f t="shared" si="68"/>
        <v>30-45</v>
      </c>
      <c r="N1102" t="str">
        <f t="shared" si="69"/>
        <v>High</v>
      </c>
      <c r="O1102" t="str">
        <f t="shared" si="70"/>
        <v>High Balance</v>
      </c>
      <c r="P1102" t="str">
        <f t="shared" si="71"/>
        <v>New</v>
      </c>
    </row>
    <row r="1103" spans="1:16" x14ac:dyDescent="0.25">
      <c r="A1103">
        <v>2025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  <c r="M1103" t="str">
        <f t="shared" si="68"/>
        <v>&lt;30</v>
      </c>
      <c r="N1103" t="str">
        <f t="shared" si="69"/>
        <v>High</v>
      </c>
      <c r="O1103" t="str">
        <f t="shared" si="70"/>
        <v>Zero Balance</v>
      </c>
      <c r="P1103" t="str">
        <f t="shared" si="71"/>
        <v>Long-term</v>
      </c>
    </row>
    <row r="1104" spans="1:16" x14ac:dyDescent="0.25">
      <c r="A1104">
        <v>2025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  <c r="M1104" t="str">
        <f t="shared" si="68"/>
        <v>30-45</v>
      </c>
      <c r="N1104" t="str">
        <f t="shared" si="69"/>
        <v>Low</v>
      </c>
      <c r="O1104" t="str">
        <f t="shared" si="70"/>
        <v>Zero Balance</v>
      </c>
      <c r="P1104" t="str">
        <f t="shared" si="71"/>
        <v>Mid-term</v>
      </c>
    </row>
    <row r="1105" spans="1:16" x14ac:dyDescent="0.25">
      <c r="A1105">
        <v>2025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  <c r="M1105" t="str">
        <f t="shared" si="68"/>
        <v>30-45</v>
      </c>
      <c r="N1105" t="str">
        <f t="shared" si="69"/>
        <v>Medium</v>
      </c>
      <c r="O1105" t="str">
        <f t="shared" si="70"/>
        <v>High Balance</v>
      </c>
      <c r="P1105" t="str">
        <f t="shared" si="71"/>
        <v>New</v>
      </c>
    </row>
    <row r="1106" spans="1:16" x14ac:dyDescent="0.25">
      <c r="A1106">
        <v>2025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  <c r="M1106" t="str">
        <f t="shared" si="68"/>
        <v>&lt;30</v>
      </c>
      <c r="N1106" t="str">
        <f t="shared" si="69"/>
        <v>Medium</v>
      </c>
      <c r="O1106" t="str">
        <f t="shared" si="70"/>
        <v>Zero Balance</v>
      </c>
      <c r="P1106" t="str">
        <f t="shared" si="71"/>
        <v>Mid-term</v>
      </c>
    </row>
    <row r="1107" spans="1:16" x14ac:dyDescent="0.25">
      <c r="A1107">
        <v>2025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  <c r="M1107" t="str">
        <f t="shared" si="68"/>
        <v>46-60</v>
      </c>
      <c r="N1107" t="str">
        <f t="shared" si="69"/>
        <v>Medium</v>
      </c>
      <c r="O1107" t="str">
        <f t="shared" si="70"/>
        <v>High Balance</v>
      </c>
      <c r="P1107" t="str">
        <f t="shared" si="71"/>
        <v>New</v>
      </c>
    </row>
    <row r="1108" spans="1:16" x14ac:dyDescent="0.25">
      <c r="A1108">
        <v>2025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  <c r="M1108" t="str">
        <f t="shared" si="68"/>
        <v>30-45</v>
      </c>
      <c r="N1108" t="str">
        <f t="shared" si="69"/>
        <v>Medium</v>
      </c>
      <c r="O1108" t="str">
        <f t="shared" si="70"/>
        <v>Zero Balance</v>
      </c>
      <c r="P1108" t="str">
        <f t="shared" si="71"/>
        <v>New</v>
      </c>
    </row>
    <row r="1109" spans="1:16" x14ac:dyDescent="0.25">
      <c r="A1109">
        <v>2025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  <c r="M1109" t="str">
        <f t="shared" si="68"/>
        <v>30-45</v>
      </c>
      <c r="N1109" t="str">
        <f t="shared" si="69"/>
        <v>Low</v>
      </c>
      <c r="O1109" t="str">
        <f t="shared" si="70"/>
        <v>High Balance</v>
      </c>
      <c r="P1109" t="str">
        <f t="shared" si="71"/>
        <v>New</v>
      </c>
    </row>
    <row r="1110" spans="1:16" x14ac:dyDescent="0.25">
      <c r="A1110">
        <v>2025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  <c r="M1110" t="str">
        <f t="shared" si="68"/>
        <v>30-45</v>
      </c>
      <c r="N1110" t="str">
        <f t="shared" si="69"/>
        <v>Medium</v>
      </c>
      <c r="O1110" t="str">
        <f t="shared" si="70"/>
        <v>High Balance</v>
      </c>
      <c r="P1110" t="str">
        <f t="shared" si="71"/>
        <v>Mid-term</v>
      </c>
    </row>
    <row r="1111" spans="1:16" x14ac:dyDescent="0.25">
      <c r="A1111">
        <v>2025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  <c r="M1111" t="str">
        <f t="shared" si="68"/>
        <v>30-45</v>
      </c>
      <c r="N1111" t="str">
        <f t="shared" si="69"/>
        <v>Medium</v>
      </c>
      <c r="O1111" t="str">
        <f t="shared" si="70"/>
        <v>Zero Balance</v>
      </c>
      <c r="P1111" t="str">
        <f t="shared" si="71"/>
        <v>Mid-term</v>
      </c>
    </row>
    <row r="1112" spans="1:16" x14ac:dyDescent="0.25">
      <c r="A1112">
        <v>2025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  <c r="M1112" t="str">
        <f t="shared" si="68"/>
        <v>46-60</v>
      </c>
      <c r="N1112" t="str">
        <f t="shared" si="69"/>
        <v>High</v>
      </c>
      <c r="O1112" t="str">
        <f t="shared" si="70"/>
        <v>High Balance</v>
      </c>
      <c r="P1112" t="str">
        <f t="shared" si="71"/>
        <v>New</v>
      </c>
    </row>
    <row r="1113" spans="1:16" x14ac:dyDescent="0.25">
      <c r="A1113">
        <v>2025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  <c r="M1113" t="str">
        <f t="shared" si="68"/>
        <v>46-60</v>
      </c>
      <c r="N1113" t="str">
        <f t="shared" si="69"/>
        <v>High</v>
      </c>
      <c r="O1113" t="str">
        <f t="shared" si="70"/>
        <v>High Balance</v>
      </c>
      <c r="P1113" t="str">
        <f t="shared" si="71"/>
        <v>New</v>
      </c>
    </row>
    <row r="1114" spans="1:16" x14ac:dyDescent="0.25">
      <c r="A1114">
        <v>2025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  <c r="M1114" t="str">
        <f t="shared" si="68"/>
        <v>30-45</v>
      </c>
      <c r="N1114" t="str">
        <f t="shared" si="69"/>
        <v>Medium</v>
      </c>
      <c r="O1114" t="str">
        <f t="shared" si="70"/>
        <v>Low Balance</v>
      </c>
      <c r="P1114" t="str">
        <f t="shared" si="71"/>
        <v>New</v>
      </c>
    </row>
    <row r="1115" spans="1:16" x14ac:dyDescent="0.25">
      <c r="A1115">
        <v>2025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  <c r="M1115" t="str">
        <f t="shared" si="68"/>
        <v>&lt;30</v>
      </c>
      <c r="N1115" t="str">
        <f t="shared" si="69"/>
        <v>High</v>
      </c>
      <c r="O1115" t="str">
        <f t="shared" si="70"/>
        <v>High Balance</v>
      </c>
      <c r="P1115" t="str">
        <f t="shared" si="71"/>
        <v>Long-term</v>
      </c>
    </row>
    <row r="1116" spans="1:16" x14ac:dyDescent="0.25">
      <c r="A1116">
        <v>2025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  <c r="M1116" t="str">
        <f t="shared" si="68"/>
        <v>60+</v>
      </c>
      <c r="N1116" t="str">
        <f t="shared" si="69"/>
        <v>Medium</v>
      </c>
      <c r="O1116" t="str">
        <f t="shared" si="70"/>
        <v>High Balance</v>
      </c>
      <c r="P1116" t="str">
        <f t="shared" si="71"/>
        <v>Long-term</v>
      </c>
    </row>
    <row r="1117" spans="1:16" x14ac:dyDescent="0.25">
      <c r="A1117">
        <v>2025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  <c r="M1117" t="str">
        <f t="shared" si="68"/>
        <v>46-60</v>
      </c>
      <c r="N1117" t="str">
        <f t="shared" si="69"/>
        <v>Low</v>
      </c>
      <c r="O1117" t="str">
        <f t="shared" si="70"/>
        <v>Low Balance</v>
      </c>
      <c r="P1117" t="str">
        <f t="shared" si="71"/>
        <v>Mid-term</v>
      </c>
    </row>
    <row r="1118" spans="1:16" x14ac:dyDescent="0.25">
      <c r="A1118">
        <v>2025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  <c r="M1118" t="str">
        <f t="shared" si="68"/>
        <v>30-45</v>
      </c>
      <c r="N1118" t="str">
        <f t="shared" si="69"/>
        <v>Medium</v>
      </c>
      <c r="O1118" t="str">
        <f t="shared" si="70"/>
        <v>Zero Balance</v>
      </c>
      <c r="P1118" t="str">
        <f t="shared" si="71"/>
        <v>Long-term</v>
      </c>
    </row>
    <row r="1119" spans="1:16" x14ac:dyDescent="0.25">
      <c r="A1119">
        <v>2025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  <c r="M1119" t="str">
        <f t="shared" si="68"/>
        <v>46-60</v>
      </c>
      <c r="N1119" t="str">
        <f t="shared" si="69"/>
        <v>High</v>
      </c>
      <c r="O1119" t="str">
        <f t="shared" si="70"/>
        <v>High Balance</v>
      </c>
      <c r="P1119" t="str">
        <f t="shared" si="71"/>
        <v>New</v>
      </c>
    </row>
    <row r="1120" spans="1:16" x14ac:dyDescent="0.25">
      <c r="A1120">
        <v>2025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  <c r="M1120" t="str">
        <f t="shared" si="68"/>
        <v>60+</v>
      </c>
      <c r="N1120" t="str">
        <f t="shared" si="69"/>
        <v>Medium</v>
      </c>
      <c r="O1120" t="str">
        <f t="shared" si="70"/>
        <v>Low Balance</v>
      </c>
      <c r="P1120" t="str">
        <f t="shared" si="71"/>
        <v>Mid-term</v>
      </c>
    </row>
    <row r="1121" spans="1:16" x14ac:dyDescent="0.25">
      <c r="A1121">
        <v>2025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  <c r="M1121" t="str">
        <f t="shared" si="68"/>
        <v>&lt;30</v>
      </c>
      <c r="N1121" t="str">
        <f t="shared" si="69"/>
        <v>High</v>
      </c>
      <c r="O1121" t="str">
        <f t="shared" si="70"/>
        <v>High Balance</v>
      </c>
      <c r="P1121" t="str">
        <f t="shared" si="71"/>
        <v>New</v>
      </c>
    </row>
    <row r="1122" spans="1:16" x14ac:dyDescent="0.25">
      <c r="A1122">
        <v>2025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  <c r="M1122" t="str">
        <f t="shared" si="68"/>
        <v>30-45</v>
      </c>
      <c r="N1122" t="str">
        <f t="shared" si="69"/>
        <v>High</v>
      </c>
      <c r="O1122" t="str">
        <f t="shared" si="70"/>
        <v>Low Balance</v>
      </c>
      <c r="P1122" t="str">
        <f t="shared" si="71"/>
        <v>Mid-term</v>
      </c>
    </row>
    <row r="1123" spans="1:16" x14ac:dyDescent="0.25">
      <c r="A1123">
        <v>2025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  <c r="M1123" t="str">
        <f t="shared" si="68"/>
        <v>&lt;30</v>
      </c>
      <c r="N1123" t="str">
        <f t="shared" si="69"/>
        <v>High</v>
      </c>
      <c r="O1123" t="str">
        <f t="shared" si="70"/>
        <v>Zero Balance</v>
      </c>
      <c r="P1123" t="str">
        <f t="shared" si="71"/>
        <v>Mid-term</v>
      </c>
    </row>
    <row r="1124" spans="1:16" x14ac:dyDescent="0.25">
      <c r="A1124">
        <v>2025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  <c r="M1124" t="str">
        <f t="shared" si="68"/>
        <v>46-60</v>
      </c>
      <c r="N1124" t="str">
        <f t="shared" si="69"/>
        <v>Medium</v>
      </c>
      <c r="O1124" t="str">
        <f t="shared" si="70"/>
        <v>High Balance</v>
      </c>
      <c r="P1124" t="str">
        <f t="shared" si="71"/>
        <v>New</v>
      </c>
    </row>
    <row r="1125" spans="1:16" x14ac:dyDescent="0.25">
      <c r="A1125">
        <v>2025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  <c r="M1125" t="str">
        <f t="shared" si="68"/>
        <v>30-45</v>
      </c>
      <c r="N1125" t="str">
        <f t="shared" si="69"/>
        <v>High</v>
      </c>
      <c r="O1125" t="str">
        <f t="shared" si="70"/>
        <v>High Balance</v>
      </c>
      <c r="P1125" t="str">
        <f t="shared" si="71"/>
        <v>New</v>
      </c>
    </row>
    <row r="1126" spans="1:16" x14ac:dyDescent="0.25">
      <c r="A1126">
        <v>2025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  <c r="M1126" t="str">
        <f t="shared" si="68"/>
        <v>30-45</v>
      </c>
      <c r="N1126" t="str">
        <f t="shared" si="69"/>
        <v>Medium</v>
      </c>
      <c r="O1126" t="str">
        <f t="shared" si="70"/>
        <v>Zero Balance</v>
      </c>
      <c r="P1126" t="str">
        <f t="shared" si="71"/>
        <v>Mid-term</v>
      </c>
    </row>
    <row r="1127" spans="1:16" x14ac:dyDescent="0.25">
      <c r="A1127">
        <v>2025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  <c r="M1127" t="str">
        <f t="shared" si="68"/>
        <v>46-60</v>
      </c>
      <c r="N1127" t="str">
        <f t="shared" si="69"/>
        <v>Medium</v>
      </c>
      <c r="O1127" t="str">
        <f t="shared" si="70"/>
        <v>High Balance</v>
      </c>
      <c r="P1127" t="str">
        <f t="shared" si="71"/>
        <v>New</v>
      </c>
    </row>
    <row r="1128" spans="1:16" x14ac:dyDescent="0.25">
      <c r="A1128">
        <v>2025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  <c r="M1128" t="str">
        <f t="shared" si="68"/>
        <v>30-45</v>
      </c>
      <c r="N1128" t="str">
        <f t="shared" si="69"/>
        <v>Medium</v>
      </c>
      <c r="O1128" t="str">
        <f t="shared" si="70"/>
        <v>High Balance</v>
      </c>
      <c r="P1128" t="str">
        <f t="shared" si="71"/>
        <v>Long-term</v>
      </c>
    </row>
    <row r="1129" spans="1:16" x14ac:dyDescent="0.25">
      <c r="A1129">
        <v>2025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  <c r="M1129" t="str">
        <f t="shared" si="68"/>
        <v>30-45</v>
      </c>
      <c r="N1129" t="str">
        <f t="shared" si="69"/>
        <v>Medium</v>
      </c>
      <c r="O1129" t="str">
        <f t="shared" si="70"/>
        <v>High Balance</v>
      </c>
      <c r="P1129" t="str">
        <f t="shared" si="71"/>
        <v>New</v>
      </c>
    </row>
    <row r="1130" spans="1:16" x14ac:dyDescent="0.25">
      <c r="A1130">
        <v>2025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  <c r="M1130" t="str">
        <f t="shared" si="68"/>
        <v>30-45</v>
      </c>
      <c r="N1130" t="str">
        <f t="shared" si="69"/>
        <v>Medium</v>
      </c>
      <c r="O1130" t="str">
        <f t="shared" si="70"/>
        <v>High Balance</v>
      </c>
      <c r="P1130" t="str">
        <f t="shared" si="71"/>
        <v>New</v>
      </c>
    </row>
    <row r="1131" spans="1:16" x14ac:dyDescent="0.25">
      <c r="A1131">
        <v>2025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  <c r="M1131" t="str">
        <f t="shared" si="68"/>
        <v>30-45</v>
      </c>
      <c r="N1131" t="str">
        <f t="shared" si="69"/>
        <v>Medium</v>
      </c>
      <c r="O1131" t="str">
        <f t="shared" si="70"/>
        <v>Zero Balance</v>
      </c>
      <c r="P1131" t="str">
        <f t="shared" si="71"/>
        <v>Mid-term</v>
      </c>
    </row>
    <row r="1132" spans="1:16" x14ac:dyDescent="0.25">
      <c r="A1132">
        <v>2025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  <c r="M1132" t="str">
        <f t="shared" si="68"/>
        <v>30-45</v>
      </c>
      <c r="N1132" t="str">
        <f t="shared" si="69"/>
        <v>Medium</v>
      </c>
      <c r="O1132" t="str">
        <f t="shared" si="70"/>
        <v>High Balance</v>
      </c>
      <c r="P1132" t="str">
        <f t="shared" si="71"/>
        <v>New</v>
      </c>
    </row>
    <row r="1133" spans="1:16" x14ac:dyDescent="0.25">
      <c r="A1133">
        <v>2025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  <c r="M1133" t="str">
        <f t="shared" si="68"/>
        <v>30-45</v>
      </c>
      <c r="N1133" t="str">
        <f t="shared" si="69"/>
        <v>Medium</v>
      </c>
      <c r="O1133" t="str">
        <f t="shared" si="70"/>
        <v>High Balance</v>
      </c>
      <c r="P1133" t="str">
        <f t="shared" si="71"/>
        <v>Long-term</v>
      </c>
    </row>
    <row r="1134" spans="1:16" x14ac:dyDescent="0.25">
      <c r="A1134">
        <v>2025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  <c r="M1134" t="str">
        <f t="shared" si="68"/>
        <v>30-45</v>
      </c>
      <c r="N1134" t="str">
        <f t="shared" si="69"/>
        <v>Medium</v>
      </c>
      <c r="O1134" t="str">
        <f t="shared" si="70"/>
        <v>Zero Balance</v>
      </c>
      <c r="P1134" t="str">
        <f t="shared" si="71"/>
        <v>New</v>
      </c>
    </row>
    <row r="1135" spans="1:16" x14ac:dyDescent="0.25">
      <c r="A1135">
        <v>2025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  <c r="M1135" t="str">
        <f t="shared" si="68"/>
        <v>30-45</v>
      </c>
      <c r="N1135" t="str">
        <f t="shared" si="69"/>
        <v>Medium</v>
      </c>
      <c r="O1135" t="str">
        <f t="shared" si="70"/>
        <v>Zero Balance</v>
      </c>
      <c r="P1135" t="str">
        <f t="shared" si="71"/>
        <v>Mid-term</v>
      </c>
    </row>
    <row r="1136" spans="1:16" x14ac:dyDescent="0.25">
      <c r="A1136">
        <v>2025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  <c r="M1136" t="str">
        <f t="shared" si="68"/>
        <v>&lt;30</v>
      </c>
      <c r="N1136" t="str">
        <f t="shared" si="69"/>
        <v>High</v>
      </c>
      <c r="O1136" t="str">
        <f t="shared" si="70"/>
        <v>Zero Balance</v>
      </c>
      <c r="P1136" t="str">
        <f t="shared" si="71"/>
        <v>New</v>
      </c>
    </row>
    <row r="1137" spans="1:16" x14ac:dyDescent="0.25">
      <c r="A1137">
        <v>2025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  <c r="M1137" t="str">
        <f t="shared" si="68"/>
        <v>30-45</v>
      </c>
      <c r="N1137" t="str">
        <f t="shared" si="69"/>
        <v>High</v>
      </c>
      <c r="O1137" t="str">
        <f t="shared" si="70"/>
        <v>High Balance</v>
      </c>
      <c r="P1137" t="str">
        <f t="shared" si="71"/>
        <v>Mid-term</v>
      </c>
    </row>
    <row r="1138" spans="1:16" x14ac:dyDescent="0.25">
      <c r="A1138">
        <v>2025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  <c r="M1138" t="str">
        <f t="shared" si="68"/>
        <v>&lt;30</v>
      </c>
      <c r="N1138" t="str">
        <f t="shared" si="69"/>
        <v>High</v>
      </c>
      <c r="O1138" t="str">
        <f t="shared" si="70"/>
        <v>Zero Balance</v>
      </c>
      <c r="P1138" t="str">
        <f t="shared" si="71"/>
        <v>Mid-term</v>
      </c>
    </row>
    <row r="1139" spans="1:16" x14ac:dyDescent="0.25">
      <c r="A1139">
        <v>2025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  <c r="M1139" t="str">
        <f t="shared" si="68"/>
        <v>30-45</v>
      </c>
      <c r="N1139" t="str">
        <f t="shared" si="69"/>
        <v>Medium</v>
      </c>
      <c r="O1139" t="str">
        <f t="shared" si="70"/>
        <v>Zero Balance</v>
      </c>
      <c r="P1139" t="str">
        <f t="shared" si="71"/>
        <v>Mid-term</v>
      </c>
    </row>
    <row r="1140" spans="1:16" x14ac:dyDescent="0.25">
      <c r="A1140">
        <v>2025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  <c r="M1140" t="str">
        <f t="shared" si="68"/>
        <v>30-45</v>
      </c>
      <c r="N1140" t="str">
        <f t="shared" si="69"/>
        <v>Low</v>
      </c>
      <c r="O1140" t="str">
        <f t="shared" si="70"/>
        <v>High Balance</v>
      </c>
      <c r="P1140" t="str">
        <f t="shared" si="71"/>
        <v>Long-term</v>
      </c>
    </row>
    <row r="1141" spans="1:16" x14ac:dyDescent="0.25">
      <c r="A1141">
        <v>2025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  <c r="M1141" t="str">
        <f t="shared" si="68"/>
        <v>46-60</v>
      </c>
      <c r="N1141" t="str">
        <f t="shared" si="69"/>
        <v>High</v>
      </c>
      <c r="O1141" t="str">
        <f t="shared" si="70"/>
        <v>High Balance</v>
      </c>
      <c r="P1141" t="str">
        <f t="shared" si="71"/>
        <v>New</v>
      </c>
    </row>
    <row r="1142" spans="1:16" x14ac:dyDescent="0.25">
      <c r="A1142">
        <v>2025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  <c r="M1142" t="str">
        <f t="shared" si="68"/>
        <v>30-45</v>
      </c>
      <c r="N1142" t="str">
        <f t="shared" si="69"/>
        <v>Medium</v>
      </c>
      <c r="O1142" t="str">
        <f t="shared" si="70"/>
        <v>Low Balance</v>
      </c>
      <c r="P1142" t="str">
        <f t="shared" si="71"/>
        <v>Mid-term</v>
      </c>
    </row>
    <row r="1143" spans="1:16" x14ac:dyDescent="0.25">
      <c r="A1143">
        <v>2025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  <c r="M1143" t="str">
        <f t="shared" si="68"/>
        <v>30-45</v>
      </c>
      <c r="N1143" t="str">
        <f t="shared" si="69"/>
        <v>Medium</v>
      </c>
      <c r="O1143" t="str">
        <f t="shared" si="70"/>
        <v>High Balance</v>
      </c>
      <c r="P1143" t="str">
        <f t="shared" si="71"/>
        <v>Mid-term</v>
      </c>
    </row>
    <row r="1144" spans="1:16" x14ac:dyDescent="0.25">
      <c r="A1144">
        <v>2025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  <c r="M1144" t="str">
        <f t="shared" si="68"/>
        <v>30-45</v>
      </c>
      <c r="N1144" t="str">
        <f t="shared" si="69"/>
        <v>High</v>
      </c>
      <c r="O1144" t="str">
        <f t="shared" si="70"/>
        <v>Zero Balance</v>
      </c>
      <c r="P1144" t="str">
        <f t="shared" si="71"/>
        <v>Long-term</v>
      </c>
    </row>
    <row r="1145" spans="1:16" x14ac:dyDescent="0.25">
      <c r="A1145">
        <v>2025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  <c r="M1145" t="str">
        <f t="shared" si="68"/>
        <v>30-45</v>
      </c>
      <c r="N1145" t="str">
        <f t="shared" si="69"/>
        <v>Medium</v>
      </c>
      <c r="O1145" t="str">
        <f t="shared" si="70"/>
        <v>Zero Balance</v>
      </c>
      <c r="P1145" t="str">
        <f t="shared" si="71"/>
        <v>Long-term</v>
      </c>
    </row>
    <row r="1146" spans="1:16" x14ac:dyDescent="0.25">
      <c r="A1146">
        <v>2025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  <c r="M1146" t="str">
        <f t="shared" si="68"/>
        <v>30-45</v>
      </c>
      <c r="N1146" t="str">
        <f t="shared" si="69"/>
        <v>High</v>
      </c>
      <c r="O1146" t="str">
        <f t="shared" si="70"/>
        <v>High Balance</v>
      </c>
      <c r="P1146" t="str">
        <f t="shared" si="71"/>
        <v>Mid-term</v>
      </c>
    </row>
    <row r="1147" spans="1:16" x14ac:dyDescent="0.25">
      <c r="A1147">
        <v>2025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  <c r="M1147" t="str">
        <f t="shared" si="68"/>
        <v>&lt;30</v>
      </c>
      <c r="N1147" t="str">
        <f t="shared" si="69"/>
        <v>Medium</v>
      </c>
      <c r="O1147" t="str">
        <f t="shared" si="70"/>
        <v>Zero Balance</v>
      </c>
      <c r="P1147" t="str">
        <f t="shared" si="71"/>
        <v>Long-term</v>
      </c>
    </row>
    <row r="1148" spans="1:16" x14ac:dyDescent="0.25">
      <c r="A1148">
        <v>2025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  <c r="M1148" t="str">
        <f t="shared" si="68"/>
        <v>30-45</v>
      </c>
      <c r="N1148" t="str">
        <f t="shared" si="69"/>
        <v>Medium</v>
      </c>
      <c r="O1148" t="str">
        <f t="shared" si="70"/>
        <v>High Balance</v>
      </c>
      <c r="P1148" t="str">
        <f t="shared" si="71"/>
        <v>New</v>
      </c>
    </row>
    <row r="1149" spans="1:16" x14ac:dyDescent="0.25">
      <c r="A1149">
        <v>2025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  <c r="M1149" t="str">
        <f t="shared" si="68"/>
        <v>&lt;30</v>
      </c>
      <c r="N1149" t="str">
        <f t="shared" si="69"/>
        <v>Medium</v>
      </c>
      <c r="O1149" t="str">
        <f t="shared" si="70"/>
        <v>High Balance</v>
      </c>
      <c r="P1149" t="str">
        <f t="shared" si="71"/>
        <v>Mid-term</v>
      </c>
    </row>
    <row r="1150" spans="1:16" x14ac:dyDescent="0.25">
      <c r="A1150">
        <v>2025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  <c r="M1150" t="str">
        <f t="shared" si="68"/>
        <v>30-45</v>
      </c>
      <c r="N1150" t="str">
        <f t="shared" si="69"/>
        <v>Medium</v>
      </c>
      <c r="O1150" t="str">
        <f t="shared" si="70"/>
        <v>Zero Balance</v>
      </c>
      <c r="P1150" t="str">
        <f t="shared" si="71"/>
        <v>New</v>
      </c>
    </row>
    <row r="1151" spans="1:16" x14ac:dyDescent="0.25">
      <c r="A1151">
        <v>2025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  <c r="M1151" t="str">
        <f t="shared" si="68"/>
        <v>30-45</v>
      </c>
      <c r="N1151" t="str">
        <f t="shared" si="69"/>
        <v>Medium</v>
      </c>
      <c r="O1151" t="str">
        <f t="shared" si="70"/>
        <v>Zero Balance</v>
      </c>
      <c r="P1151" t="str">
        <f t="shared" si="71"/>
        <v>Mid-term</v>
      </c>
    </row>
    <row r="1152" spans="1:16" x14ac:dyDescent="0.25">
      <c r="A1152">
        <v>2025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  <c r="M1152" t="str">
        <f t="shared" si="68"/>
        <v>&lt;30</v>
      </c>
      <c r="N1152" t="str">
        <f t="shared" si="69"/>
        <v>High</v>
      </c>
      <c r="O1152" t="str">
        <f t="shared" si="70"/>
        <v>High Balance</v>
      </c>
      <c r="P1152" t="str">
        <f t="shared" si="71"/>
        <v>Mid-term</v>
      </c>
    </row>
    <row r="1153" spans="1:16" x14ac:dyDescent="0.25">
      <c r="A1153">
        <v>2025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  <c r="M1153" t="str">
        <f t="shared" si="68"/>
        <v>&lt;30</v>
      </c>
      <c r="N1153" t="str">
        <f t="shared" si="69"/>
        <v>High</v>
      </c>
      <c r="O1153" t="str">
        <f t="shared" si="70"/>
        <v>High Balance</v>
      </c>
      <c r="P1153" t="str">
        <f t="shared" si="71"/>
        <v>Mid-term</v>
      </c>
    </row>
    <row r="1154" spans="1:16" x14ac:dyDescent="0.25">
      <c r="A1154">
        <v>2025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  <c r="M1154" t="str">
        <f t="shared" si="68"/>
        <v>30-45</v>
      </c>
      <c r="N1154" t="str">
        <f t="shared" si="69"/>
        <v>Medium</v>
      </c>
      <c r="O1154" t="str">
        <f t="shared" si="70"/>
        <v>High Balance</v>
      </c>
      <c r="P1154" t="str">
        <f t="shared" si="71"/>
        <v>New</v>
      </c>
    </row>
    <row r="1155" spans="1:16" x14ac:dyDescent="0.25">
      <c r="A1155">
        <v>2025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  <c r="M1155" t="str">
        <f t="shared" ref="M1155:M1218" si="72">IF(E1155&lt;30,"&lt;30",IF(E1155&lt;=45,"30-45",IF(E1155&lt;=60,"46-60","60+")))</f>
        <v>30-45</v>
      </c>
      <c r="N1155" t="str">
        <f t="shared" ref="N1155:N1218" si="73">IF(B1155&lt;500,"Low",IF(B1155&lt;700,"Medium","High"))</f>
        <v>High</v>
      </c>
      <c r="O1155" t="str">
        <f t="shared" ref="O1155:O1218" si="74">IF(G1155=0,"Zero Balance",IF(G1155&lt;100000,"Low Balance","High Balance"))</f>
        <v>High Balance</v>
      </c>
      <c r="P1155" t="str">
        <f t="shared" ref="P1155:P1218" si="75">IF(F1155&lt;=3,"New",IF(F1155&lt;=7,"Mid-term","Long-term"))</f>
        <v>Mid-term</v>
      </c>
    </row>
    <row r="1156" spans="1:16" x14ac:dyDescent="0.25">
      <c r="A1156">
        <v>2025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  <c r="M1156" t="str">
        <f t="shared" si="72"/>
        <v>30-45</v>
      </c>
      <c r="N1156" t="str">
        <f t="shared" si="73"/>
        <v>Medium</v>
      </c>
      <c r="O1156" t="str">
        <f t="shared" si="74"/>
        <v>High Balance</v>
      </c>
      <c r="P1156" t="str">
        <f t="shared" si="75"/>
        <v>New</v>
      </c>
    </row>
    <row r="1157" spans="1:16" x14ac:dyDescent="0.25">
      <c r="A1157">
        <v>2025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  <c r="M1157" t="str">
        <f t="shared" si="72"/>
        <v>30-45</v>
      </c>
      <c r="N1157" t="str">
        <f t="shared" si="73"/>
        <v>High</v>
      </c>
      <c r="O1157" t="str">
        <f t="shared" si="74"/>
        <v>High Balance</v>
      </c>
      <c r="P1157" t="str">
        <f t="shared" si="75"/>
        <v>New</v>
      </c>
    </row>
    <row r="1158" spans="1:16" x14ac:dyDescent="0.25">
      <c r="A1158">
        <v>2025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  <c r="M1158" t="str">
        <f t="shared" si="72"/>
        <v>46-60</v>
      </c>
      <c r="N1158" t="str">
        <f t="shared" si="73"/>
        <v>Medium</v>
      </c>
      <c r="O1158" t="str">
        <f t="shared" si="74"/>
        <v>Zero Balance</v>
      </c>
      <c r="P1158" t="str">
        <f t="shared" si="75"/>
        <v>New</v>
      </c>
    </row>
    <row r="1159" spans="1:16" x14ac:dyDescent="0.25">
      <c r="A1159">
        <v>2025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  <c r="M1159" t="str">
        <f t="shared" si="72"/>
        <v>46-60</v>
      </c>
      <c r="N1159" t="str">
        <f t="shared" si="73"/>
        <v>High</v>
      </c>
      <c r="O1159" t="str">
        <f t="shared" si="74"/>
        <v>Low Balance</v>
      </c>
      <c r="P1159" t="str">
        <f t="shared" si="75"/>
        <v>New</v>
      </c>
    </row>
    <row r="1160" spans="1:16" x14ac:dyDescent="0.25">
      <c r="A1160">
        <v>2025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  <c r="M1160" t="str">
        <f t="shared" si="72"/>
        <v>46-60</v>
      </c>
      <c r="N1160" t="str">
        <f t="shared" si="73"/>
        <v>Low</v>
      </c>
      <c r="O1160" t="str">
        <f t="shared" si="74"/>
        <v>High Balance</v>
      </c>
      <c r="P1160" t="str">
        <f t="shared" si="75"/>
        <v>Long-term</v>
      </c>
    </row>
    <row r="1161" spans="1:16" x14ac:dyDescent="0.25">
      <c r="A1161">
        <v>2025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  <c r="M1161" t="str">
        <f t="shared" si="72"/>
        <v>30-45</v>
      </c>
      <c r="N1161" t="str">
        <f t="shared" si="73"/>
        <v>High</v>
      </c>
      <c r="O1161" t="str">
        <f t="shared" si="74"/>
        <v>Zero Balance</v>
      </c>
      <c r="P1161" t="str">
        <f t="shared" si="75"/>
        <v>Long-term</v>
      </c>
    </row>
    <row r="1162" spans="1:16" x14ac:dyDescent="0.25">
      <c r="A1162">
        <v>2025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  <c r="M1162" t="str">
        <f t="shared" si="72"/>
        <v>30-45</v>
      </c>
      <c r="N1162" t="str">
        <f t="shared" si="73"/>
        <v>Medium</v>
      </c>
      <c r="O1162" t="str">
        <f t="shared" si="74"/>
        <v>Zero Balance</v>
      </c>
      <c r="P1162" t="str">
        <f t="shared" si="75"/>
        <v>Long-term</v>
      </c>
    </row>
    <row r="1163" spans="1:16" x14ac:dyDescent="0.25">
      <c r="A1163">
        <v>2025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  <c r="M1163" t="str">
        <f t="shared" si="72"/>
        <v>30-45</v>
      </c>
      <c r="N1163" t="str">
        <f t="shared" si="73"/>
        <v>High</v>
      </c>
      <c r="O1163" t="str">
        <f t="shared" si="74"/>
        <v>High Balance</v>
      </c>
      <c r="P1163" t="str">
        <f t="shared" si="75"/>
        <v>Mid-term</v>
      </c>
    </row>
    <row r="1164" spans="1:16" x14ac:dyDescent="0.25">
      <c r="A1164">
        <v>2025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  <c r="M1164" t="str">
        <f t="shared" si="72"/>
        <v>30-45</v>
      </c>
      <c r="N1164" t="str">
        <f t="shared" si="73"/>
        <v>Medium</v>
      </c>
      <c r="O1164" t="str">
        <f t="shared" si="74"/>
        <v>Zero Balance</v>
      </c>
      <c r="P1164" t="str">
        <f t="shared" si="75"/>
        <v>Long-term</v>
      </c>
    </row>
    <row r="1165" spans="1:16" x14ac:dyDescent="0.25">
      <c r="A1165">
        <v>2025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  <c r="M1165" t="str">
        <f t="shared" si="72"/>
        <v>30-45</v>
      </c>
      <c r="N1165" t="str">
        <f t="shared" si="73"/>
        <v>High</v>
      </c>
      <c r="O1165" t="str">
        <f t="shared" si="74"/>
        <v>Low Balance</v>
      </c>
      <c r="P1165" t="str">
        <f t="shared" si="75"/>
        <v>Mid-term</v>
      </c>
    </row>
    <row r="1166" spans="1:16" x14ac:dyDescent="0.25">
      <c r="A1166">
        <v>2025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  <c r="M1166" t="str">
        <f t="shared" si="72"/>
        <v>30-45</v>
      </c>
      <c r="N1166" t="str">
        <f t="shared" si="73"/>
        <v>High</v>
      </c>
      <c r="O1166" t="str">
        <f t="shared" si="74"/>
        <v>High Balance</v>
      </c>
      <c r="P1166" t="str">
        <f t="shared" si="75"/>
        <v>New</v>
      </c>
    </row>
    <row r="1167" spans="1:16" x14ac:dyDescent="0.25">
      <c r="A1167">
        <v>2025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  <c r="M1167" t="str">
        <f t="shared" si="72"/>
        <v>46-60</v>
      </c>
      <c r="N1167" t="str">
        <f t="shared" si="73"/>
        <v>High</v>
      </c>
      <c r="O1167" t="str">
        <f t="shared" si="74"/>
        <v>High Balance</v>
      </c>
      <c r="P1167" t="str">
        <f t="shared" si="75"/>
        <v>Mid-term</v>
      </c>
    </row>
    <row r="1168" spans="1:16" x14ac:dyDescent="0.25">
      <c r="A1168">
        <v>2025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  <c r="M1168" t="str">
        <f t="shared" si="72"/>
        <v>&lt;30</v>
      </c>
      <c r="N1168" t="str">
        <f t="shared" si="73"/>
        <v>Medium</v>
      </c>
      <c r="O1168" t="str">
        <f t="shared" si="74"/>
        <v>High Balance</v>
      </c>
      <c r="P1168" t="str">
        <f t="shared" si="75"/>
        <v>New</v>
      </c>
    </row>
    <row r="1169" spans="1:16" x14ac:dyDescent="0.25">
      <c r="A1169">
        <v>2025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  <c r="M1169" t="str">
        <f t="shared" si="72"/>
        <v>30-45</v>
      </c>
      <c r="N1169" t="str">
        <f t="shared" si="73"/>
        <v>Medium</v>
      </c>
      <c r="O1169" t="str">
        <f t="shared" si="74"/>
        <v>Zero Balance</v>
      </c>
      <c r="P1169" t="str">
        <f t="shared" si="75"/>
        <v>Long-term</v>
      </c>
    </row>
    <row r="1170" spans="1:16" x14ac:dyDescent="0.25">
      <c r="A1170">
        <v>2025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  <c r="M1170" t="str">
        <f t="shared" si="72"/>
        <v>&lt;30</v>
      </c>
      <c r="N1170" t="str">
        <f t="shared" si="73"/>
        <v>Medium</v>
      </c>
      <c r="O1170" t="str">
        <f t="shared" si="74"/>
        <v>Zero Balance</v>
      </c>
      <c r="P1170" t="str">
        <f t="shared" si="75"/>
        <v>New</v>
      </c>
    </row>
    <row r="1171" spans="1:16" x14ac:dyDescent="0.25">
      <c r="A1171">
        <v>2025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  <c r="M1171" t="str">
        <f t="shared" si="72"/>
        <v>30-45</v>
      </c>
      <c r="N1171" t="str">
        <f t="shared" si="73"/>
        <v>Medium</v>
      </c>
      <c r="O1171" t="str">
        <f t="shared" si="74"/>
        <v>High Balance</v>
      </c>
      <c r="P1171" t="str">
        <f t="shared" si="75"/>
        <v>Long-term</v>
      </c>
    </row>
    <row r="1172" spans="1:16" x14ac:dyDescent="0.25">
      <c r="A1172">
        <v>2025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  <c r="M1172" t="str">
        <f t="shared" si="72"/>
        <v>&lt;30</v>
      </c>
      <c r="N1172" t="str">
        <f t="shared" si="73"/>
        <v>Medium</v>
      </c>
      <c r="O1172" t="str">
        <f t="shared" si="74"/>
        <v>Low Balance</v>
      </c>
      <c r="P1172" t="str">
        <f t="shared" si="75"/>
        <v>Mid-term</v>
      </c>
    </row>
    <row r="1173" spans="1:16" x14ac:dyDescent="0.25">
      <c r="A1173">
        <v>2025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  <c r="M1173" t="str">
        <f t="shared" si="72"/>
        <v>30-45</v>
      </c>
      <c r="N1173" t="str">
        <f t="shared" si="73"/>
        <v>Medium</v>
      </c>
      <c r="O1173" t="str">
        <f t="shared" si="74"/>
        <v>High Balance</v>
      </c>
      <c r="P1173" t="str">
        <f t="shared" si="75"/>
        <v>New</v>
      </c>
    </row>
    <row r="1174" spans="1:16" x14ac:dyDescent="0.25">
      <c r="A1174">
        <v>2025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  <c r="M1174" t="str">
        <f t="shared" si="72"/>
        <v>30-45</v>
      </c>
      <c r="N1174" t="str">
        <f t="shared" si="73"/>
        <v>Medium</v>
      </c>
      <c r="O1174" t="str">
        <f t="shared" si="74"/>
        <v>High Balance</v>
      </c>
      <c r="P1174" t="str">
        <f t="shared" si="75"/>
        <v>New</v>
      </c>
    </row>
    <row r="1175" spans="1:16" x14ac:dyDescent="0.25">
      <c r="A1175">
        <v>2025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  <c r="M1175" t="str">
        <f t="shared" si="72"/>
        <v>30-45</v>
      </c>
      <c r="N1175" t="str">
        <f t="shared" si="73"/>
        <v>Low</v>
      </c>
      <c r="O1175" t="str">
        <f t="shared" si="74"/>
        <v>Low Balance</v>
      </c>
      <c r="P1175" t="str">
        <f t="shared" si="75"/>
        <v>New</v>
      </c>
    </row>
    <row r="1176" spans="1:16" x14ac:dyDescent="0.25">
      <c r="A1176">
        <v>2025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  <c r="M1176" t="str">
        <f t="shared" si="72"/>
        <v>30-45</v>
      </c>
      <c r="N1176" t="str">
        <f t="shared" si="73"/>
        <v>High</v>
      </c>
      <c r="O1176" t="str">
        <f t="shared" si="74"/>
        <v>High Balance</v>
      </c>
      <c r="P1176" t="str">
        <f t="shared" si="75"/>
        <v>Mid-term</v>
      </c>
    </row>
    <row r="1177" spans="1:16" x14ac:dyDescent="0.25">
      <c r="A1177">
        <v>2025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  <c r="M1177" t="str">
        <f t="shared" si="72"/>
        <v>30-45</v>
      </c>
      <c r="N1177" t="str">
        <f t="shared" si="73"/>
        <v>High</v>
      </c>
      <c r="O1177" t="str">
        <f t="shared" si="74"/>
        <v>Zero Balance</v>
      </c>
      <c r="P1177" t="str">
        <f t="shared" si="75"/>
        <v>Mid-term</v>
      </c>
    </row>
    <row r="1178" spans="1:16" x14ac:dyDescent="0.25">
      <c r="A1178">
        <v>2025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  <c r="M1178" t="str">
        <f t="shared" si="72"/>
        <v>30-45</v>
      </c>
      <c r="N1178" t="str">
        <f t="shared" si="73"/>
        <v>High</v>
      </c>
      <c r="O1178" t="str">
        <f t="shared" si="74"/>
        <v>Zero Balance</v>
      </c>
      <c r="P1178" t="str">
        <f t="shared" si="75"/>
        <v>Long-term</v>
      </c>
    </row>
    <row r="1179" spans="1:16" x14ac:dyDescent="0.25">
      <c r="A1179">
        <v>2025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  <c r="M1179" t="str">
        <f t="shared" si="72"/>
        <v>&lt;30</v>
      </c>
      <c r="N1179" t="str">
        <f t="shared" si="73"/>
        <v>Medium</v>
      </c>
      <c r="O1179" t="str">
        <f t="shared" si="74"/>
        <v>Zero Balance</v>
      </c>
      <c r="P1179" t="str">
        <f t="shared" si="75"/>
        <v>New</v>
      </c>
    </row>
    <row r="1180" spans="1:16" x14ac:dyDescent="0.25">
      <c r="A1180">
        <v>2025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  <c r="M1180" t="str">
        <f t="shared" si="72"/>
        <v>46-60</v>
      </c>
      <c r="N1180" t="str">
        <f t="shared" si="73"/>
        <v>Medium</v>
      </c>
      <c r="O1180" t="str">
        <f t="shared" si="74"/>
        <v>Zero Balance</v>
      </c>
      <c r="P1180" t="str">
        <f t="shared" si="75"/>
        <v>Mid-term</v>
      </c>
    </row>
    <row r="1181" spans="1:16" x14ac:dyDescent="0.25">
      <c r="A1181">
        <v>2025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  <c r="M1181" t="str">
        <f t="shared" si="72"/>
        <v>30-45</v>
      </c>
      <c r="N1181" t="str">
        <f t="shared" si="73"/>
        <v>High</v>
      </c>
      <c r="O1181" t="str">
        <f t="shared" si="74"/>
        <v>Low Balance</v>
      </c>
      <c r="P1181" t="str">
        <f t="shared" si="75"/>
        <v>New</v>
      </c>
    </row>
    <row r="1182" spans="1:16" x14ac:dyDescent="0.25">
      <c r="A1182">
        <v>2025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  <c r="M1182" t="str">
        <f t="shared" si="72"/>
        <v>30-45</v>
      </c>
      <c r="N1182" t="str">
        <f t="shared" si="73"/>
        <v>Medium</v>
      </c>
      <c r="O1182" t="str">
        <f t="shared" si="74"/>
        <v>Zero Balance</v>
      </c>
      <c r="P1182" t="str">
        <f t="shared" si="75"/>
        <v>Mid-term</v>
      </c>
    </row>
    <row r="1183" spans="1:16" x14ac:dyDescent="0.25">
      <c r="A1183">
        <v>2025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  <c r="M1183" t="str">
        <f t="shared" si="72"/>
        <v>&lt;30</v>
      </c>
      <c r="N1183" t="str">
        <f t="shared" si="73"/>
        <v>Medium</v>
      </c>
      <c r="O1183" t="str">
        <f t="shared" si="74"/>
        <v>Low Balance</v>
      </c>
      <c r="P1183" t="str">
        <f t="shared" si="75"/>
        <v>Mid-term</v>
      </c>
    </row>
    <row r="1184" spans="1:16" x14ac:dyDescent="0.25">
      <c r="A1184">
        <v>2025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  <c r="M1184" t="str">
        <f t="shared" si="72"/>
        <v>30-45</v>
      </c>
      <c r="N1184" t="str">
        <f t="shared" si="73"/>
        <v>Medium</v>
      </c>
      <c r="O1184" t="str">
        <f t="shared" si="74"/>
        <v>High Balance</v>
      </c>
      <c r="P1184" t="str">
        <f t="shared" si="75"/>
        <v>Mid-term</v>
      </c>
    </row>
    <row r="1185" spans="1:16" x14ac:dyDescent="0.25">
      <c r="A1185">
        <v>2025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  <c r="M1185" t="str">
        <f t="shared" si="72"/>
        <v>30-45</v>
      </c>
      <c r="N1185" t="str">
        <f t="shared" si="73"/>
        <v>Medium</v>
      </c>
      <c r="O1185" t="str">
        <f t="shared" si="74"/>
        <v>Zero Balance</v>
      </c>
      <c r="P1185" t="str">
        <f t="shared" si="75"/>
        <v>New</v>
      </c>
    </row>
    <row r="1186" spans="1:16" x14ac:dyDescent="0.25">
      <c r="A1186">
        <v>2025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  <c r="M1186" t="str">
        <f t="shared" si="72"/>
        <v>46-60</v>
      </c>
      <c r="N1186" t="str">
        <f t="shared" si="73"/>
        <v>Medium</v>
      </c>
      <c r="O1186" t="str">
        <f t="shared" si="74"/>
        <v>High Balance</v>
      </c>
      <c r="P1186" t="str">
        <f t="shared" si="75"/>
        <v>Mid-term</v>
      </c>
    </row>
    <row r="1187" spans="1:16" x14ac:dyDescent="0.25">
      <c r="A1187">
        <v>2025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  <c r="M1187" t="str">
        <f t="shared" si="72"/>
        <v>30-45</v>
      </c>
      <c r="N1187" t="str">
        <f t="shared" si="73"/>
        <v>High</v>
      </c>
      <c r="O1187" t="str">
        <f t="shared" si="74"/>
        <v>High Balance</v>
      </c>
      <c r="P1187" t="str">
        <f t="shared" si="75"/>
        <v>New</v>
      </c>
    </row>
    <row r="1188" spans="1:16" x14ac:dyDescent="0.25">
      <c r="A1188">
        <v>2025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  <c r="M1188" t="str">
        <f t="shared" si="72"/>
        <v>30-45</v>
      </c>
      <c r="N1188" t="str">
        <f t="shared" si="73"/>
        <v>Medium</v>
      </c>
      <c r="O1188" t="str">
        <f t="shared" si="74"/>
        <v>High Balance</v>
      </c>
      <c r="P1188" t="str">
        <f t="shared" si="75"/>
        <v>New</v>
      </c>
    </row>
    <row r="1189" spans="1:16" x14ac:dyDescent="0.25">
      <c r="A1189">
        <v>2025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  <c r="M1189" t="str">
        <f t="shared" si="72"/>
        <v>46-60</v>
      </c>
      <c r="N1189" t="str">
        <f t="shared" si="73"/>
        <v>High</v>
      </c>
      <c r="O1189" t="str">
        <f t="shared" si="74"/>
        <v>High Balance</v>
      </c>
      <c r="P1189" t="str">
        <f t="shared" si="75"/>
        <v>Long-term</v>
      </c>
    </row>
    <row r="1190" spans="1:16" x14ac:dyDescent="0.25">
      <c r="A1190">
        <v>2025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  <c r="M1190" t="str">
        <f t="shared" si="72"/>
        <v>30-45</v>
      </c>
      <c r="N1190" t="str">
        <f t="shared" si="73"/>
        <v>Medium</v>
      </c>
      <c r="O1190" t="str">
        <f t="shared" si="74"/>
        <v>High Balance</v>
      </c>
      <c r="P1190" t="str">
        <f t="shared" si="75"/>
        <v>New</v>
      </c>
    </row>
    <row r="1191" spans="1:16" x14ac:dyDescent="0.25">
      <c r="A1191">
        <v>2025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  <c r="M1191" t="str">
        <f t="shared" si="72"/>
        <v>30-45</v>
      </c>
      <c r="N1191" t="str">
        <f t="shared" si="73"/>
        <v>High</v>
      </c>
      <c r="O1191" t="str">
        <f t="shared" si="74"/>
        <v>High Balance</v>
      </c>
      <c r="P1191" t="str">
        <f t="shared" si="75"/>
        <v>Mid-term</v>
      </c>
    </row>
    <row r="1192" spans="1:16" x14ac:dyDescent="0.25">
      <c r="A1192">
        <v>2025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  <c r="M1192" t="str">
        <f t="shared" si="72"/>
        <v>&lt;30</v>
      </c>
      <c r="N1192" t="str">
        <f t="shared" si="73"/>
        <v>High</v>
      </c>
      <c r="O1192" t="str">
        <f t="shared" si="74"/>
        <v>Zero Balance</v>
      </c>
      <c r="P1192" t="str">
        <f t="shared" si="75"/>
        <v>New</v>
      </c>
    </row>
    <row r="1193" spans="1:16" x14ac:dyDescent="0.25">
      <c r="A1193">
        <v>2025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  <c r="M1193" t="str">
        <f t="shared" si="72"/>
        <v>&lt;30</v>
      </c>
      <c r="N1193" t="str">
        <f t="shared" si="73"/>
        <v>Medium</v>
      </c>
      <c r="O1193" t="str">
        <f t="shared" si="74"/>
        <v>High Balance</v>
      </c>
      <c r="P1193" t="str">
        <f t="shared" si="75"/>
        <v>New</v>
      </c>
    </row>
    <row r="1194" spans="1:16" x14ac:dyDescent="0.25">
      <c r="A1194">
        <v>2025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  <c r="M1194" t="str">
        <f t="shared" si="72"/>
        <v>60+</v>
      </c>
      <c r="N1194" t="str">
        <f t="shared" si="73"/>
        <v>High</v>
      </c>
      <c r="O1194" t="str">
        <f t="shared" si="74"/>
        <v>High Balance</v>
      </c>
      <c r="P1194" t="str">
        <f t="shared" si="75"/>
        <v>Mid-term</v>
      </c>
    </row>
    <row r="1195" spans="1:16" x14ac:dyDescent="0.25">
      <c r="A1195">
        <v>2025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  <c r="M1195" t="str">
        <f t="shared" si="72"/>
        <v>&lt;30</v>
      </c>
      <c r="N1195" t="str">
        <f t="shared" si="73"/>
        <v>Low</v>
      </c>
      <c r="O1195" t="str">
        <f t="shared" si="74"/>
        <v>High Balance</v>
      </c>
      <c r="P1195" t="str">
        <f t="shared" si="75"/>
        <v>Mid-term</v>
      </c>
    </row>
    <row r="1196" spans="1:16" x14ac:dyDescent="0.25">
      <c r="A1196">
        <v>2025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  <c r="M1196" t="str">
        <f t="shared" si="72"/>
        <v>&lt;30</v>
      </c>
      <c r="N1196" t="str">
        <f t="shared" si="73"/>
        <v>High</v>
      </c>
      <c r="O1196" t="str">
        <f t="shared" si="74"/>
        <v>Zero Balance</v>
      </c>
      <c r="P1196" t="str">
        <f t="shared" si="75"/>
        <v>Mid-term</v>
      </c>
    </row>
    <row r="1197" spans="1:16" x14ac:dyDescent="0.25">
      <c r="A1197">
        <v>2025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  <c r="M1197" t="str">
        <f t="shared" si="72"/>
        <v>30-45</v>
      </c>
      <c r="N1197" t="str">
        <f t="shared" si="73"/>
        <v>Medium</v>
      </c>
      <c r="O1197" t="str">
        <f t="shared" si="74"/>
        <v>Zero Balance</v>
      </c>
      <c r="P1197" t="str">
        <f t="shared" si="75"/>
        <v>New</v>
      </c>
    </row>
    <row r="1198" spans="1:16" x14ac:dyDescent="0.25">
      <c r="A1198">
        <v>2025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  <c r="M1198" t="str">
        <f t="shared" si="72"/>
        <v>&lt;30</v>
      </c>
      <c r="N1198" t="str">
        <f t="shared" si="73"/>
        <v>High</v>
      </c>
      <c r="O1198" t="str">
        <f t="shared" si="74"/>
        <v>Low Balance</v>
      </c>
      <c r="P1198" t="str">
        <f t="shared" si="75"/>
        <v>Mid-term</v>
      </c>
    </row>
    <row r="1199" spans="1:16" x14ac:dyDescent="0.25">
      <c r="A1199">
        <v>2025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  <c r="M1199" t="str">
        <f t="shared" si="72"/>
        <v>30-45</v>
      </c>
      <c r="N1199" t="str">
        <f t="shared" si="73"/>
        <v>Medium</v>
      </c>
      <c r="O1199" t="str">
        <f t="shared" si="74"/>
        <v>Zero Balance</v>
      </c>
      <c r="P1199" t="str">
        <f t="shared" si="75"/>
        <v>Mid-term</v>
      </c>
    </row>
    <row r="1200" spans="1:16" x14ac:dyDescent="0.25">
      <c r="A1200">
        <v>2025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  <c r="M1200" t="str">
        <f t="shared" si="72"/>
        <v>30-45</v>
      </c>
      <c r="N1200" t="str">
        <f t="shared" si="73"/>
        <v>Medium</v>
      </c>
      <c r="O1200" t="str">
        <f t="shared" si="74"/>
        <v>High Balance</v>
      </c>
      <c r="P1200" t="str">
        <f t="shared" si="75"/>
        <v>Long-term</v>
      </c>
    </row>
    <row r="1201" spans="1:16" x14ac:dyDescent="0.25">
      <c r="A1201">
        <v>2025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  <c r="M1201" t="str">
        <f t="shared" si="72"/>
        <v>30-45</v>
      </c>
      <c r="N1201" t="str">
        <f t="shared" si="73"/>
        <v>Medium</v>
      </c>
      <c r="O1201" t="str">
        <f t="shared" si="74"/>
        <v>Zero Balance</v>
      </c>
      <c r="P1201" t="str">
        <f t="shared" si="75"/>
        <v>Mid-term</v>
      </c>
    </row>
    <row r="1202" spans="1:16" x14ac:dyDescent="0.25">
      <c r="A1202">
        <v>2025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  <c r="M1202" t="str">
        <f t="shared" si="72"/>
        <v>30-45</v>
      </c>
      <c r="N1202" t="str">
        <f t="shared" si="73"/>
        <v>High</v>
      </c>
      <c r="O1202" t="str">
        <f t="shared" si="74"/>
        <v>Low Balance</v>
      </c>
      <c r="P1202" t="str">
        <f t="shared" si="75"/>
        <v>Mid-term</v>
      </c>
    </row>
    <row r="1203" spans="1:16" x14ac:dyDescent="0.25">
      <c r="A1203">
        <v>2025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  <c r="M1203" t="str">
        <f t="shared" si="72"/>
        <v>46-60</v>
      </c>
      <c r="N1203" t="str">
        <f t="shared" si="73"/>
        <v>Low</v>
      </c>
      <c r="O1203" t="str">
        <f t="shared" si="74"/>
        <v>High Balance</v>
      </c>
      <c r="P1203" t="str">
        <f t="shared" si="75"/>
        <v>New</v>
      </c>
    </row>
    <row r="1204" spans="1:16" x14ac:dyDescent="0.25">
      <c r="A1204">
        <v>2025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  <c r="M1204" t="str">
        <f t="shared" si="72"/>
        <v>&lt;30</v>
      </c>
      <c r="N1204" t="str">
        <f t="shared" si="73"/>
        <v>Medium</v>
      </c>
      <c r="O1204" t="str">
        <f t="shared" si="74"/>
        <v>Zero Balance</v>
      </c>
      <c r="P1204" t="str">
        <f t="shared" si="75"/>
        <v>Mid-term</v>
      </c>
    </row>
    <row r="1205" spans="1:16" x14ac:dyDescent="0.25">
      <c r="A1205">
        <v>2025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  <c r="M1205" t="str">
        <f t="shared" si="72"/>
        <v>30-45</v>
      </c>
      <c r="N1205" t="str">
        <f t="shared" si="73"/>
        <v>Low</v>
      </c>
      <c r="O1205" t="str">
        <f t="shared" si="74"/>
        <v>High Balance</v>
      </c>
      <c r="P1205" t="str">
        <f t="shared" si="75"/>
        <v>New</v>
      </c>
    </row>
    <row r="1206" spans="1:16" x14ac:dyDescent="0.25">
      <c r="A1206">
        <v>2025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  <c r="M1206" t="str">
        <f t="shared" si="72"/>
        <v>30-45</v>
      </c>
      <c r="N1206" t="str">
        <f t="shared" si="73"/>
        <v>Medium</v>
      </c>
      <c r="O1206" t="str">
        <f t="shared" si="74"/>
        <v>Zero Balance</v>
      </c>
      <c r="P1206" t="str">
        <f t="shared" si="75"/>
        <v>Mid-term</v>
      </c>
    </row>
    <row r="1207" spans="1:16" x14ac:dyDescent="0.25">
      <c r="A1207">
        <v>2025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  <c r="M1207" t="str">
        <f t="shared" si="72"/>
        <v>60+</v>
      </c>
      <c r="N1207" t="str">
        <f t="shared" si="73"/>
        <v>High</v>
      </c>
      <c r="O1207" t="str">
        <f t="shared" si="74"/>
        <v>High Balance</v>
      </c>
      <c r="P1207" t="str">
        <f t="shared" si="75"/>
        <v>Long-term</v>
      </c>
    </row>
    <row r="1208" spans="1:16" x14ac:dyDescent="0.25">
      <c r="A1208">
        <v>2025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  <c r="M1208" t="str">
        <f t="shared" si="72"/>
        <v>30-45</v>
      </c>
      <c r="N1208" t="str">
        <f t="shared" si="73"/>
        <v>Medium</v>
      </c>
      <c r="O1208" t="str">
        <f t="shared" si="74"/>
        <v>Zero Balance</v>
      </c>
      <c r="P1208" t="str">
        <f t="shared" si="75"/>
        <v>Mid-term</v>
      </c>
    </row>
    <row r="1209" spans="1:16" x14ac:dyDescent="0.25">
      <c r="A1209">
        <v>2025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  <c r="M1209" t="str">
        <f t="shared" si="72"/>
        <v>30-45</v>
      </c>
      <c r="N1209" t="str">
        <f t="shared" si="73"/>
        <v>High</v>
      </c>
      <c r="O1209" t="str">
        <f t="shared" si="74"/>
        <v>Low Balance</v>
      </c>
      <c r="P1209" t="str">
        <f t="shared" si="75"/>
        <v>Mid-term</v>
      </c>
    </row>
    <row r="1210" spans="1:16" x14ac:dyDescent="0.25">
      <c r="A1210">
        <v>2025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  <c r="M1210" t="str">
        <f t="shared" si="72"/>
        <v>46-60</v>
      </c>
      <c r="N1210" t="str">
        <f t="shared" si="73"/>
        <v>Medium</v>
      </c>
      <c r="O1210" t="str">
        <f t="shared" si="74"/>
        <v>High Balance</v>
      </c>
      <c r="P1210" t="str">
        <f t="shared" si="75"/>
        <v>Mid-term</v>
      </c>
    </row>
    <row r="1211" spans="1:16" x14ac:dyDescent="0.25">
      <c r="A1211">
        <v>2025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  <c r="M1211" t="str">
        <f t="shared" si="72"/>
        <v>30-45</v>
      </c>
      <c r="N1211" t="str">
        <f t="shared" si="73"/>
        <v>High</v>
      </c>
      <c r="O1211" t="str">
        <f t="shared" si="74"/>
        <v>Zero Balance</v>
      </c>
      <c r="P1211" t="str">
        <f t="shared" si="75"/>
        <v>Mid-term</v>
      </c>
    </row>
    <row r="1212" spans="1:16" x14ac:dyDescent="0.25">
      <c r="A1212">
        <v>2025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  <c r="M1212" t="str">
        <f t="shared" si="72"/>
        <v>46-60</v>
      </c>
      <c r="N1212" t="str">
        <f t="shared" si="73"/>
        <v>High</v>
      </c>
      <c r="O1212" t="str">
        <f t="shared" si="74"/>
        <v>Zero Balance</v>
      </c>
      <c r="P1212" t="str">
        <f t="shared" si="75"/>
        <v>Mid-term</v>
      </c>
    </row>
    <row r="1213" spans="1:16" x14ac:dyDescent="0.25">
      <c r="A1213">
        <v>2025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  <c r="M1213" t="str">
        <f t="shared" si="72"/>
        <v>30-45</v>
      </c>
      <c r="N1213" t="str">
        <f t="shared" si="73"/>
        <v>Low</v>
      </c>
      <c r="O1213" t="str">
        <f t="shared" si="74"/>
        <v>Zero Balance</v>
      </c>
      <c r="P1213" t="str">
        <f t="shared" si="75"/>
        <v>Mid-term</v>
      </c>
    </row>
    <row r="1214" spans="1:16" x14ac:dyDescent="0.25">
      <c r="A1214">
        <v>2025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  <c r="M1214" t="str">
        <f t="shared" si="72"/>
        <v>30-45</v>
      </c>
      <c r="N1214" t="str">
        <f t="shared" si="73"/>
        <v>Medium</v>
      </c>
      <c r="O1214" t="str">
        <f t="shared" si="74"/>
        <v>Zero Balance</v>
      </c>
      <c r="P1214" t="str">
        <f t="shared" si="75"/>
        <v>Mid-term</v>
      </c>
    </row>
    <row r="1215" spans="1:16" x14ac:dyDescent="0.25">
      <c r="A1215">
        <v>2025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  <c r="M1215" t="str">
        <f t="shared" si="72"/>
        <v>&lt;30</v>
      </c>
      <c r="N1215" t="str">
        <f t="shared" si="73"/>
        <v>Medium</v>
      </c>
      <c r="O1215" t="str">
        <f t="shared" si="74"/>
        <v>Zero Balance</v>
      </c>
      <c r="P1215" t="str">
        <f t="shared" si="75"/>
        <v>Mid-term</v>
      </c>
    </row>
    <row r="1216" spans="1:16" x14ac:dyDescent="0.25">
      <c r="A1216">
        <v>2025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  <c r="M1216" t="str">
        <f t="shared" si="72"/>
        <v>30-45</v>
      </c>
      <c r="N1216" t="str">
        <f t="shared" si="73"/>
        <v>Medium</v>
      </c>
      <c r="O1216" t="str">
        <f t="shared" si="74"/>
        <v>Zero Balance</v>
      </c>
      <c r="P1216" t="str">
        <f t="shared" si="75"/>
        <v>Mid-term</v>
      </c>
    </row>
    <row r="1217" spans="1:16" x14ac:dyDescent="0.25">
      <c r="A1217">
        <v>2025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  <c r="M1217" t="str">
        <f t="shared" si="72"/>
        <v>46-60</v>
      </c>
      <c r="N1217" t="str">
        <f t="shared" si="73"/>
        <v>High</v>
      </c>
      <c r="O1217" t="str">
        <f t="shared" si="74"/>
        <v>Zero Balance</v>
      </c>
      <c r="P1217" t="str">
        <f t="shared" si="75"/>
        <v>Long-term</v>
      </c>
    </row>
    <row r="1218" spans="1:16" x14ac:dyDescent="0.25">
      <c r="A1218">
        <v>2025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  <c r="M1218" t="str">
        <f t="shared" si="72"/>
        <v>30-45</v>
      </c>
      <c r="N1218" t="str">
        <f t="shared" si="73"/>
        <v>Medium</v>
      </c>
      <c r="O1218" t="str">
        <f t="shared" si="74"/>
        <v>Zero Balance</v>
      </c>
      <c r="P1218" t="str">
        <f t="shared" si="75"/>
        <v>Mid-term</v>
      </c>
    </row>
    <row r="1219" spans="1:16" x14ac:dyDescent="0.25">
      <c r="A1219">
        <v>2025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  <c r="M1219" t="str">
        <f t="shared" ref="M1219:M1282" si="76">IF(E1219&lt;30,"&lt;30",IF(E1219&lt;=45,"30-45",IF(E1219&lt;=60,"46-60","60+")))</f>
        <v>&lt;30</v>
      </c>
      <c r="N1219" t="str">
        <f t="shared" ref="N1219:N1282" si="77">IF(B1219&lt;500,"Low",IF(B1219&lt;700,"Medium","High"))</f>
        <v>Medium</v>
      </c>
      <c r="O1219" t="str">
        <f t="shared" ref="O1219:O1282" si="78">IF(G1219=0,"Zero Balance",IF(G1219&lt;100000,"Low Balance","High Balance"))</f>
        <v>High Balance</v>
      </c>
      <c r="P1219" t="str">
        <f t="shared" ref="P1219:P1282" si="79">IF(F1219&lt;=3,"New",IF(F1219&lt;=7,"Mid-term","Long-term"))</f>
        <v>New</v>
      </c>
    </row>
    <row r="1220" spans="1:16" x14ac:dyDescent="0.25">
      <c r="A1220">
        <v>2025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  <c r="M1220" t="str">
        <f t="shared" si="76"/>
        <v>&lt;30</v>
      </c>
      <c r="N1220" t="str">
        <f t="shared" si="77"/>
        <v>High</v>
      </c>
      <c r="O1220" t="str">
        <f t="shared" si="78"/>
        <v>Zero Balance</v>
      </c>
      <c r="P1220" t="str">
        <f t="shared" si="79"/>
        <v>Mid-term</v>
      </c>
    </row>
    <row r="1221" spans="1:16" x14ac:dyDescent="0.25">
      <c r="A1221">
        <v>2025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  <c r="M1221" t="str">
        <f t="shared" si="76"/>
        <v>30-45</v>
      </c>
      <c r="N1221" t="str">
        <f t="shared" si="77"/>
        <v>Medium</v>
      </c>
      <c r="O1221" t="str">
        <f t="shared" si="78"/>
        <v>High Balance</v>
      </c>
      <c r="P1221" t="str">
        <f t="shared" si="79"/>
        <v>Mid-term</v>
      </c>
    </row>
    <row r="1222" spans="1:16" x14ac:dyDescent="0.25">
      <c r="A1222">
        <v>2025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  <c r="M1222" t="str">
        <f t="shared" si="76"/>
        <v>30-45</v>
      </c>
      <c r="N1222" t="str">
        <f t="shared" si="77"/>
        <v>High</v>
      </c>
      <c r="O1222" t="str">
        <f t="shared" si="78"/>
        <v>High Balance</v>
      </c>
      <c r="P1222" t="str">
        <f t="shared" si="79"/>
        <v>Mid-term</v>
      </c>
    </row>
    <row r="1223" spans="1:16" x14ac:dyDescent="0.25">
      <c r="A1223">
        <v>2025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  <c r="M1223" t="str">
        <f t="shared" si="76"/>
        <v>30-45</v>
      </c>
      <c r="N1223" t="str">
        <f t="shared" si="77"/>
        <v>High</v>
      </c>
      <c r="O1223" t="str">
        <f t="shared" si="78"/>
        <v>High Balance</v>
      </c>
      <c r="P1223" t="str">
        <f t="shared" si="79"/>
        <v>New</v>
      </c>
    </row>
    <row r="1224" spans="1:16" x14ac:dyDescent="0.25">
      <c r="A1224">
        <v>2025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  <c r="M1224" t="str">
        <f t="shared" si="76"/>
        <v>46-60</v>
      </c>
      <c r="N1224" t="str">
        <f t="shared" si="77"/>
        <v>Medium</v>
      </c>
      <c r="O1224" t="str">
        <f t="shared" si="78"/>
        <v>Low Balance</v>
      </c>
      <c r="P1224" t="str">
        <f t="shared" si="79"/>
        <v>New</v>
      </c>
    </row>
    <row r="1225" spans="1:16" x14ac:dyDescent="0.25">
      <c r="A1225">
        <v>2025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  <c r="M1225" t="str">
        <f t="shared" si="76"/>
        <v>46-60</v>
      </c>
      <c r="N1225" t="str">
        <f t="shared" si="77"/>
        <v>Medium</v>
      </c>
      <c r="O1225" t="str">
        <f t="shared" si="78"/>
        <v>Zero Balance</v>
      </c>
      <c r="P1225" t="str">
        <f t="shared" si="79"/>
        <v>New</v>
      </c>
    </row>
    <row r="1226" spans="1:16" x14ac:dyDescent="0.25">
      <c r="A1226">
        <v>2025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  <c r="M1226" t="str">
        <f t="shared" si="76"/>
        <v>46-60</v>
      </c>
      <c r="N1226" t="str">
        <f t="shared" si="77"/>
        <v>Medium</v>
      </c>
      <c r="O1226" t="str">
        <f t="shared" si="78"/>
        <v>High Balance</v>
      </c>
      <c r="P1226" t="str">
        <f t="shared" si="79"/>
        <v>Long-term</v>
      </c>
    </row>
    <row r="1227" spans="1:16" x14ac:dyDescent="0.25">
      <c r="A1227">
        <v>2025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  <c r="M1227" t="str">
        <f t="shared" si="76"/>
        <v>46-60</v>
      </c>
      <c r="N1227" t="str">
        <f t="shared" si="77"/>
        <v>High</v>
      </c>
      <c r="O1227" t="str">
        <f t="shared" si="78"/>
        <v>High Balance</v>
      </c>
      <c r="P1227" t="str">
        <f t="shared" si="79"/>
        <v>Mid-term</v>
      </c>
    </row>
    <row r="1228" spans="1:16" x14ac:dyDescent="0.25">
      <c r="A1228">
        <v>2025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  <c r="M1228" t="str">
        <f t="shared" si="76"/>
        <v>30-45</v>
      </c>
      <c r="N1228" t="str">
        <f t="shared" si="77"/>
        <v>Medium</v>
      </c>
      <c r="O1228" t="str">
        <f t="shared" si="78"/>
        <v>Low Balance</v>
      </c>
      <c r="P1228" t="str">
        <f t="shared" si="79"/>
        <v>Mid-term</v>
      </c>
    </row>
    <row r="1229" spans="1:16" x14ac:dyDescent="0.25">
      <c r="A1229">
        <v>2025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  <c r="M1229" t="str">
        <f t="shared" si="76"/>
        <v>&lt;30</v>
      </c>
      <c r="N1229" t="str">
        <f t="shared" si="77"/>
        <v>Medium</v>
      </c>
      <c r="O1229" t="str">
        <f t="shared" si="78"/>
        <v>High Balance</v>
      </c>
      <c r="P1229" t="str">
        <f t="shared" si="79"/>
        <v>Mid-term</v>
      </c>
    </row>
    <row r="1230" spans="1:16" x14ac:dyDescent="0.25">
      <c r="A1230">
        <v>2025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  <c r="M1230" t="str">
        <f t="shared" si="76"/>
        <v>30-45</v>
      </c>
      <c r="N1230" t="str">
        <f t="shared" si="77"/>
        <v>Medium</v>
      </c>
      <c r="O1230" t="str">
        <f t="shared" si="78"/>
        <v>Zero Balance</v>
      </c>
      <c r="P1230" t="str">
        <f t="shared" si="79"/>
        <v>New</v>
      </c>
    </row>
    <row r="1231" spans="1:16" x14ac:dyDescent="0.25">
      <c r="A1231">
        <v>2025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  <c r="M1231" t="str">
        <f t="shared" si="76"/>
        <v>30-45</v>
      </c>
      <c r="N1231" t="str">
        <f t="shared" si="77"/>
        <v>Medium</v>
      </c>
      <c r="O1231" t="str">
        <f t="shared" si="78"/>
        <v>Zero Balance</v>
      </c>
      <c r="P1231" t="str">
        <f t="shared" si="79"/>
        <v>Mid-term</v>
      </c>
    </row>
    <row r="1232" spans="1:16" x14ac:dyDescent="0.25">
      <c r="A1232">
        <v>2025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  <c r="M1232" t="str">
        <f t="shared" si="76"/>
        <v>30-45</v>
      </c>
      <c r="N1232" t="str">
        <f t="shared" si="77"/>
        <v>High</v>
      </c>
      <c r="O1232" t="str">
        <f t="shared" si="78"/>
        <v>High Balance</v>
      </c>
      <c r="P1232" t="str">
        <f t="shared" si="79"/>
        <v>New</v>
      </c>
    </row>
    <row r="1233" spans="1:16" x14ac:dyDescent="0.25">
      <c r="A1233">
        <v>2025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  <c r="M1233" t="str">
        <f t="shared" si="76"/>
        <v>30-45</v>
      </c>
      <c r="N1233" t="str">
        <f t="shared" si="77"/>
        <v>High</v>
      </c>
      <c r="O1233" t="str">
        <f t="shared" si="78"/>
        <v>Low Balance</v>
      </c>
      <c r="P1233" t="str">
        <f t="shared" si="79"/>
        <v>Mid-term</v>
      </c>
    </row>
    <row r="1234" spans="1:16" x14ac:dyDescent="0.25">
      <c r="A1234">
        <v>2025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  <c r="M1234" t="str">
        <f t="shared" si="76"/>
        <v>46-60</v>
      </c>
      <c r="N1234" t="str">
        <f t="shared" si="77"/>
        <v>Medium</v>
      </c>
      <c r="O1234" t="str">
        <f t="shared" si="78"/>
        <v>High Balance</v>
      </c>
      <c r="P1234" t="str">
        <f t="shared" si="79"/>
        <v>Long-term</v>
      </c>
    </row>
    <row r="1235" spans="1:16" x14ac:dyDescent="0.25">
      <c r="A1235">
        <v>2025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  <c r="M1235" t="str">
        <f t="shared" si="76"/>
        <v>30-45</v>
      </c>
      <c r="N1235" t="str">
        <f t="shared" si="77"/>
        <v>Medium</v>
      </c>
      <c r="O1235" t="str">
        <f t="shared" si="78"/>
        <v>Low Balance</v>
      </c>
      <c r="P1235" t="str">
        <f t="shared" si="79"/>
        <v>Mid-term</v>
      </c>
    </row>
    <row r="1236" spans="1:16" x14ac:dyDescent="0.25">
      <c r="A1236">
        <v>2025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  <c r="M1236" t="str">
        <f t="shared" si="76"/>
        <v>60+</v>
      </c>
      <c r="N1236" t="str">
        <f t="shared" si="77"/>
        <v>High</v>
      </c>
      <c r="O1236" t="str">
        <f t="shared" si="78"/>
        <v>High Balance</v>
      </c>
      <c r="P1236" t="str">
        <f t="shared" si="79"/>
        <v>Mid-term</v>
      </c>
    </row>
    <row r="1237" spans="1:16" x14ac:dyDescent="0.25">
      <c r="A1237">
        <v>2025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  <c r="M1237" t="str">
        <f t="shared" si="76"/>
        <v>60+</v>
      </c>
      <c r="N1237" t="str">
        <f t="shared" si="77"/>
        <v>Medium</v>
      </c>
      <c r="O1237" t="str">
        <f t="shared" si="78"/>
        <v>High Balance</v>
      </c>
      <c r="P1237" t="str">
        <f t="shared" si="79"/>
        <v>Mid-term</v>
      </c>
    </row>
    <row r="1238" spans="1:16" x14ac:dyDescent="0.25">
      <c r="A1238">
        <v>2025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  <c r="M1238" t="str">
        <f t="shared" si="76"/>
        <v>30-45</v>
      </c>
      <c r="N1238" t="str">
        <f t="shared" si="77"/>
        <v>Medium</v>
      </c>
      <c r="O1238" t="str">
        <f t="shared" si="78"/>
        <v>High Balance</v>
      </c>
      <c r="P1238" t="str">
        <f t="shared" si="79"/>
        <v>New</v>
      </c>
    </row>
    <row r="1239" spans="1:16" x14ac:dyDescent="0.25">
      <c r="A1239">
        <v>2025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  <c r="M1239" t="str">
        <f t="shared" si="76"/>
        <v>30-45</v>
      </c>
      <c r="N1239" t="str">
        <f t="shared" si="77"/>
        <v>High</v>
      </c>
      <c r="O1239" t="str">
        <f t="shared" si="78"/>
        <v>Zero Balance</v>
      </c>
      <c r="P1239" t="str">
        <f t="shared" si="79"/>
        <v>Mid-term</v>
      </c>
    </row>
    <row r="1240" spans="1:16" x14ac:dyDescent="0.25">
      <c r="A1240">
        <v>2025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  <c r="M1240" t="str">
        <f t="shared" si="76"/>
        <v>&lt;30</v>
      </c>
      <c r="N1240" t="str">
        <f t="shared" si="77"/>
        <v>High</v>
      </c>
      <c r="O1240" t="str">
        <f t="shared" si="78"/>
        <v>High Balance</v>
      </c>
      <c r="P1240" t="str">
        <f t="shared" si="79"/>
        <v>New</v>
      </c>
    </row>
    <row r="1241" spans="1:16" x14ac:dyDescent="0.25">
      <c r="A1241">
        <v>2025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  <c r="M1241" t="str">
        <f t="shared" si="76"/>
        <v>&lt;30</v>
      </c>
      <c r="N1241" t="str">
        <f t="shared" si="77"/>
        <v>Medium</v>
      </c>
      <c r="O1241" t="str">
        <f t="shared" si="78"/>
        <v>Zero Balance</v>
      </c>
      <c r="P1241" t="str">
        <f t="shared" si="79"/>
        <v>Mid-term</v>
      </c>
    </row>
    <row r="1242" spans="1:16" x14ac:dyDescent="0.25">
      <c r="A1242">
        <v>2025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  <c r="M1242" t="str">
        <f t="shared" si="76"/>
        <v>30-45</v>
      </c>
      <c r="N1242" t="str">
        <f t="shared" si="77"/>
        <v>Medium</v>
      </c>
      <c r="O1242" t="str">
        <f t="shared" si="78"/>
        <v>High Balance</v>
      </c>
      <c r="P1242" t="str">
        <f t="shared" si="79"/>
        <v>Long-term</v>
      </c>
    </row>
    <row r="1243" spans="1:16" x14ac:dyDescent="0.25">
      <c r="A1243">
        <v>2025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  <c r="M1243" t="str">
        <f t="shared" si="76"/>
        <v>&lt;30</v>
      </c>
      <c r="N1243" t="str">
        <f t="shared" si="77"/>
        <v>Medium</v>
      </c>
      <c r="O1243" t="str">
        <f t="shared" si="78"/>
        <v>High Balance</v>
      </c>
      <c r="P1243" t="str">
        <f t="shared" si="79"/>
        <v>New</v>
      </c>
    </row>
    <row r="1244" spans="1:16" x14ac:dyDescent="0.25">
      <c r="A1244">
        <v>2025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  <c r="M1244" t="str">
        <f t="shared" si="76"/>
        <v>30-45</v>
      </c>
      <c r="N1244" t="str">
        <f t="shared" si="77"/>
        <v>Medium</v>
      </c>
      <c r="O1244" t="str">
        <f t="shared" si="78"/>
        <v>High Balance</v>
      </c>
      <c r="P1244" t="str">
        <f t="shared" si="79"/>
        <v>Mid-term</v>
      </c>
    </row>
    <row r="1245" spans="1:16" x14ac:dyDescent="0.25">
      <c r="A1245">
        <v>2025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  <c r="M1245" t="str">
        <f t="shared" si="76"/>
        <v>&lt;30</v>
      </c>
      <c r="N1245" t="str">
        <f t="shared" si="77"/>
        <v>Medium</v>
      </c>
      <c r="O1245" t="str">
        <f t="shared" si="78"/>
        <v>High Balance</v>
      </c>
      <c r="P1245" t="str">
        <f t="shared" si="79"/>
        <v>Mid-term</v>
      </c>
    </row>
    <row r="1246" spans="1:16" x14ac:dyDescent="0.25">
      <c r="A1246">
        <v>2025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  <c r="M1246" t="str">
        <f t="shared" si="76"/>
        <v>30-45</v>
      </c>
      <c r="N1246" t="str">
        <f t="shared" si="77"/>
        <v>Medium</v>
      </c>
      <c r="O1246" t="str">
        <f t="shared" si="78"/>
        <v>High Balance</v>
      </c>
      <c r="P1246" t="str">
        <f t="shared" si="79"/>
        <v>New</v>
      </c>
    </row>
    <row r="1247" spans="1:16" x14ac:dyDescent="0.25">
      <c r="A1247">
        <v>2025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  <c r="M1247" t="str">
        <f t="shared" si="76"/>
        <v>30-45</v>
      </c>
      <c r="N1247" t="str">
        <f t="shared" si="77"/>
        <v>Medium</v>
      </c>
      <c r="O1247" t="str">
        <f t="shared" si="78"/>
        <v>Low Balance</v>
      </c>
      <c r="P1247" t="str">
        <f t="shared" si="79"/>
        <v>Long-term</v>
      </c>
    </row>
    <row r="1248" spans="1:16" x14ac:dyDescent="0.25">
      <c r="A1248">
        <v>2025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  <c r="M1248" t="str">
        <f t="shared" si="76"/>
        <v>60+</v>
      </c>
      <c r="N1248" t="str">
        <f t="shared" si="77"/>
        <v>Medium</v>
      </c>
      <c r="O1248" t="str">
        <f t="shared" si="78"/>
        <v>Zero Balance</v>
      </c>
      <c r="P1248" t="str">
        <f t="shared" si="79"/>
        <v>Mid-term</v>
      </c>
    </row>
    <row r="1249" spans="1:16" x14ac:dyDescent="0.25">
      <c r="A1249">
        <v>2025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  <c r="M1249" t="str">
        <f t="shared" si="76"/>
        <v>&lt;30</v>
      </c>
      <c r="N1249" t="str">
        <f t="shared" si="77"/>
        <v>Medium</v>
      </c>
      <c r="O1249" t="str">
        <f t="shared" si="78"/>
        <v>Zero Balance</v>
      </c>
      <c r="P1249" t="str">
        <f t="shared" si="79"/>
        <v>Mid-term</v>
      </c>
    </row>
    <row r="1250" spans="1:16" x14ac:dyDescent="0.25">
      <c r="A1250">
        <v>2025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  <c r="M1250" t="str">
        <f t="shared" si="76"/>
        <v>&lt;30</v>
      </c>
      <c r="N1250" t="str">
        <f t="shared" si="77"/>
        <v>Medium</v>
      </c>
      <c r="O1250" t="str">
        <f t="shared" si="78"/>
        <v>Zero Balance</v>
      </c>
      <c r="P1250" t="str">
        <f t="shared" si="79"/>
        <v>New</v>
      </c>
    </row>
    <row r="1251" spans="1:16" x14ac:dyDescent="0.25">
      <c r="A1251">
        <v>2025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  <c r="M1251" t="str">
        <f t="shared" si="76"/>
        <v>&lt;30</v>
      </c>
      <c r="N1251" t="str">
        <f t="shared" si="77"/>
        <v>High</v>
      </c>
      <c r="O1251" t="str">
        <f t="shared" si="78"/>
        <v>Zero Balance</v>
      </c>
      <c r="P1251" t="str">
        <f t="shared" si="79"/>
        <v>Mid-term</v>
      </c>
    </row>
    <row r="1252" spans="1:16" x14ac:dyDescent="0.25">
      <c r="A1252">
        <v>2025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  <c r="M1252" t="str">
        <f t="shared" si="76"/>
        <v>30-45</v>
      </c>
      <c r="N1252" t="str">
        <f t="shared" si="77"/>
        <v>Medium</v>
      </c>
      <c r="O1252" t="str">
        <f t="shared" si="78"/>
        <v>High Balance</v>
      </c>
      <c r="P1252" t="str">
        <f t="shared" si="79"/>
        <v>Mid-term</v>
      </c>
    </row>
    <row r="1253" spans="1:16" x14ac:dyDescent="0.25">
      <c r="A1253">
        <v>2025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  <c r="M1253" t="str">
        <f t="shared" si="76"/>
        <v>30-45</v>
      </c>
      <c r="N1253" t="str">
        <f t="shared" si="77"/>
        <v>Medium</v>
      </c>
      <c r="O1253" t="str">
        <f t="shared" si="78"/>
        <v>High Balance</v>
      </c>
      <c r="P1253" t="str">
        <f t="shared" si="79"/>
        <v>Long-term</v>
      </c>
    </row>
    <row r="1254" spans="1:16" x14ac:dyDescent="0.25">
      <c r="A1254">
        <v>2025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  <c r="M1254" t="str">
        <f t="shared" si="76"/>
        <v>60+</v>
      </c>
      <c r="N1254" t="str">
        <f t="shared" si="77"/>
        <v>Medium</v>
      </c>
      <c r="O1254" t="str">
        <f t="shared" si="78"/>
        <v>Low Balance</v>
      </c>
      <c r="P1254" t="str">
        <f t="shared" si="79"/>
        <v>Mid-term</v>
      </c>
    </row>
    <row r="1255" spans="1:16" x14ac:dyDescent="0.25">
      <c r="A1255">
        <v>2025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  <c r="M1255" t="str">
        <f t="shared" si="76"/>
        <v>46-60</v>
      </c>
      <c r="N1255" t="str">
        <f t="shared" si="77"/>
        <v>Low</v>
      </c>
      <c r="O1255" t="str">
        <f t="shared" si="78"/>
        <v>High Balance</v>
      </c>
      <c r="P1255" t="str">
        <f t="shared" si="79"/>
        <v>Mid-term</v>
      </c>
    </row>
    <row r="1256" spans="1:16" x14ac:dyDescent="0.25">
      <c r="A1256">
        <v>2025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  <c r="M1256" t="str">
        <f t="shared" si="76"/>
        <v>46-60</v>
      </c>
      <c r="N1256" t="str">
        <f t="shared" si="77"/>
        <v>Medium</v>
      </c>
      <c r="O1256" t="str">
        <f t="shared" si="78"/>
        <v>Low Balance</v>
      </c>
      <c r="P1256" t="str">
        <f t="shared" si="79"/>
        <v>New</v>
      </c>
    </row>
    <row r="1257" spans="1:16" x14ac:dyDescent="0.25">
      <c r="A1257">
        <v>2025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  <c r="M1257" t="str">
        <f t="shared" si="76"/>
        <v>46-60</v>
      </c>
      <c r="N1257" t="str">
        <f t="shared" si="77"/>
        <v>Medium</v>
      </c>
      <c r="O1257" t="str">
        <f t="shared" si="78"/>
        <v>Zero Balance</v>
      </c>
      <c r="P1257" t="str">
        <f t="shared" si="79"/>
        <v>New</v>
      </c>
    </row>
    <row r="1258" spans="1:16" x14ac:dyDescent="0.25">
      <c r="A1258">
        <v>2025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  <c r="M1258" t="str">
        <f t="shared" si="76"/>
        <v>30-45</v>
      </c>
      <c r="N1258" t="str">
        <f t="shared" si="77"/>
        <v>High</v>
      </c>
      <c r="O1258" t="str">
        <f t="shared" si="78"/>
        <v>High Balance</v>
      </c>
      <c r="P1258" t="str">
        <f t="shared" si="79"/>
        <v>Long-term</v>
      </c>
    </row>
    <row r="1259" spans="1:16" x14ac:dyDescent="0.25">
      <c r="A1259">
        <v>2025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  <c r="M1259" t="str">
        <f t="shared" si="76"/>
        <v>30-45</v>
      </c>
      <c r="N1259" t="str">
        <f t="shared" si="77"/>
        <v>Medium</v>
      </c>
      <c r="O1259" t="str">
        <f t="shared" si="78"/>
        <v>Zero Balance</v>
      </c>
      <c r="P1259" t="str">
        <f t="shared" si="79"/>
        <v>New</v>
      </c>
    </row>
    <row r="1260" spans="1:16" x14ac:dyDescent="0.25">
      <c r="A1260">
        <v>2025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  <c r="M1260" t="str">
        <f t="shared" si="76"/>
        <v>30-45</v>
      </c>
      <c r="N1260" t="str">
        <f t="shared" si="77"/>
        <v>Medium</v>
      </c>
      <c r="O1260" t="str">
        <f t="shared" si="78"/>
        <v>Zero Balance</v>
      </c>
      <c r="P1260" t="str">
        <f t="shared" si="79"/>
        <v>New</v>
      </c>
    </row>
    <row r="1261" spans="1:16" x14ac:dyDescent="0.25">
      <c r="A1261">
        <v>2025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  <c r="M1261" t="str">
        <f t="shared" si="76"/>
        <v>30-45</v>
      </c>
      <c r="N1261" t="str">
        <f t="shared" si="77"/>
        <v>Medium</v>
      </c>
      <c r="O1261" t="str">
        <f t="shared" si="78"/>
        <v>High Balance</v>
      </c>
      <c r="P1261" t="str">
        <f t="shared" si="79"/>
        <v>New</v>
      </c>
    </row>
    <row r="1262" spans="1:16" x14ac:dyDescent="0.25">
      <c r="A1262">
        <v>2025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  <c r="M1262" t="str">
        <f t="shared" si="76"/>
        <v>&lt;30</v>
      </c>
      <c r="N1262" t="str">
        <f t="shared" si="77"/>
        <v>High</v>
      </c>
      <c r="O1262" t="str">
        <f t="shared" si="78"/>
        <v>High Balance</v>
      </c>
      <c r="P1262" t="str">
        <f t="shared" si="79"/>
        <v>Mid-term</v>
      </c>
    </row>
    <row r="1263" spans="1:16" x14ac:dyDescent="0.25">
      <c r="A1263">
        <v>2025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  <c r="M1263" t="str">
        <f t="shared" si="76"/>
        <v>30-45</v>
      </c>
      <c r="N1263" t="str">
        <f t="shared" si="77"/>
        <v>High</v>
      </c>
      <c r="O1263" t="str">
        <f t="shared" si="78"/>
        <v>Low Balance</v>
      </c>
      <c r="P1263" t="str">
        <f t="shared" si="79"/>
        <v>Mid-term</v>
      </c>
    </row>
    <row r="1264" spans="1:16" x14ac:dyDescent="0.25">
      <c r="A1264">
        <v>2025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  <c r="M1264" t="str">
        <f t="shared" si="76"/>
        <v>30-45</v>
      </c>
      <c r="N1264" t="str">
        <f t="shared" si="77"/>
        <v>Medium</v>
      </c>
      <c r="O1264" t="str">
        <f t="shared" si="78"/>
        <v>High Balance</v>
      </c>
      <c r="P1264" t="str">
        <f t="shared" si="79"/>
        <v>New</v>
      </c>
    </row>
    <row r="1265" spans="1:16" x14ac:dyDescent="0.25">
      <c r="A1265">
        <v>2025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  <c r="M1265" t="str">
        <f t="shared" si="76"/>
        <v>30-45</v>
      </c>
      <c r="N1265" t="str">
        <f t="shared" si="77"/>
        <v>Medium</v>
      </c>
      <c r="O1265" t="str">
        <f t="shared" si="78"/>
        <v>High Balance</v>
      </c>
      <c r="P1265" t="str">
        <f t="shared" si="79"/>
        <v>Mid-term</v>
      </c>
    </row>
    <row r="1266" spans="1:16" x14ac:dyDescent="0.25">
      <c r="A1266">
        <v>2025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  <c r="M1266" t="str">
        <f t="shared" si="76"/>
        <v>30-45</v>
      </c>
      <c r="N1266" t="str">
        <f t="shared" si="77"/>
        <v>High</v>
      </c>
      <c r="O1266" t="str">
        <f t="shared" si="78"/>
        <v>High Balance</v>
      </c>
      <c r="P1266" t="str">
        <f t="shared" si="79"/>
        <v>Long-term</v>
      </c>
    </row>
    <row r="1267" spans="1:16" x14ac:dyDescent="0.25">
      <c r="A1267">
        <v>2025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  <c r="M1267" t="str">
        <f t="shared" si="76"/>
        <v>46-60</v>
      </c>
      <c r="N1267" t="str">
        <f t="shared" si="77"/>
        <v>Medium</v>
      </c>
      <c r="O1267" t="str">
        <f t="shared" si="78"/>
        <v>High Balance</v>
      </c>
      <c r="P1267" t="str">
        <f t="shared" si="79"/>
        <v>Long-term</v>
      </c>
    </row>
    <row r="1268" spans="1:16" x14ac:dyDescent="0.25">
      <c r="A1268">
        <v>2025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  <c r="M1268" t="str">
        <f t="shared" si="76"/>
        <v>30-45</v>
      </c>
      <c r="N1268" t="str">
        <f t="shared" si="77"/>
        <v>Medium</v>
      </c>
      <c r="O1268" t="str">
        <f t="shared" si="78"/>
        <v>Zero Balance</v>
      </c>
      <c r="P1268" t="str">
        <f t="shared" si="79"/>
        <v>New</v>
      </c>
    </row>
    <row r="1269" spans="1:16" x14ac:dyDescent="0.25">
      <c r="A1269">
        <v>2025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  <c r="M1269" t="str">
        <f t="shared" si="76"/>
        <v>30-45</v>
      </c>
      <c r="N1269" t="str">
        <f t="shared" si="77"/>
        <v>High</v>
      </c>
      <c r="O1269" t="str">
        <f t="shared" si="78"/>
        <v>High Balance</v>
      </c>
      <c r="P1269" t="str">
        <f t="shared" si="79"/>
        <v>New</v>
      </c>
    </row>
    <row r="1270" spans="1:16" x14ac:dyDescent="0.25">
      <c r="A1270">
        <v>2025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  <c r="M1270" t="str">
        <f t="shared" si="76"/>
        <v>30-45</v>
      </c>
      <c r="N1270" t="str">
        <f t="shared" si="77"/>
        <v>Medium</v>
      </c>
      <c r="O1270" t="str">
        <f t="shared" si="78"/>
        <v>High Balance</v>
      </c>
      <c r="P1270" t="str">
        <f t="shared" si="79"/>
        <v>Mid-term</v>
      </c>
    </row>
    <row r="1271" spans="1:16" x14ac:dyDescent="0.25">
      <c r="A1271">
        <v>2025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  <c r="M1271" t="str">
        <f t="shared" si="76"/>
        <v>30-45</v>
      </c>
      <c r="N1271" t="str">
        <f t="shared" si="77"/>
        <v>Medium</v>
      </c>
      <c r="O1271" t="str">
        <f t="shared" si="78"/>
        <v>High Balance</v>
      </c>
      <c r="P1271" t="str">
        <f t="shared" si="79"/>
        <v>Mid-term</v>
      </c>
    </row>
    <row r="1272" spans="1:16" x14ac:dyDescent="0.25">
      <c r="A1272">
        <v>2025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  <c r="M1272" t="str">
        <f t="shared" si="76"/>
        <v>30-45</v>
      </c>
      <c r="N1272" t="str">
        <f t="shared" si="77"/>
        <v>High</v>
      </c>
      <c r="O1272" t="str">
        <f t="shared" si="78"/>
        <v>High Balance</v>
      </c>
      <c r="P1272" t="str">
        <f t="shared" si="79"/>
        <v>Mid-term</v>
      </c>
    </row>
    <row r="1273" spans="1:16" x14ac:dyDescent="0.25">
      <c r="A1273">
        <v>2025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  <c r="M1273" t="str">
        <f t="shared" si="76"/>
        <v>30-45</v>
      </c>
      <c r="N1273" t="str">
        <f t="shared" si="77"/>
        <v>High</v>
      </c>
      <c r="O1273" t="str">
        <f t="shared" si="78"/>
        <v>Low Balance</v>
      </c>
      <c r="P1273" t="str">
        <f t="shared" si="79"/>
        <v>New</v>
      </c>
    </row>
    <row r="1274" spans="1:16" x14ac:dyDescent="0.25">
      <c r="A1274">
        <v>2025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  <c r="M1274" t="str">
        <f t="shared" si="76"/>
        <v>30-45</v>
      </c>
      <c r="N1274" t="str">
        <f t="shared" si="77"/>
        <v>Medium</v>
      </c>
      <c r="O1274" t="str">
        <f t="shared" si="78"/>
        <v>High Balance</v>
      </c>
      <c r="P1274" t="str">
        <f t="shared" si="79"/>
        <v>Mid-term</v>
      </c>
    </row>
    <row r="1275" spans="1:16" x14ac:dyDescent="0.25">
      <c r="A1275">
        <v>2025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  <c r="M1275" t="str">
        <f t="shared" si="76"/>
        <v>30-45</v>
      </c>
      <c r="N1275" t="str">
        <f t="shared" si="77"/>
        <v>Low</v>
      </c>
      <c r="O1275" t="str">
        <f t="shared" si="78"/>
        <v>Zero Balance</v>
      </c>
      <c r="P1275" t="str">
        <f t="shared" si="79"/>
        <v>Mid-term</v>
      </c>
    </row>
    <row r="1276" spans="1:16" x14ac:dyDescent="0.25">
      <c r="A1276">
        <v>2025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  <c r="M1276" t="str">
        <f t="shared" si="76"/>
        <v>30-45</v>
      </c>
      <c r="N1276" t="str">
        <f t="shared" si="77"/>
        <v>Medium</v>
      </c>
      <c r="O1276" t="str">
        <f t="shared" si="78"/>
        <v>High Balance</v>
      </c>
      <c r="P1276" t="str">
        <f t="shared" si="79"/>
        <v>Mid-term</v>
      </c>
    </row>
    <row r="1277" spans="1:16" x14ac:dyDescent="0.25">
      <c r="A1277">
        <v>2025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  <c r="M1277" t="str">
        <f t="shared" si="76"/>
        <v>30-45</v>
      </c>
      <c r="N1277" t="str">
        <f t="shared" si="77"/>
        <v>High</v>
      </c>
      <c r="O1277" t="str">
        <f t="shared" si="78"/>
        <v>High Balance</v>
      </c>
      <c r="P1277" t="str">
        <f t="shared" si="79"/>
        <v>Long-term</v>
      </c>
    </row>
    <row r="1278" spans="1:16" x14ac:dyDescent="0.25">
      <c r="A1278">
        <v>2025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  <c r="M1278" t="str">
        <f t="shared" si="76"/>
        <v>30-45</v>
      </c>
      <c r="N1278" t="str">
        <f t="shared" si="77"/>
        <v>Medium</v>
      </c>
      <c r="O1278" t="str">
        <f t="shared" si="78"/>
        <v>High Balance</v>
      </c>
      <c r="P1278" t="str">
        <f t="shared" si="79"/>
        <v>Mid-term</v>
      </c>
    </row>
    <row r="1279" spans="1:16" x14ac:dyDescent="0.25">
      <c r="A1279">
        <v>2025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  <c r="M1279" t="str">
        <f t="shared" si="76"/>
        <v>30-45</v>
      </c>
      <c r="N1279" t="str">
        <f t="shared" si="77"/>
        <v>High</v>
      </c>
      <c r="O1279" t="str">
        <f t="shared" si="78"/>
        <v>Low Balance</v>
      </c>
      <c r="P1279" t="str">
        <f t="shared" si="79"/>
        <v>Mid-term</v>
      </c>
    </row>
    <row r="1280" spans="1:16" x14ac:dyDescent="0.25">
      <c r="A1280">
        <v>2025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  <c r="M1280" t="str">
        <f t="shared" si="76"/>
        <v>60+</v>
      </c>
      <c r="N1280" t="str">
        <f t="shared" si="77"/>
        <v>Medium</v>
      </c>
      <c r="O1280" t="str">
        <f t="shared" si="78"/>
        <v>Zero Balance</v>
      </c>
      <c r="P1280" t="str">
        <f t="shared" si="79"/>
        <v>Mid-term</v>
      </c>
    </row>
    <row r="1281" spans="1:16" x14ac:dyDescent="0.25">
      <c r="A1281">
        <v>2025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  <c r="M1281" t="str">
        <f t="shared" si="76"/>
        <v>30-45</v>
      </c>
      <c r="N1281" t="str">
        <f t="shared" si="77"/>
        <v>Medium</v>
      </c>
      <c r="O1281" t="str">
        <f t="shared" si="78"/>
        <v>Zero Balance</v>
      </c>
      <c r="P1281" t="str">
        <f t="shared" si="79"/>
        <v>Mid-term</v>
      </c>
    </row>
    <row r="1282" spans="1:16" x14ac:dyDescent="0.25">
      <c r="A1282">
        <v>2025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  <c r="M1282" t="str">
        <f t="shared" si="76"/>
        <v>&lt;30</v>
      </c>
      <c r="N1282" t="str">
        <f t="shared" si="77"/>
        <v>High</v>
      </c>
      <c r="O1282" t="str">
        <f t="shared" si="78"/>
        <v>Zero Balance</v>
      </c>
      <c r="P1282" t="str">
        <f t="shared" si="79"/>
        <v>Mid-term</v>
      </c>
    </row>
    <row r="1283" spans="1:16" x14ac:dyDescent="0.25">
      <c r="A1283">
        <v>2025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  <c r="M1283" t="str">
        <f t="shared" ref="M1283:M1346" si="80">IF(E1283&lt;30,"&lt;30",IF(E1283&lt;=45,"30-45",IF(E1283&lt;=60,"46-60","60+")))</f>
        <v>46-60</v>
      </c>
      <c r="N1283" t="str">
        <f t="shared" ref="N1283:N1346" si="81">IF(B1283&lt;500,"Low",IF(B1283&lt;700,"Medium","High"))</f>
        <v>High</v>
      </c>
      <c r="O1283" t="str">
        <f t="shared" ref="O1283:O1346" si="82">IF(G1283=0,"Zero Balance",IF(G1283&lt;100000,"Low Balance","High Balance"))</f>
        <v>High Balance</v>
      </c>
      <c r="P1283" t="str">
        <f t="shared" ref="P1283:P1346" si="83">IF(F1283&lt;=3,"New",IF(F1283&lt;=7,"Mid-term","Long-term"))</f>
        <v>Long-term</v>
      </c>
    </row>
    <row r="1284" spans="1:16" x14ac:dyDescent="0.25">
      <c r="A1284">
        <v>2025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  <c r="M1284" t="str">
        <f t="shared" si="80"/>
        <v>30-45</v>
      </c>
      <c r="N1284" t="str">
        <f t="shared" si="81"/>
        <v>Medium</v>
      </c>
      <c r="O1284" t="str">
        <f t="shared" si="82"/>
        <v>Zero Balance</v>
      </c>
      <c r="P1284" t="str">
        <f t="shared" si="83"/>
        <v>Long-term</v>
      </c>
    </row>
    <row r="1285" spans="1:16" x14ac:dyDescent="0.25">
      <c r="A1285">
        <v>2025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  <c r="M1285" t="str">
        <f t="shared" si="80"/>
        <v>30-45</v>
      </c>
      <c r="N1285" t="str">
        <f t="shared" si="81"/>
        <v>Medium</v>
      </c>
      <c r="O1285" t="str">
        <f t="shared" si="82"/>
        <v>High Balance</v>
      </c>
      <c r="P1285" t="str">
        <f t="shared" si="83"/>
        <v>Mid-term</v>
      </c>
    </row>
    <row r="1286" spans="1:16" x14ac:dyDescent="0.25">
      <c r="A1286">
        <v>2025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  <c r="M1286" t="str">
        <f t="shared" si="80"/>
        <v>46-60</v>
      </c>
      <c r="N1286" t="str">
        <f t="shared" si="81"/>
        <v>Medium</v>
      </c>
      <c r="O1286" t="str">
        <f t="shared" si="82"/>
        <v>High Balance</v>
      </c>
      <c r="P1286" t="str">
        <f t="shared" si="83"/>
        <v>Mid-term</v>
      </c>
    </row>
    <row r="1287" spans="1:16" x14ac:dyDescent="0.25">
      <c r="A1287">
        <v>2025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  <c r="M1287" t="str">
        <f t="shared" si="80"/>
        <v>60+</v>
      </c>
      <c r="N1287" t="str">
        <f t="shared" si="81"/>
        <v>Medium</v>
      </c>
      <c r="O1287" t="str">
        <f t="shared" si="82"/>
        <v>High Balance</v>
      </c>
      <c r="P1287" t="str">
        <f t="shared" si="83"/>
        <v>Mid-term</v>
      </c>
    </row>
    <row r="1288" spans="1:16" x14ac:dyDescent="0.25">
      <c r="A1288">
        <v>2025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  <c r="M1288" t="str">
        <f t="shared" si="80"/>
        <v>30-45</v>
      </c>
      <c r="N1288" t="str">
        <f t="shared" si="81"/>
        <v>Medium</v>
      </c>
      <c r="O1288" t="str">
        <f t="shared" si="82"/>
        <v>High Balance</v>
      </c>
      <c r="P1288" t="str">
        <f t="shared" si="83"/>
        <v>Mid-term</v>
      </c>
    </row>
    <row r="1289" spans="1:16" x14ac:dyDescent="0.25">
      <c r="A1289">
        <v>2025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  <c r="M1289" t="str">
        <f t="shared" si="80"/>
        <v>30-45</v>
      </c>
      <c r="N1289" t="str">
        <f t="shared" si="81"/>
        <v>Medium</v>
      </c>
      <c r="O1289" t="str">
        <f t="shared" si="82"/>
        <v>High Balance</v>
      </c>
      <c r="P1289" t="str">
        <f t="shared" si="83"/>
        <v>Long-term</v>
      </c>
    </row>
    <row r="1290" spans="1:16" x14ac:dyDescent="0.25">
      <c r="A1290">
        <v>2025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  <c r="M1290" t="str">
        <f t="shared" si="80"/>
        <v>30-45</v>
      </c>
      <c r="N1290" t="str">
        <f t="shared" si="81"/>
        <v>Medium</v>
      </c>
      <c r="O1290" t="str">
        <f t="shared" si="82"/>
        <v>High Balance</v>
      </c>
      <c r="P1290" t="str">
        <f t="shared" si="83"/>
        <v>Mid-term</v>
      </c>
    </row>
    <row r="1291" spans="1:16" x14ac:dyDescent="0.25">
      <c r="A1291">
        <v>2025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  <c r="M1291" t="str">
        <f t="shared" si="80"/>
        <v>30-45</v>
      </c>
      <c r="N1291" t="str">
        <f t="shared" si="81"/>
        <v>Medium</v>
      </c>
      <c r="O1291" t="str">
        <f t="shared" si="82"/>
        <v>High Balance</v>
      </c>
      <c r="P1291" t="str">
        <f t="shared" si="83"/>
        <v>Long-term</v>
      </c>
    </row>
    <row r="1292" spans="1:16" x14ac:dyDescent="0.25">
      <c r="A1292">
        <v>2025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  <c r="M1292" t="str">
        <f t="shared" si="80"/>
        <v>30-45</v>
      </c>
      <c r="N1292" t="str">
        <f t="shared" si="81"/>
        <v>Medium</v>
      </c>
      <c r="O1292" t="str">
        <f t="shared" si="82"/>
        <v>High Balance</v>
      </c>
      <c r="P1292" t="str">
        <f t="shared" si="83"/>
        <v>Long-term</v>
      </c>
    </row>
    <row r="1293" spans="1:16" x14ac:dyDescent="0.25">
      <c r="A1293">
        <v>2025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  <c r="M1293" t="str">
        <f t="shared" si="80"/>
        <v>30-45</v>
      </c>
      <c r="N1293" t="str">
        <f t="shared" si="81"/>
        <v>High</v>
      </c>
      <c r="O1293" t="str">
        <f t="shared" si="82"/>
        <v>High Balance</v>
      </c>
      <c r="P1293" t="str">
        <f t="shared" si="83"/>
        <v>New</v>
      </c>
    </row>
    <row r="1294" spans="1:16" x14ac:dyDescent="0.25">
      <c r="A1294">
        <v>2025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  <c r="M1294" t="str">
        <f t="shared" si="80"/>
        <v>30-45</v>
      </c>
      <c r="N1294" t="str">
        <f t="shared" si="81"/>
        <v>High</v>
      </c>
      <c r="O1294" t="str">
        <f t="shared" si="82"/>
        <v>Zero Balance</v>
      </c>
      <c r="P1294" t="str">
        <f t="shared" si="83"/>
        <v>Mid-term</v>
      </c>
    </row>
    <row r="1295" spans="1:16" x14ac:dyDescent="0.25">
      <c r="A1295">
        <v>2025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  <c r="M1295" t="str">
        <f t="shared" si="80"/>
        <v>30-45</v>
      </c>
      <c r="N1295" t="str">
        <f t="shared" si="81"/>
        <v>Medium</v>
      </c>
      <c r="O1295" t="str">
        <f t="shared" si="82"/>
        <v>Low Balance</v>
      </c>
      <c r="P1295" t="str">
        <f t="shared" si="83"/>
        <v>New</v>
      </c>
    </row>
    <row r="1296" spans="1:16" x14ac:dyDescent="0.25">
      <c r="A1296">
        <v>2025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  <c r="M1296" t="str">
        <f t="shared" si="80"/>
        <v>30-45</v>
      </c>
      <c r="N1296" t="str">
        <f t="shared" si="81"/>
        <v>High</v>
      </c>
      <c r="O1296" t="str">
        <f t="shared" si="82"/>
        <v>High Balance</v>
      </c>
      <c r="P1296" t="str">
        <f t="shared" si="83"/>
        <v>New</v>
      </c>
    </row>
    <row r="1297" spans="1:16" x14ac:dyDescent="0.25">
      <c r="A1297">
        <v>2025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  <c r="M1297" t="str">
        <f t="shared" si="80"/>
        <v>30-45</v>
      </c>
      <c r="N1297" t="str">
        <f t="shared" si="81"/>
        <v>Medium</v>
      </c>
      <c r="O1297" t="str">
        <f t="shared" si="82"/>
        <v>High Balance</v>
      </c>
      <c r="P1297" t="str">
        <f t="shared" si="83"/>
        <v>New</v>
      </c>
    </row>
    <row r="1298" spans="1:16" x14ac:dyDescent="0.25">
      <c r="A1298">
        <v>2025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  <c r="M1298" t="str">
        <f t="shared" si="80"/>
        <v>46-60</v>
      </c>
      <c r="N1298" t="str">
        <f t="shared" si="81"/>
        <v>Medium</v>
      </c>
      <c r="O1298" t="str">
        <f t="shared" si="82"/>
        <v>Low Balance</v>
      </c>
      <c r="P1298" t="str">
        <f t="shared" si="83"/>
        <v>New</v>
      </c>
    </row>
    <row r="1299" spans="1:16" x14ac:dyDescent="0.25">
      <c r="A1299">
        <v>2025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  <c r="M1299" t="str">
        <f t="shared" si="80"/>
        <v>30-45</v>
      </c>
      <c r="N1299" t="str">
        <f t="shared" si="81"/>
        <v>Low</v>
      </c>
      <c r="O1299" t="str">
        <f t="shared" si="82"/>
        <v>Zero Balance</v>
      </c>
      <c r="P1299" t="str">
        <f t="shared" si="83"/>
        <v>Mid-term</v>
      </c>
    </row>
    <row r="1300" spans="1:16" x14ac:dyDescent="0.25">
      <c r="A1300">
        <v>2025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  <c r="M1300" t="str">
        <f t="shared" si="80"/>
        <v>30-45</v>
      </c>
      <c r="N1300" t="str">
        <f t="shared" si="81"/>
        <v>Medium</v>
      </c>
      <c r="O1300" t="str">
        <f t="shared" si="82"/>
        <v>Low Balance</v>
      </c>
      <c r="P1300" t="str">
        <f t="shared" si="83"/>
        <v>Long-term</v>
      </c>
    </row>
    <row r="1301" spans="1:16" x14ac:dyDescent="0.25">
      <c r="A1301">
        <v>2025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  <c r="M1301" t="str">
        <f t="shared" si="80"/>
        <v>30-45</v>
      </c>
      <c r="N1301" t="str">
        <f t="shared" si="81"/>
        <v>Medium</v>
      </c>
      <c r="O1301" t="str">
        <f t="shared" si="82"/>
        <v>High Balance</v>
      </c>
      <c r="P1301" t="str">
        <f t="shared" si="83"/>
        <v>Long-term</v>
      </c>
    </row>
    <row r="1302" spans="1:16" x14ac:dyDescent="0.25">
      <c r="A1302">
        <v>2025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  <c r="M1302" t="str">
        <f t="shared" si="80"/>
        <v>30-45</v>
      </c>
      <c r="N1302" t="str">
        <f t="shared" si="81"/>
        <v>Medium</v>
      </c>
      <c r="O1302" t="str">
        <f t="shared" si="82"/>
        <v>High Balance</v>
      </c>
      <c r="P1302" t="str">
        <f t="shared" si="83"/>
        <v>New</v>
      </c>
    </row>
    <row r="1303" spans="1:16" x14ac:dyDescent="0.25">
      <c r="A1303">
        <v>2025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  <c r="M1303" t="str">
        <f t="shared" si="80"/>
        <v>30-45</v>
      </c>
      <c r="N1303" t="str">
        <f t="shared" si="81"/>
        <v>Medium</v>
      </c>
      <c r="O1303" t="str">
        <f t="shared" si="82"/>
        <v>Low Balance</v>
      </c>
      <c r="P1303" t="str">
        <f t="shared" si="83"/>
        <v>New</v>
      </c>
    </row>
    <row r="1304" spans="1:16" x14ac:dyDescent="0.25">
      <c r="A1304">
        <v>2025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  <c r="M1304" t="str">
        <f t="shared" si="80"/>
        <v>30-45</v>
      </c>
      <c r="N1304" t="str">
        <f t="shared" si="81"/>
        <v>Low</v>
      </c>
      <c r="O1304" t="str">
        <f t="shared" si="82"/>
        <v>Zero Balance</v>
      </c>
      <c r="P1304" t="str">
        <f t="shared" si="83"/>
        <v>New</v>
      </c>
    </row>
    <row r="1305" spans="1:16" x14ac:dyDescent="0.25">
      <c r="A1305">
        <v>2025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  <c r="M1305" t="str">
        <f t="shared" si="80"/>
        <v>30-45</v>
      </c>
      <c r="N1305" t="str">
        <f t="shared" si="81"/>
        <v>Medium</v>
      </c>
      <c r="O1305" t="str">
        <f t="shared" si="82"/>
        <v>High Balance</v>
      </c>
      <c r="P1305" t="str">
        <f t="shared" si="83"/>
        <v>Long-term</v>
      </c>
    </row>
    <row r="1306" spans="1:16" x14ac:dyDescent="0.25">
      <c r="A1306">
        <v>2025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  <c r="M1306" t="str">
        <f t="shared" si="80"/>
        <v>30-45</v>
      </c>
      <c r="N1306" t="str">
        <f t="shared" si="81"/>
        <v>High</v>
      </c>
      <c r="O1306" t="str">
        <f t="shared" si="82"/>
        <v>High Balance</v>
      </c>
      <c r="P1306" t="str">
        <f t="shared" si="83"/>
        <v>New</v>
      </c>
    </row>
    <row r="1307" spans="1:16" x14ac:dyDescent="0.25">
      <c r="A1307">
        <v>2025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  <c r="M1307" t="str">
        <f t="shared" si="80"/>
        <v>46-60</v>
      </c>
      <c r="N1307" t="str">
        <f t="shared" si="81"/>
        <v>High</v>
      </c>
      <c r="O1307" t="str">
        <f t="shared" si="82"/>
        <v>Low Balance</v>
      </c>
      <c r="P1307" t="str">
        <f t="shared" si="83"/>
        <v>Long-term</v>
      </c>
    </row>
    <row r="1308" spans="1:16" x14ac:dyDescent="0.25">
      <c r="A1308">
        <v>2025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  <c r="M1308" t="str">
        <f t="shared" si="80"/>
        <v>46-60</v>
      </c>
      <c r="N1308" t="str">
        <f t="shared" si="81"/>
        <v>High</v>
      </c>
      <c r="O1308" t="str">
        <f t="shared" si="82"/>
        <v>Low Balance</v>
      </c>
      <c r="P1308" t="str">
        <f t="shared" si="83"/>
        <v>New</v>
      </c>
    </row>
    <row r="1309" spans="1:16" x14ac:dyDescent="0.25">
      <c r="A1309">
        <v>2025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  <c r="M1309" t="str">
        <f t="shared" si="80"/>
        <v>46-60</v>
      </c>
      <c r="N1309" t="str">
        <f t="shared" si="81"/>
        <v>Medium</v>
      </c>
      <c r="O1309" t="str">
        <f t="shared" si="82"/>
        <v>Zero Balance</v>
      </c>
      <c r="P1309" t="str">
        <f t="shared" si="83"/>
        <v>New</v>
      </c>
    </row>
    <row r="1310" spans="1:16" x14ac:dyDescent="0.25">
      <c r="A1310">
        <v>2025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  <c r="M1310" t="str">
        <f t="shared" si="80"/>
        <v>30-45</v>
      </c>
      <c r="N1310" t="str">
        <f t="shared" si="81"/>
        <v>High</v>
      </c>
      <c r="O1310" t="str">
        <f t="shared" si="82"/>
        <v>High Balance</v>
      </c>
      <c r="P1310" t="str">
        <f t="shared" si="83"/>
        <v>Long-term</v>
      </c>
    </row>
    <row r="1311" spans="1:16" x14ac:dyDescent="0.25">
      <c r="A1311">
        <v>2025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  <c r="M1311" t="str">
        <f t="shared" si="80"/>
        <v>30-45</v>
      </c>
      <c r="N1311" t="str">
        <f t="shared" si="81"/>
        <v>Medium</v>
      </c>
      <c r="O1311" t="str">
        <f t="shared" si="82"/>
        <v>High Balance</v>
      </c>
      <c r="P1311" t="str">
        <f t="shared" si="83"/>
        <v>Long-term</v>
      </c>
    </row>
    <row r="1312" spans="1:16" x14ac:dyDescent="0.25">
      <c r="A1312">
        <v>2025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  <c r="M1312" t="str">
        <f t="shared" si="80"/>
        <v>&lt;30</v>
      </c>
      <c r="N1312" t="str">
        <f t="shared" si="81"/>
        <v>High</v>
      </c>
      <c r="O1312" t="str">
        <f t="shared" si="82"/>
        <v>Low Balance</v>
      </c>
      <c r="P1312" t="str">
        <f t="shared" si="83"/>
        <v>New</v>
      </c>
    </row>
    <row r="1313" spans="1:16" x14ac:dyDescent="0.25">
      <c r="A1313">
        <v>2025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  <c r="M1313" t="str">
        <f t="shared" si="80"/>
        <v>30-45</v>
      </c>
      <c r="N1313" t="str">
        <f t="shared" si="81"/>
        <v>High</v>
      </c>
      <c r="O1313" t="str">
        <f t="shared" si="82"/>
        <v>High Balance</v>
      </c>
      <c r="P1313" t="str">
        <f t="shared" si="83"/>
        <v>Mid-term</v>
      </c>
    </row>
    <row r="1314" spans="1:16" x14ac:dyDescent="0.25">
      <c r="A1314">
        <v>2025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  <c r="M1314" t="str">
        <f t="shared" si="80"/>
        <v>30-45</v>
      </c>
      <c r="N1314" t="str">
        <f t="shared" si="81"/>
        <v>Medium</v>
      </c>
      <c r="O1314" t="str">
        <f t="shared" si="82"/>
        <v>Low Balance</v>
      </c>
      <c r="P1314" t="str">
        <f t="shared" si="83"/>
        <v>Long-term</v>
      </c>
    </row>
    <row r="1315" spans="1:16" x14ac:dyDescent="0.25">
      <c r="A1315">
        <v>2025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  <c r="M1315" t="str">
        <f t="shared" si="80"/>
        <v>30-45</v>
      </c>
      <c r="N1315" t="str">
        <f t="shared" si="81"/>
        <v>High</v>
      </c>
      <c r="O1315" t="str">
        <f t="shared" si="82"/>
        <v>Zero Balance</v>
      </c>
      <c r="P1315" t="str">
        <f t="shared" si="83"/>
        <v>New</v>
      </c>
    </row>
    <row r="1316" spans="1:16" x14ac:dyDescent="0.25">
      <c r="A1316">
        <v>2025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  <c r="M1316" t="str">
        <f t="shared" si="80"/>
        <v>46-60</v>
      </c>
      <c r="N1316" t="str">
        <f t="shared" si="81"/>
        <v>Medium</v>
      </c>
      <c r="O1316" t="str">
        <f t="shared" si="82"/>
        <v>Zero Balance</v>
      </c>
      <c r="P1316" t="str">
        <f t="shared" si="83"/>
        <v>New</v>
      </c>
    </row>
    <row r="1317" spans="1:16" x14ac:dyDescent="0.25">
      <c r="A1317">
        <v>2025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  <c r="M1317" t="str">
        <f t="shared" si="80"/>
        <v>&lt;30</v>
      </c>
      <c r="N1317" t="str">
        <f t="shared" si="81"/>
        <v>Medium</v>
      </c>
      <c r="O1317" t="str">
        <f t="shared" si="82"/>
        <v>High Balance</v>
      </c>
      <c r="P1317" t="str">
        <f t="shared" si="83"/>
        <v>Mid-term</v>
      </c>
    </row>
    <row r="1318" spans="1:16" x14ac:dyDescent="0.25">
      <c r="A1318">
        <v>2025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  <c r="M1318" t="str">
        <f t="shared" si="80"/>
        <v>30-45</v>
      </c>
      <c r="N1318" t="str">
        <f t="shared" si="81"/>
        <v>High</v>
      </c>
      <c r="O1318" t="str">
        <f t="shared" si="82"/>
        <v>Zero Balance</v>
      </c>
      <c r="P1318" t="str">
        <f t="shared" si="83"/>
        <v>Mid-term</v>
      </c>
    </row>
    <row r="1319" spans="1:16" x14ac:dyDescent="0.25">
      <c r="A1319">
        <v>2025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  <c r="M1319" t="str">
        <f t="shared" si="80"/>
        <v>30-45</v>
      </c>
      <c r="N1319" t="str">
        <f t="shared" si="81"/>
        <v>High</v>
      </c>
      <c r="O1319" t="str">
        <f t="shared" si="82"/>
        <v>Zero Balance</v>
      </c>
      <c r="P1319" t="str">
        <f t="shared" si="83"/>
        <v>New</v>
      </c>
    </row>
    <row r="1320" spans="1:16" x14ac:dyDescent="0.25">
      <c r="A1320">
        <v>2025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  <c r="M1320" t="str">
        <f t="shared" si="80"/>
        <v>30-45</v>
      </c>
      <c r="N1320" t="str">
        <f t="shared" si="81"/>
        <v>Medium</v>
      </c>
      <c r="O1320" t="str">
        <f t="shared" si="82"/>
        <v>Zero Balance</v>
      </c>
      <c r="P1320" t="str">
        <f t="shared" si="83"/>
        <v>Mid-term</v>
      </c>
    </row>
    <row r="1321" spans="1:16" x14ac:dyDescent="0.25">
      <c r="A1321">
        <v>2025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  <c r="M1321" t="str">
        <f t="shared" si="80"/>
        <v>30-45</v>
      </c>
      <c r="N1321" t="str">
        <f t="shared" si="81"/>
        <v>High</v>
      </c>
      <c r="O1321" t="str">
        <f t="shared" si="82"/>
        <v>High Balance</v>
      </c>
      <c r="P1321" t="str">
        <f t="shared" si="83"/>
        <v>New</v>
      </c>
    </row>
    <row r="1322" spans="1:16" x14ac:dyDescent="0.25">
      <c r="A1322">
        <v>2025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  <c r="M1322" t="str">
        <f t="shared" si="80"/>
        <v>46-60</v>
      </c>
      <c r="N1322" t="str">
        <f t="shared" si="81"/>
        <v>Medium</v>
      </c>
      <c r="O1322" t="str">
        <f t="shared" si="82"/>
        <v>Zero Balance</v>
      </c>
      <c r="P1322" t="str">
        <f t="shared" si="83"/>
        <v>Mid-term</v>
      </c>
    </row>
    <row r="1323" spans="1:16" x14ac:dyDescent="0.25">
      <c r="A1323">
        <v>2025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  <c r="M1323" t="str">
        <f t="shared" si="80"/>
        <v>30-45</v>
      </c>
      <c r="N1323" t="str">
        <f t="shared" si="81"/>
        <v>High</v>
      </c>
      <c r="O1323" t="str">
        <f t="shared" si="82"/>
        <v>Zero Balance</v>
      </c>
      <c r="P1323" t="str">
        <f t="shared" si="83"/>
        <v>Mid-term</v>
      </c>
    </row>
    <row r="1324" spans="1:16" x14ac:dyDescent="0.25">
      <c r="A1324">
        <v>2025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  <c r="M1324" t="str">
        <f t="shared" si="80"/>
        <v>30-45</v>
      </c>
      <c r="N1324" t="str">
        <f t="shared" si="81"/>
        <v>High</v>
      </c>
      <c r="O1324" t="str">
        <f t="shared" si="82"/>
        <v>Low Balance</v>
      </c>
      <c r="P1324" t="str">
        <f t="shared" si="83"/>
        <v>New</v>
      </c>
    </row>
    <row r="1325" spans="1:16" x14ac:dyDescent="0.25">
      <c r="A1325">
        <v>2025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  <c r="M1325" t="str">
        <f t="shared" si="80"/>
        <v>46-60</v>
      </c>
      <c r="N1325" t="str">
        <f t="shared" si="81"/>
        <v>Medium</v>
      </c>
      <c r="O1325" t="str">
        <f t="shared" si="82"/>
        <v>High Balance</v>
      </c>
      <c r="P1325" t="str">
        <f t="shared" si="83"/>
        <v>Mid-term</v>
      </c>
    </row>
    <row r="1326" spans="1:16" x14ac:dyDescent="0.25">
      <c r="A1326">
        <v>2025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  <c r="M1326" t="str">
        <f t="shared" si="80"/>
        <v>&lt;30</v>
      </c>
      <c r="N1326" t="str">
        <f t="shared" si="81"/>
        <v>Medium</v>
      </c>
      <c r="O1326" t="str">
        <f t="shared" si="82"/>
        <v>High Balance</v>
      </c>
      <c r="P1326" t="str">
        <f t="shared" si="83"/>
        <v>New</v>
      </c>
    </row>
    <row r="1327" spans="1:16" x14ac:dyDescent="0.25">
      <c r="A1327">
        <v>2025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  <c r="M1327" t="str">
        <f t="shared" si="80"/>
        <v>46-60</v>
      </c>
      <c r="N1327" t="str">
        <f t="shared" si="81"/>
        <v>Medium</v>
      </c>
      <c r="O1327" t="str">
        <f t="shared" si="82"/>
        <v>High Balance</v>
      </c>
      <c r="P1327" t="str">
        <f t="shared" si="83"/>
        <v>Long-term</v>
      </c>
    </row>
    <row r="1328" spans="1:16" x14ac:dyDescent="0.25">
      <c r="A1328">
        <v>2025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  <c r="M1328" t="str">
        <f t="shared" si="80"/>
        <v>30-45</v>
      </c>
      <c r="N1328" t="str">
        <f t="shared" si="81"/>
        <v>High</v>
      </c>
      <c r="O1328" t="str">
        <f t="shared" si="82"/>
        <v>High Balance</v>
      </c>
      <c r="P1328" t="str">
        <f t="shared" si="83"/>
        <v>New</v>
      </c>
    </row>
    <row r="1329" spans="1:16" x14ac:dyDescent="0.25">
      <c r="A1329">
        <v>2025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  <c r="M1329" t="str">
        <f t="shared" si="80"/>
        <v>&lt;30</v>
      </c>
      <c r="N1329" t="str">
        <f t="shared" si="81"/>
        <v>High</v>
      </c>
      <c r="O1329" t="str">
        <f t="shared" si="82"/>
        <v>High Balance</v>
      </c>
      <c r="P1329" t="str">
        <f t="shared" si="83"/>
        <v>New</v>
      </c>
    </row>
    <row r="1330" spans="1:16" x14ac:dyDescent="0.25">
      <c r="A1330">
        <v>2025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  <c r="M1330" t="str">
        <f t="shared" si="80"/>
        <v>60+</v>
      </c>
      <c r="N1330" t="str">
        <f t="shared" si="81"/>
        <v>Medium</v>
      </c>
      <c r="O1330" t="str">
        <f t="shared" si="82"/>
        <v>High Balance</v>
      </c>
      <c r="P1330" t="str">
        <f t="shared" si="83"/>
        <v>New</v>
      </c>
    </row>
    <row r="1331" spans="1:16" x14ac:dyDescent="0.25">
      <c r="A1331">
        <v>2025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  <c r="M1331" t="str">
        <f t="shared" si="80"/>
        <v>30-45</v>
      </c>
      <c r="N1331" t="str">
        <f t="shared" si="81"/>
        <v>High</v>
      </c>
      <c r="O1331" t="str">
        <f t="shared" si="82"/>
        <v>Zero Balance</v>
      </c>
      <c r="P1331" t="str">
        <f t="shared" si="83"/>
        <v>Mid-term</v>
      </c>
    </row>
    <row r="1332" spans="1:16" x14ac:dyDescent="0.25">
      <c r="A1332">
        <v>2025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  <c r="M1332" t="str">
        <f t="shared" si="80"/>
        <v>46-60</v>
      </c>
      <c r="N1332" t="str">
        <f t="shared" si="81"/>
        <v>Medium</v>
      </c>
      <c r="O1332" t="str">
        <f t="shared" si="82"/>
        <v>Zero Balance</v>
      </c>
      <c r="P1332" t="str">
        <f t="shared" si="83"/>
        <v>Long-term</v>
      </c>
    </row>
    <row r="1333" spans="1:16" x14ac:dyDescent="0.25">
      <c r="A1333">
        <v>2025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  <c r="M1333" t="str">
        <f t="shared" si="80"/>
        <v>30-45</v>
      </c>
      <c r="N1333" t="str">
        <f t="shared" si="81"/>
        <v>High</v>
      </c>
      <c r="O1333" t="str">
        <f t="shared" si="82"/>
        <v>High Balance</v>
      </c>
      <c r="P1333" t="str">
        <f t="shared" si="83"/>
        <v>Mid-term</v>
      </c>
    </row>
    <row r="1334" spans="1:16" x14ac:dyDescent="0.25">
      <c r="A1334">
        <v>2025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  <c r="M1334" t="str">
        <f t="shared" si="80"/>
        <v>30-45</v>
      </c>
      <c r="N1334" t="str">
        <f t="shared" si="81"/>
        <v>High</v>
      </c>
      <c r="O1334" t="str">
        <f t="shared" si="82"/>
        <v>High Balance</v>
      </c>
      <c r="P1334" t="str">
        <f t="shared" si="83"/>
        <v>New</v>
      </c>
    </row>
    <row r="1335" spans="1:16" x14ac:dyDescent="0.25">
      <c r="A1335">
        <v>2025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  <c r="M1335" t="str">
        <f t="shared" si="80"/>
        <v>30-45</v>
      </c>
      <c r="N1335" t="str">
        <f t="shared" si="81"/>
        <v>Medium</v>
      </c>
      <c r="O1335" t="str">
        <f t="shared" si="82"/>
        <v>Low Balance</v>
      </c>
      <c r="P1335" t="str">
        <f t="shared" si="83"/>
        <v>Long-term</v>
      </c>
    </row>
    <row r="1336" spans="1:16" x14ac:dyDescent="0.25">
      <c r="A1336">
        <v>2025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  <c r="M1336" t="str">
        <f t="shared" si="80"/>
        <v>&lt;30</v>
      </c>
      <c r="N1336" t="str">
        <f t="shared" si="81"/>
        <v>Low</v>
      </c>
      <c r="O1336" t="str">
        <f t="shared" si="82"/>
        <v>Low Balance</v>
      </c>
      <c r="P1336" t="str">
        <f t="shared" si="83"/>
        <v>New</v>
      </c>
    </row>
    <row r="1337" spans="1:16" x14ac:dyDescent="0.25">
      <c r="A1337">
        <v>2025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  <c r="M1337" t="str">
        <f t="shared" si="80"/>
        <v>30-45</v>
      </c>
      <c r="N1337" t="str">
        <f t="shared" si="81"/>
        <v>Medium</v>
      </c>
      <c r="O1337" t="str">
        <f t="shared" si="82"/>
        <v>Zero Balance</v>
      </c>
      <c r="P1337" t="str">
        <f t="shared" si="83"/>
        <v>Long-term</v>
      </c>
    </row>
    <row r="1338" spans="1:16" x14ac:dyDescent="0.25">
      <c r="A1338">
        <v>2025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  <c r="M1338" t="str">
        <f t="shared" si="80"/>
        <v>30-45</v>
      </c>
      <c r="N1338" t="str">
        <f t="shared" si="81"/>
        <v>Medium</v>
      </c>
      <c r="O1338" t="str">
        <f t="shared" si="82"/>
        <v>High Balance</v>
      </c>
      <c r="P1338" t="str">
        <f t="shared" si="83"/>
        <v>Mid-term</v>
      </c>
    </row>
    <row r="1339" spans="1:16" x14ac:dyDescent="0.25">
      <c r="A1339">
        <v>2025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  <c r="M1339" t="str">
        <f t="shared" si="80"/>
        <v>30-45</v>
      </c>
      <c r="N1339" t="str">
        <f t="shared" si="81"/>
        <v>High</v>
      </c>
      <c r="O1339" t="str">
        <f t="shared" si="82"/>
        <v>High Balance</v>
      </c>
      <c r="P1339" t="str">
        <f t="shared" si="83"/>
        <v>Long-term</v>
      </c>
    </row>
    <row r="1340" spans="1:16" x14ac:dyDescent="0.25">
      <c r="A1340">
        <v>2025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  <c r="M1340" t="str">
        <f t="shared" si="80"/>
        <v>46-60</v>
      </c>
      <c r="N1340" t="str">
        <f t="shared" si="81"/>
        <v>Medium</v>
      </c>
      <c r="O1340" t="str">
        <f t="shared" si="82"/>
        <v>High Balance</v>
      </c>
      <c r="P1340" t="str">
        <f t="shared" si="83"/>
        <v>Mid-term</v>
      </c>
    </row>
    <row r="1341" spans="1:16" x14ac:dyDescent="0.25">
      <c r="A1341">
        <v>2025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  <c r="M1341" t="str">
        <f t="shared" si="80"/>
        <v>46-60</v>
      </c>
      <c r="N1341" t="str">
        <f t="shared" si="81"/>
        <v>Medium</v>
      </c>
      <c r="O1341" t="str">
        <f t="shared" si="82"/>
        <v>High Balance</v>
      </c>
      <c r="P1341" t="str">
        <f t="shared" si="83"/>
        <v>Mid-term</v>
      </c>
    </row>
    <row r="1342" spans="1:16" x14ac:dyDescent="0.25">
      <c r="A1342">
        <v>2025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  <c r="M1342" t="str">
        <f t="shared" si="80"/>
        <v>30-45</v>
      </c>
      <c r="N1342" t="str">
        <f t="shared" si="81"/>
        <v>High</v>
      </c>
      <c r="O1342" t="str">
        <f t="shared" si="82"/>
        <v>Low Balance</v>
      </c>
      <c r="P1342" t="str">
        <f t="shared" si="83"/>
        <v>New</v>
      </c>
    </row>
    <row r="1343" spans="1:16" x14ac:dyDescent="0.25">
      <c r="A1343">
        <v>2025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  <c r="M1343" t="str">
        <f t="shared" si="80"/>
        <v>30-45</v>
      </c>
      <c r="N1343" t="str">
        <f t="shared" si="81"/>
        <v>High</v>
      </c>
      <c r="O1343" t="str">
        <f t="shared" si="82"/>
        <v>High Balance</v>
      </c>
      <c r="P1343" t="str">
        <f t="shared" si="83"/>
        <v>Mid-term</v>
      </c>
    </row>
    <row r="1344" spans="1:16" x14ac:dyDescent="0.25">
      <c r="A1344">
        <v>2025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  <c r="M1344" t="str">
        <f t="shared" si="80"/>
        <v>60+</v>
      </c>
      <c r="N1344" t="str">
        <f t="shared" si="81"/>
        <v>Medium</v>
      </c>
      <c r="O1344" t="str">
        <f t="shared" si="82"/>
        <v>Zero Balance</v>
      </c>
      <c r="P1344" t="str">
        <f t="shared" si="83"/>
        <v>Mid-term</v>
      </c>
    </row>
    <row r="1345" spans="1:16" x14ac:dyDescent="0.25">
      <c r="A1345">
        <v>2025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  <c r="M1345" t="str">
        <f t="shared" si="80"/>
        <v>30-45</v>
      </c>
      <c r="N1345" t="str">
        <f t="shared" si="81"/>
        <v>Medium</v>
      </c>
      <c r="O1345" t="str">
        <f t="shared" si="82"/>
        <v>Low Balance</v>
      </c>
      <c r="P1345" t="str">
        <f t="shared" si="83"/>
        <v>New</v>
      </c>
    </row>
    <row r="1346" spans="1:16" x14ac:dyDescent="0.25">
      <c r="A1346">
        <v>2025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  <c r="M1346" t="str">
        <f t="shared" si="80"/>
        <v>30-45</v>
      </c>
      <c r="N1346" t="str">
        <f t="shared" si="81"/>
        <v>Low</v>
      </c>
      <c r="O1346" t="str">
        <f t="shared" si="82"/>
        <v>High Balance</v>
      </c>
      <c r="P1346" t="str">
        <f t="shared" si="83"/>
        <v>Mid-term</v>
      </c>
    </row>
    <row r="1347" spans="1:16" x14ac:dyDescent="0.25">
      <c r="A1347">
        <v>2025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  <c r="M1347" t="str">
        <f t="shared" ref="M1347:M1410" si="84">IF(E1347&lt;30,"&lt;30",IF(E1347&lt;=45,"30-45",IF(E1347&lt;=60,"46-60","60+")))</f>
        <v>&lt;30</v>
      </c>
      <c r="N1347" t="str">
        <f t="shared" ref="N1347:N1410" si="85">IF(B1347&lt;500,"Low",IF(B1347&lt;700,"Medium","High"))</f>
        <v>Medium</v>
      </c>
      <c r="O1347" t="str">
        <f t="shared" ref="O1347:O1410" si="86">IF(G1347=0,"Zero Balance",IF(G1347&lt;100000,"Low Balance","High Balance"))</f>
        <v>Zero Balance</v>
      </c>
      <c r="P1347" t="str">
        <f t="shared" ref="P1347:P1410" si="87">IF(F1347&lt;=3,"New",IF(F1347&lt;=7,"Mid-term","Long-term"))</f>
        <v>Mid-term</v>
      </c>
    </row>
    <row r="1348" spans="1:16" x14ac:dyDescent="0.25">
      <c r="A1348">
        <v>2025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  <c r="M1348" t="str">
        <f t="shared" si="84"/>
        <v>30-45</v>
      </c>
      <c r="N1348" t="str">
        <f t="shared" si="85"/>
        <v>Medium</v>
      </c>
      <c r="O1348" t="str">
        <f t="shared" si="86"/>
        <v>Low Balance</v>
      </c>
      <c r="P1348" t="str">
        <f t="shared" si="87"/>
        <v>Mid-term</v>
      </c>
    </row>
    <row r="1349" spans="1:16" x14ac:dyDescent="0.25">
      <c r="A1349">
        <v>2025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  <c r="M1349" t="str">
        <f t="shared" si="84"/>
        <v>30-45</v>
      </c>
      <c r="N1349" t="str">
        <f t="shared" si="85"/>
        <v>Medium</v>
      </c>
      <c r="O1349" t="str">
        <f t="shared" si="86"/>
        <v>Zero Balance</v>
      </c>
      <c r="P1349" t="str">
        <f t="shared" si="87"/>
        <v>New</v>
      </c>
    </row>
    <row r="1350" spans="1:16" x14ac:dyDescent="0.25">
      <c r="A1350">
        <v>2025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  <c r="M1350" t="str">
        <f t="shared" si="84"/>
        <v>30-45</v>
      </c>
      <c r="N1350" t="str">
        <f t="shared" si="85"/>
        <v>Medium</v>
      </c>
      <c r="O1350" t="str">
        <f t="shared" si="86"/>
        <v>Low Balance</v>
      </c>
      <c r="P1350" t="str">
        <f t="shared" si="87"/>
        <v>Mid-term</v>
      </c>
    </row>
    <row r="1351" spans="1:16" x14ac:dyDescent="0.25">
      <c r="A1351">
        <v>2025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  <c r="M1351" t="str">
        <f t="shared" si="84"/>
        <v>30-45</v>
      </c>
      <c r="N1351" t="str">
        <f t="shared" si="85"/>
        <v>Medium</v>
      </c>
      <c r="O1351" t="str">
        <f t="shared" si="86"/>
        <v>Zero Balance</v>
      </c>
      <c r="P1351" t="str">
        <f t="shared" si="87"/>
        <v>New</v>
      </c>
    </row>
    <row r="1352" spans="1:16" x14ac:dyDescent="0.25">
      <c r="A1352">
        <v>2025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  <c r="M1352" t="str">
        <f t="shared" si="84"/>
        <v>30-45</v>
      </c>
      <c r="N1352" t="str">
        <f t="shared" si="85"/>
        <v>High</v>
      </c>
      <c r="O1352" t="str">
        <f t="shared" si="86"/>
        <v>High Balance</v>
      </c>
      <c r="P1352" t="str">
        <f t="shared" si="87"/>
        <v>New</v>
      </c>
    </row>
    <row r="1353" spans="1:16" x14ac:dyDescent="0.25">
      <c r="A1353">
        <v>2025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  <c r="M1353" t="str">
        <f t="shared" si="84"/>
        <v>46-60</v>
      </c>
      <c r="N1353" t="str">
        <f t="shared" si="85"/>
        <v>Medium</v>
      </c>
      <c r="O1353" t="str">
        <f t="shared" si="86"/>
        <v>High Balance</v>
      </c>
      <c r="P1353" t="str">
        <f t="shared" si="87"/>
        <v>Long-term</v>
      </c>
    </row>
    <row r="1354" spans="1:16" x14ac:dyDescent="0.25">
      <c r="A1354">
        <v>2025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  <c r="M1354" t="str">
        <f t="shared" si="84"/>
        <v>46-60</v>
      </c>
      <c r="N1354" t="str">
        <f t="shared" si="85"/>
        <v>Medium</v>
      </c>
      <c r="O1354" t="str">
        <f t="shared" si="86"/>
        <v>High Balance</v>
      </c>
      <c r="P1354" t="str">
        <f t="shared" si="87"/>
        <v>Mid-term</v>
      </c>
    </row>
    <row r="1355" spans="1:16" x14ac:dyDescent="0.25">
      <c r="A1355">
        <v>2025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  <c r="M1355" t="str">
        <f t="shared" si="84"/>
        <v>&lt;30</v>
      </c>
      <c r="N1355" t="str">
        <f t="shared" si="85"/>
        <v>Medium</v>
      </c>
      <c r="O1355" t="str">
        <f t="shared" si="86"/>
        <v>Zero Balance</v>
      </c>
      <c r="P1355" t="str">
        <f t="shared" si="87"/>
        <v>Mid-term</v>
      </c>
    </row>
    <row r="1356" spans="1:16" x14ac:dyDescent="0.25">
      <c r="A1356">
        <v>2025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  <c r="M1356" t="str">
        <f t="shared" si="84"/>
        <v>46-60</v>
      </c>
      <c r="N1356" t="str">
        <f t="shared" si="85"/>
        <v>Medium</v>
      </c>
      <c r="O1356" t="str">
        <f t="shared" si="86"/>
        <v>Zero Balance</v>
      </c>
      <c r="P1356" t="str">
        <f t="shared" si="87"/>
        <v>Mid-term</v>
      </c>
    </row>
    <row r="1357" spans="1:16" x14ac:dyDescent="0.25">
      <c r="A1357">
        <v>2025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  <c r="M1357" t="str">
        <f t="shared" si="84"/>
        <v>30-45</v>
      </c>
      <c r="N1357" t="str">
        <f t="shared" si="85"/>
        <v>High</v>
      </c>
      <c r="O1357" t="str">
        <f t="shared" si="86"/>
        <v>Zero Balance</v>
      </c>
      <c r="P1357" t="str">
        <f t="shared" si="87"/>
        <v>Mid-term</v>
      </c>
    </row>
    <row r="1358" spans="1:16" x14ac:dyDescent="0.25">
      <c r="A1358">
        <v>2025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  <c r="M1358" t="str">
        <f t="shared" si="84"/>
        <v>46-60</v>
      </c>
      <c r="N1358" t="str">
        <f t="shared" si="85"/>
        <v>High</v>
      </c>
      <c r="O1358" t="str">
        <f t="shared" si="86"/>
        <v>High Balance</v>
      </c>
      <c r="P1358" t="str">
        <f t="shared" si="87"/>
        <v>Mid-term</v>
      </c>
    </row>
    <row r="1359" spans="1:16" x14ac:dyDescent="0.25">
      <c r="A1359">
        <v>2025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  <c r="M1359" t="str">
        <f t="shared" si="84"/>
        <v>30-45</v>
      </c>
      <c r="N1359" t="str">
        <f t="shared" si="85"/>
        <v>Medium</v>
      </c>
      <c r="O1359" t="str">
        <f t="shared" si="86"/>
        <v>Zero Balance</v>
      </c>
      <c r="P1359" t="str">
        <f t="shared" si="87"/>
        <v>New</v>
      </c>
    </row>
    <row r="1360" spans="1:16" x14ac:dyDescent="0.25">
      <c r="A1360">
        <v>2025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  <c r="M1360" t="str">
        <f t="shared" si="84"/>
        <v>30-45</v>
      </c>
      <c r="N1360" t="str">
        <f t="shared" si="85"/>
        <v>Medium</v>
      </c>
      <c r="O1360" t="str">
        <f t="shared" si="86"/>
        <v>High Balance</v>
      </c>
      <c r="P1360" t="str">
        <f t="shared" si="87"/>
        <v>Long-term</v>
      </c>
    </row>
    <row r="1361" spans="1:16" x14ac:dyDescent="0.25">
      <c r="A1361">
        <v>2025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  <c r="M1361" t="str">
        <f t="shared" si="84"/>
        <v>30-45</v>
      </c>
      <c r="N1361" t="str">
        <f t="shared" si="85"/>
        <v>Low</v>
      </c>
      <c r="O1361" t="str">
        <f t="shared" si="86"/>
        <v>High Balance</v>
      </c>
      <c r="P1361" t="str">
        <f t="shared" si="87"/>
        <v>New</v>
      </c>
    </row>
    <row r="1362" spans="1:16" x14ac:dyDescent="0.25">
      <c r="A1362">
        <v>2025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  <c r="M1362" t="str">
        <f t="shared" si="84"/>
        <v>&lt;30</v>
      </c>
      <c r="N1362" t="str">
        <f t="shared" si="85"/>
        <v>Medium</v>
      </c>
      <c r="O1362" t="str">
        <f t="shared" si="86"/>
        <v>Low Balance</v>
      </c>
      <c r="P1362" t="str">
        <f t="shared" si="87"/>
        <v>New</v>
      </c>
    </row>
    <row r="1363" spans="1:16" x14ac:dyDescent="0.25">
      <c r="A1363">
        <v>2025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  <c r="M1363" t="str">
        <f t="shared" si="84"/>
        <v>30-45</v>
      </c>
      <c r="N1363" t="str">
        <f t="shared" si="85"/>
        <v>Medium</v>
      </c>
      <c r="O1363" t="str">
        <f t="shared" si="86"/>
        <v>Zero Balance</v>
      </c>
      <c r="P1363" t="str">
        <f t="shared" si="87"/>
        <v>Mid-term</v>
      </c>
    </row>
    <row r="1364" spans="1:16" x14ac:dyDescent="0.25">
      <c r="A1364">
        <v>2025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  <c r="M1364" t="str">
        <f t="shared" si="84"/>
        <v>30-45</v>
      </c>
      <c r="N1364" t="str">
        <f t="shared" si="85"/>
        <v>Medium</v>
      </c>
      <c r="O1364" t="str">
        <f t="shared" si="86"/>
        <v>High Balance</v>
      </c>
      <c r="P1364" t="str">
        <f t="shared" si="87"/>
        <v>Long-term</v>
      </c>
    </row>
    <row r="1365" spans="1:16" x14ac:dyDescent="0.25">
      <c r="A1365">
        <v>2025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  <c r="M1365" t="str">
        <f t="shared" si="84"/>
        <v>30-45</v>
      </c>
      <c r="N1365" t="str">
        <f t="shared" si="85"/>
        <v>High</v>
      </c>
      <c r="O1365" t="str">
        <f t="shared" si="86"/>
        <v>Zero Balance</v>
      </c>
      <c r="P1365" t="str">
        <f t="shared" si="87"/>
        <v>Mid-term</v>
      </c>
    </row>
    <row r="1366" spans="1:16" x14ac:dyDescent="0.25">
      <c r="A1366">
        <v>2025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  <c r="M1366" t="str">
        <f t="shared" si="84"/>
        <v>30-45</v>
      </c>
      <c r="N1366" t="str">
        <f t="shared" si="85"/>
        <v>High</v>
      </c>
      <c r="O1366" t="str">
        <f t="shared" si="86"/>
        <v>High Balance</v>
      </c>
      <c r="P1366" t="str">
        <f t="shared" si="87"/>
        <v>New</v>
      </c>
    </row>
    <row r="1367" spans="1:16" x14ac:dyDescent="0.25">
      <c r="A1367">
        <v>2025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  <c r="M1367" t="str">
        <f t="shared" si="84"/>
        <v>30-45</v>
      </c>
      <c r="N1367" t="str">
        <f t="shared" si="85"/>
        <v>Medium</v>
      </c>
      <c r="O1367" t="str">
        <f t="shared" si="86"/>
        <v>High Balance</v>
      </c>
      <c r="P1367" t="str">
        <f t="shared" si="87"/>
        <v>Long-term</v>
      </c>
    </row>
    <row r="1368" spans="1:16" x14ac:dyDescent="0.25">
      <c r="A1368">
        <v>2025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  <c r="M1368" t="str">
        <f t="shared" si="84"/>
        <v>30-45</v>
      </c>
      <c r="N1368" t="str">
        <f t="shared" si="85"/>
        <v>Medium</v>
      </c>
      <c r="O1368" t="str">
        <f t="shared" si="86"/>
        <v>Zero Balance</v>
      </c>
      <c r="P1368" t="str">
        <f t="shared" si="87"/>
        <v>Mid-term</v>
      </c>
    </row>
    <row r="1369" spans="1:16" x14ac:dyDescent="0.25">
      <c r="A1369">
        <v>2025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  <c r="M1369" t="str">
        <f t="shared" si="84"/>
        <v>30-45</v>
      </c>
      <c r="N1369" t="str">
        <f t="shared" si="85"/>
        <v>Medium</v>
      </c>
      <c r="O1369" t="str">
        <f t="shared" si="86"/>
        <v>High Balance</v>
      </c>
      <c r="P1369" t="str">
        <f t="shared" si="87"/>
        <v>Mid-term</v>
      </c>
    </row>
    <row r="1370" spans="1:16" x14ac:dyDescent="0.25">
      <c r="A1370">
        <v>2025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  <c r="M1370" t="str">
        <f t="shared" si="84"/>
        <v>30-45</v>
      </c>
      <c r="N1370" t="str">
        <f t="shared" si="85"/>
        <v>Medium</v>
      </c>
      <c r="O1370" t="str">
        <f t="shared" si="86"/>
        <v>Zero Balance</v>
      </c>
      <c r="P1370" t="str">
        <f t="shared" si="87"/>
        <v>Mid-term</v>
      </c>
    </row>
    <row r="1371" spans="1:16" x14ac:dyDescent="0.25">
      <c r="A1371">
        <v>2025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  <c r="M1371" t="str">
        <f t="shared" si="84"/>
        <v>46-60</v>
      </c>
      <c r="N1371" t="str">
        <f t="shared" si="85"/>
        <v>Medium</v>
      </c>
      <c r="O1371" t="str">
        <f t="shared" si="86"/>
        <v>High Balance</v>
      </c>
      <c r="P1371" t="str">
        <f t="shared" si="87"/>
        <v>Long-term</v>
      </c>
    </row>
    <row r="1372" spans="1:16" x14ac:dyDescent="0.25">
      <c r="A1372">
        <v>2025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  <c r="M1372" t="str">
        <f t="shared" si="84"/>
        <v>&lt;30</v>
      </c>
      <c r="N1372" t="str">
        <f t="shared" si="85"/>
        <v>High</v>
      </c>
      <c r="O1372" t="str">
        <f t="shared" si="86"/>
        <v>Zero Balance</v>
      </c>
      <c r="P1372" t="str">
        <f t="shared" si="87"/>
        <v>Mid-term</v>
      </c>
    </row>
    <row r="1373" spans="1:16" x14ac:dyDescent="0.25">
      <c r="A1373">
        <v>2025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  <c r="M1373" t="str">
        <f t="shared" si="84"/>
        <v>30-45</v>
      </c>
      <c r="N1373" t="str">
        <f t="shared" si="85"/>
        <v>Medium</v>
      </c>
      <c r="O1373" t="str">
        <f t="shared" si="86"/>
        <v>Low Balance</v>
      </c>
      <c r="P1373" t="str">
        <f t="shared" si="87"/>
        <v>Long-term</v>
      </c>
    </row>
    <row r="1374" spans="1:16" x14ac:dyDescent="0.25">
      <c r="A1374">
        <v>2025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  <c r="M1374" t="str">
        <f t="shared" si="84"/>
        <v>30-45</v>
      </c>
      <c r="N1374" t="str">
        <f t="shared" si="85"/>
        <v>Low</v>
      </c>
      <c r="O1374" t="str">
        <f t="shared" si="86"/>
        <v>Zero Balance</v>
      </c>
      <c r="P1374" t="str">
        <f t="shared" si="87"/>
        <v>Long-term</v>
      </c>
    </row>
    <row r="1375" spans="1:16" x14ac:dyDescent="0.25">
      <c r="A1375">
        <v>2025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  <c r="M1375" t="str">
        <f t="shared" si="84"/>
        <v>46-60</v>
      </c>
      <c r="N1375" t="str">
        <f t="shared" si="85"/>
        <v>Medium</v>
      </c>
      <c r="O1375" t="str">
        <f t="shared" si="86"/>
        <v>High Balance</v>
      </c>
      <c r="P1375" t="str">
        <f t="shared" si="87"/>
        <v>Long-term</v>
      </c>
    </row>
    <row r="1376" spans="1:16" x14ac:dyDescent="0.25">
      <c r="A1376">
        <v>2025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  <c r="M1376" t="str">
        <f t="shared" si="84"/>
        <v>30-45</v>
      </c>
      <c r="N1376" t="str">
        <f t="shared" si="85"/>
        <v>Medium</v>
      </c>
      <c r="O1376" t="str">
        <f t="shared" si="86"/>
        <v>High Balance</v>
      </c>
      <c r="P1376" t="str">
        <f t="shared" si="87"/>
        <v>New</v>
      </c>
    </row>
    <row r="1377" spans="1:16" x14ac:dyDescent="0.25">
      <c r="A1377">
        <v>2025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  <c r="M1377" t="str">
        <f t="shared" si="84"/>
        <v>&lt;30</v>
      </c>
      <c r="N1377" t="str">
        <f t="shared" si="85"/>
        <v>Low</v>
      </c>
      <c r="O1377" t="str">
        <f t="shared" si="86"/>
        <v>High Balance</v>
      </c>
      <c r="P1377" t="str">
        <f t="shared" si="87"/>
        <v>Mid-term</v>
      </c>
    </row>
    <row r="1378" spans="1:16" x14ac:dyDescent="0.25">
      <c r="A1378">
        <v>2025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  <c r="M1378" t="str">
        <f t="shared" si="84"/>
        <v>30-45</v>
      </c>
      <c r="N1378" t="str">
        <f t="shared" si="85"/>
        <v>Low</v>
      </c>
      <c r="O1378" t="str">
        <f t="shared" si="86"/>
        <v>Low Balance</v>
      </c>
      <c r="P1378" t="str">
        <f t="shared" si="87"/>
        <v>Long-term</v>
      </c>
    </row>
    <row r="1379" spans="1:16" x14ac:dyDescent="0.25">
      <c r="A1379">
        <v>2025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  <c r="M1379" t="str">
        <f t="shared" si="84"/>
        <v>30-45</v>
      </c>
      <c r="N1379" t="str">
        <f t="shared" si="85"/>
        <v>High</v>
      </c>
      <c r="O1379" t="str">
        <f t="shared" si="86"/>
        <v>Low Balance</v>
      </c>
      <c r="P1379" t="str">
        <f t="shared" si="87"/>
        <v>Mid-term</v>
      </c>
    </row>
    <row r="1380" spans="1:16" x14ac:dyDescent="0.25">
      <c r="A1380">
        <v>2025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  <c r="M1380" t="str">
        <f t="shared" si="84"/>
        <v>30-45</v>
      </c>
      <c r="N1380" t="str">
        <f t="shared" si="85"/>
        <v>High</v>
      </c>
      <c r="O1380" t="str">
        <f t="shared" si="86"/>
        <v>Low Balance</v>
      </c>
      <c r="P1380" t="str">
        <f t="shared" si="87"/>
        <v>Mid-term</v>
      </c>
    </row>
    <row r="1381" spans="1:16" x14ac:dyDescent="0.25">
      <c r="A1381">
        <v>2025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  <c r="M1381" t="str">
        <f t="shared" si="84"/>
        <v>30-45</v>
      </c>
      <c r="N1381" t="str">
        <f t="shared" si="85"/>
        <v>Medium</v>
      </c>
      <c r="O1381" t="str">
        <f t="shared" si="86"/>
        <v>Low Balance</v>
      </c>
      <c r="P1381" t="str">
        <f t="shared" si="87"/>
        <v>Long-term</v>
      </c>
    </row>
    <row r="1382" spans="1:16" x14ac:dyDescent="0.25">
      <c r="A1382">
        <v>2025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  <c r="M1382" t="str">
        <f t="shared" si="84"/>
        <v>&lt;30</v>
      </c>
      <c r="N1382" t="str">
        <f t="shared" si="85"/>
        <v>Medium</v>
      </c>
      <c r="O1382" t="str">
        <f t="shared" si="86"/>
        <v>High Balance</v>
      </c>
      <c r="P1382" t="str">
        <f t="shared" si="87"/>
        <v>New</v>
      </c>
    </row>
    <row r="1383" spans="1:16" x14ac:dyDescent="0.25">
      <c r="A1383">
        <v>2025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  <c r="M1383" t="str">
        <f t="shared" si="84"/>
        <v>30-45</v>
      </c>
      <c r="N1383" t="str">
        <f t="shared" si="85"/>
        <v>High</v>
      </c>
      <c r="O1383" t="str">
        <f t="shared" si="86"/>
        <v>Zero Balance</v>
      </c>
      <c r="P1383" t="str">
        <f t="shared" si="87"/>
        <v>Mid-term</v>
      </c>
    </row>
    <row r="1384" spans="1:16" x14ac:dyDescent="0.25">
      <c r="A1384">
        <v>2025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  <c r="M1384" t="str">
        <f t="shared" si="84"/>
        <v>30-45</v>
      </c>
      <c r="N1384" t="str">
        <f t="shared" si="85"/>
        <v>Medium</v>
      </c>
      <c r="O1384" t="str">
        <f t="shared" si="86"/>
        <v>Zero Balance</v>
      </c>
      <c r="P1384" t="str">
        <f t="shared" si="87"/>
        <v>New</v>
      </c>
    </row>
    <row r="1385" spans="1:16" x14ac:dyDescent="0.25">
      <c r="A1385">
        <v>2025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  <c r="M1385" t="str">
        <f t="shared" si="84"/>
        <v>&lt;30</v>
      </c>
      <c r="N1385" t="str">
        <f t="shared" si="85"/>
        <v>Medium</v>
      </c>
      <c r="O1385" t="str">
        <f t="shared" si="86"/>
        <v>High Balance</v>
      </c>
      <c r="P1385" t="str">
        <f t="shared" si="87"/>
        <v>Long-term</v>
      </c>
    </row>
    <row r="1386" spans="1:16" x14ac:dyDescent="0.25">
      <c r="A1386">
        <v>2025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  <c r="M1386" t="str">
        <f t="shared" si="84"/>
        <v>46-60</v>
      </c>
      <c r="N1386" t="str">
        <f t="shared" si="85"/>
        <v>Medium</v>
      </c>
      <c r="O1386" t="str">
        <f t="shared" si="86"/>
        <v>Low Balance</v>
      </c>
      <c r="P1386" t="str">
        <f t="shared" si="87"/>
        <v>Long-term</v>
      </c>
    </row>
    <row r="1387" spans="1:16" x14ac:dyDescent="0.25">
      <c r="A1387">
        <v>2025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  <c r="M1387" t="str">
        <f t="shared" si="84"/>
        <v>30-45</v>
      </c>
      <c r="N1387" t="str">
        <f t="shared" si="85"/>
        <v>High</v>
      </c>
      <c r="O1387" t="str">
        <f t="shared" si="86"/>
        <v>High Balance</v>
      </c>
      <c r="P1387" t="str">
        <f t="shared" si="87"/>
        <v>Long-term</v>
      </c>
    </row>
    <row r="1388" spans="1:16" x14ac:dyDescent="0.25">
      <c r="A1388">
        <v>2025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  <c r="M1388" t="str">
        <f t="shared" si="84"/>
        <v>30-45</v>
      </c>
      <c r="N1388" t="str">
        <f t="shared" si="85"/>
        <v>High</v>
      </c>
      <c r="O1388" t="str">
        <f t="shared" si="86"/>
        <v>Zero Balance</v>
      </c>
      <c r="P1388" t="str">
        <f t="shared" si="87"/>
        <v>Mid-term</v>
      </c>
    </row>
    <row r="1389" spans="1:16" x14ac:dyDescent="0.25">
      <c r="A1389">
        <v>2025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  <c r="M1389" t="str">
        <f t="shared" si="84"/>
        <v>60+</v>
      </c>
      <c r="N1389" t="str">
        <f t="shared" si="85"/>
        <v>High</v>
      </c>
      <c r="O1389" t="str">
        <f t="shared" si="86"/>
        <v>Low Balance</v>
      </c>
      <c r="P1389" t="str">
        <f t="shared" si="87"/>
        <v>Mid-term</v>
      </c>
    </row>
    <row r="1390" spans="1:16" x14ac:dyDescent="0.25">
      <c r="A1390">
        <v>2025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  <c r="M1390" t="str">
        <f t="shared" si="84"/>
        <v>30-45</v>
      </c>
      <c r="N1390" t="str">
        <f t="shared" si="85"/>
        <v>Medium</v>
      </c>
      <c r="O1390" t="str">
        <f t="shared" si="86"/>
        <v>High Balance</v>
      </c>
      <c r="P1390" t="str">
        <f t="shared" si="87"/>
        <v>New</v>
      </c>
    </row>
    <row r="1391" spans="1:16" x14ac:dyDescent="0.25">
      <c r="A1391">
        <v>2025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  <c r="M1391" t="str">
        <f t="shared" si="84"/>
        <v>46-60</v>
      </c>
      <c r="N1391" t="str">
        <f t="shared" si="85"/>
        <v>Medium</v>
      </c>
      <c r="O1391" t="str">
        <f t="shared" si="86"/>
        <v>High Balance</v>
      </c>
      <c r="P1391" t="str">
        <f t="shared" si="87"/>
        <v>New</v>
      </c>
    </row>
    <row r="1392" spans="1:16" x14ac:dyDescent="0.25">
      <c r="A1392">
        <v>2025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  <c r="M1392" t="str">
        <f t="shared" si="84"/>
        <v>&lt;30</v>
      </c>
      <c r="N1392" t="str">
        <f t="shared" si="85"/>
        <v>Medium</v>
      </c>
      <c r="O1392" t="str">
        <f t="shared" si="86"/>
        <v>Zero Balance</v>
      </c>
      <c r="P1392" t="str">
        <f t="shared" si="87"/>
        <v>Long-term</v>
      </c>
    </row>
    <row r="1393" spans="1:16" x14ac:dyDescent="0.25">
      <c r="A1393">
        <v>2025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  <c r="M1393" t="str">
        <f t="shared" si="84"/>
        <v>30-45</v>
      </c>
      <c r="N1393" t="str">
        <f t="shared" si="85"/>
        <v>High</v>
      </c>
      <c r="O1393" t="str">
        <f t="shared" si="86"/>
        <v>High Balance</v>
      </c>
      <c r="P1393" t="str">
        <f t="shared" si="87"/>
        <v>Mid-term</v>
      </c>
    </row>
    <row r="1394" spans="1:16" x14ac:dyDescent="0.25">
      <c r="A1394">
        <v>2025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  <c r="M1394" t="str">
        <f t="shared" si="84"/>
        <v>30-45</v>
      </c>
      <c r="N1394" t="str">
        <f t="shared" si="85"/>
        <v>High</v>
      </c>
      <c r="O1394" t="str">
        <f t="shared" si="86"/>
        <v>Low Balance</v>
      </c>
      <c r="P1394" t="str">
        <f t="shared" si="87"/>
        <v>Long-term</v>
      </c>
    </row>
    <row r="1395" spans="1:16" x14ac:dyDescent="0.25">
      <c r="A1395">
        <v>2025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  <c r="M1395" t="str">
        <f t="shared" si="84"/>
        <v>30-45</v>
      </c>
      <c r="N1395" t="str">
        <f t="shared" si="85"/>
        <v>High</v>
      </c>
      <c r="O1395" t="str">
        <f t="shared" si="86"/>
        <v>High Balance</v>
      </c>
      <c r="P1395" t="str">
        <f t="shared" si="87"/>
        <v>New</v>
      </c>
    </row>
    <row r="1396" spans="1:16" x14ac:dyDescent="0.25">
      <c r="A1396">
        <v>2025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  <c r="M1396" t="str">
        <f t="shared" si="84"/>
        <v>&lt;30</v>
      </c>
      <c r="N1396" t="str">
        <f t="shared" si="85"/>
        <v>Medium</v>
      </c>
      <c r="O1396" t="str">
        <f t="shared" si="86"/>
        <v>High Balance</v>
      </c>
      <c r="P1396" t="str">
        <f t="shared" si="87"/>
        <v>Long-term</v>
      </c>
    </row>
    <row r="1397" spans="1:16" x14ac:dyDescent="0.25">
      <c r="A1397">
        <v>2025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  <c r="M1397" t="str">
        <f t="shared" si="84"/>
        <v>46-60</v>
      </c>
      <c r="N1397" t="str">
        <f t="shared" si="85"/>
        <v>High</v>
      </c>
      <c r="O1397" t="str">
        <f t="shared" si="86"/>
        <v>Zero Balance</v>
      </c>
      <c r="P1397" t="str">
        <f t="shared" si="87"/>
        <v>Mid-term</v>
      </c>
    </row>
    <row r="1398" spans="1:16" x14ac:dyDescent="0.25">
      <c r="A1398">
        <v>2025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  <c r="M1398" t="str">
        <f t="shared" si="84"/>
        <v>30-45</v>
      </c>
      <c r="N1398" t="str">
        <f t="shared" si="85"/>
        <v>Medium</v>
      </c>
      <c r="O1398" t="str">
        <f t="shared" si="86"/>
        <v>Zero Balance</v>
      </c>
      <c r="P1398" t="str">
        <f t="shared" si="87"/>
        <v>New</v>
      </c>
    </row>
    <row r="1399" spans="1:16" x14ac:dyDescent="0.25">
      <c r="A1399">
        <v>2025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  <c r="M1399" t="str">
        <f t="shared" si="84"/>
        <v>46-60</v>
      </c>
      <c r="N1399" t="str">
        <f t="shared" si="85"/>
        <v>Low</v>
      </c>
      <c r="O1399" t="str">
        <f t="shared" si="86"/>
        <v>High Balance</v>
      </c>
      <c r="P1399" t="str">
        <f t="shared" si="87"/>
        <v>Mid-term</v>
      </c>
    </row>
    <row r="1400" spans="1:16" x14ac:dyDescent="0.25">
      <c r="A1400">
        <v>2025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  <c r="M1400" t="str">
        <f t="shared" si="84"/>
        <v>30-45</v>
      </c>
      <c r="N1400" t="str">
        <f t="shared" si="85"/>
        <v>Medium</v>
      </c>
      <c r="O1400" t="str">
        <f t="shared" si="86"/>
        <v>Zero Balance</v>
      </c>
      <c r="P1400" t="str">
        <f t="shared" si="87"/>
        <v>New</v>
      </c>
    </row>
    <row r="1401" spans="1:16" x14ac:dyDescent="0.25">
      <c r="A1401">
        <v>2025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  <c r="M1401" t="str">
        <f t="shared" si="84"/>
        <v>&lt;30</v>
      </c>
      <c r="N1401" t="str">
        <f t="shared" si="85"/>
        <v>Medium</v>
      </c>
      <c r="O1401" t="str">
        <f t="shared" si="86"/>
        <v>Zero Balance</v>
      </c>
      <c r="P1401" t="str">
        <f t="shared" si="87"/>
        <v>Mid-term</v>
      </c>
    </row>
    <row r="1402" spans="1:16" x14ac:dyDescent="0.25">
      <c r="A1402">
        <v>2025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  <c r="M1402" t="str">
        <f t="shared" si="84"/>
        <v>&lt;30</v>
      </c>
      <c r="N1402" t="str">
        <f t="shared" si="85"/>
        <v>Medium</v>
      </c>
      <c r="O1402" t="str">
        <f t="shared" si="86"/>
        <v>High Balance</v>
      </c>
      <c r="P1402" t="str">
        <f t="shared" si="87"/>
        <v>Long-term</v>
      </c>
    </row>
    <row r="1403" spans="1:16" x14ac:dyDescent="0.25">
      <c r="A1403">
        <v>2025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  <c r="M1403" t="str">
        <f t="shared" si="84"/>
        <v>30-45</v>
      </c>
      <c r="N1403" t="str">
        <f t="shared" si="85"/>
        <v>Medium</v>
      </c>
      <c r="O1403" t="str">
        <f t="shared" si="86"/>
        <v>Zero Balance</v>
      </c>
      <c r="P1403" t="str">
        <f t="shared" si="87"/>
        <v>New</v>
      </c>
    </row>
    <row r="1404" spans="1:16" x14ac:dyDescent="0.25">
      <c r="A1404">
        <v>2025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  <c r="M1404" t="str">
        <f t="shared" si="84"/>
        <v>&lt;30</v>
      </c>
      <c r="N1404" t="str">
        <f t="shared" si="85"/>
        <v>High</v>
      </c>
      <c r="O1404" t="str">
        <f t="shared" si="86"/>
        <v>High Balance</v>
      </c>
      <c r="P1404" t="str">
        <f t="shared" si="87"/>
        <v>Long-term</v>
      </c>
    </row>
    <row r="1405" spans="1:16" x14ac:dyDescent="0.25">
      <c r="A1405">
        <v>2025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  <c r="M1405" t="str">
        <f t="shared" si="84"/>
        <v>&lt;30</v>
      </c>
      <c r="N1405" t="str">
        <f t="shared" si="85"/>
        <v>High</v>
      </c>
      <c r="O1405" t="str">
        <f t="shared" si="86"/>
        <v>Zero Balance</v>
      </c>
      <c r="P1405" t="str">
        <f t="shared" si="87"/>
        <v>Mid-term</v>
      </c>
    </row>
    <row r="1406" spans="1:16" x14ac:dyDescent="0.25">
      <c r="A1406">
        <v>2025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  <c r="M1406" t="str">
        <f t="shared" si="84"/>
        <v>30-45</v>
      </c>
      <c r="N1406" t="str">
        <f t="shared" si="85"/>
        <v>Medium</v>
      </c>
      <c r="O1406" t="str">
        <f t="shared" si="86"/>
        <v>Low Balance</v>
      </c>
      <c r="P1406" t="str">
        <f t="shared" si="87"/>
        <v>Mid-term</v>
      </c>
    </row>
    <row r="1407" spans="1:16" x14ac:dyDescent="0.25">
      <c r="A1407">
        <v>2025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  <c r="M1407" t="str">
        <f t="shared" si="84"/>
        <v>30-45</v>
      </c>
      <c r="N1407" t="str">
        <f t="shared" si="85"/>
        <v>Low</v>
      </c>
      <c r="O1407" t="str">
        <f t="shared" si="86"/>
        <v>High Balance</v>
      </c>
      <c r="P1407" t="str">
        <f t="shared" si="87"/>
        <v>Mid-term</v>
      </c>
    </row>
    <row r="1408" spans="1:16" x14ac:dyDescent="0.25">
      <c r="A1408">
        <v>2025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  <c r="M1408" t="str">
        <f t="shared" si="84"/>
        <v>&lt;30</v>
      </c>
      <c r="N1408" t="str">
        <f t="shared" si="85"/>
        <v>Medium</v>
      </c>
      <c r="O1408" t="str">
        <f t="shared" si="86"/>
        <v>High Balance</v>
      </c>
      <c r="P1408" t="str">
        <f t="shared" si="87"/>
        <v>New</v>
      </c>
    </row>
    <row r="1409" spans="1:16" x14ac:dyDescent="0.25">
      <c r="A1409">
        <v>2025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  <c r="M1409" t="str">
        <f t="shared" si="84"/>
        <v>60+</v>
      </c>
      <c r="N1409" t="str">
        <f t="shared" si="85"/>
        <v>High</v>
      </c>
      <c r="O1409" t="str">
        <f t="shared" si="86"/>
        <v>High Balance</v>
      </c>
      <c r="P1409" t="str">
        <f t="shared" si="87"/>
        <v>New</v>
      </c>
    </row>
    <row r="1410" spans="1:16" x14ac:dyDescent="0.25">
      <c r="A1410">
        <v>2025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  <c r="M1410" t="str">
        <f t="shared" si="84"/>
        <v>30-45</v>
      </c>
      <c r="N1410" t="str">
        <f t="shared" si="85"/>
        <v>High</v>
      </c>
      <c r="O1410" t="str">
        <f t="shared" si="86"/>
        <v>Zero Balance</v>
      </c>
      <c r="P1410" t="str">
        <f t="shared" si="87"/>
        <v>Long-term</v>
      </c>
    </row>
    <row r="1411" spans="1:16" x14ac:dyDescent="0.25">
      <c r="A1411">
        <v>2025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  <c r="M1411" t="str">
        <f t="shared" ref="M1411:M1474" si="88">IF(E1411&lt;30,"&lt;30",IF(E1411&lt;=45,"30-45",IF(E1411&lt;=60,"46-60","60+")))</f>
        <v>30-45</v>
      </c>
      <c r="N1411" t="str">
        <f t="shared" ref="N1411:N1474" si="89">IF(B1411&lt;500,"Low",IF(B1411&lt;700,"Medium","High"))</f>
        <v>Low</v>
      </c>
      <c r="O1411" t="str">
        <f t="shared" ref="O1411:O1474" si="90">IF(G1411=0,"Zero Balance",IF(G1411&lt;100000,"Low Balance","High Balance"))</f>
        <v>Low Balance</v>
      </c>
      <c r="P1411" t="str">
        <f t="shared" ref="P1411:P1474" si="91">IF(F1411&lt;=3,"New",IF(F1411&lt;=7,"Mid-term","Long-term"))</f>
        <v>Mid-term</v>
      </c>
    </row>
    <row r="1412" spans="1:16" x14ac:dyDescent="0.25">
      <c r="A1412">
        <v>2025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  <c r="M1412" t="str">
        <f t="shared" si="88"/>
        <v>60+</v>
      </c>
      <c r="N1412" t="str">
        <f t="shared" si="89"/>
        <v>Medium</v>
      </c>
      <c r="O1412" t="str">
        <f t="shared" si="90"/>
        <v>Zero Balance</v>
      </c>
      <c r="P1412" t="str">
        <f t="shared" si="91"/>
        <v>Mid-term</v>
      </c>
    </row>
    <row r="1413" spans="1:16" x14ac:dyDescent="0.25">
      <c r="A1413">
        <v>2025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  <c r="M1413" t="str">
        <f t="shared" si="88"/>
        <v>30-45</v>
      </c>
      <c r="N1413" t="str">
        <f t="shared" si="89"/>
        <v>Medium</v>
      </c>
      <c r="O1413" t="str">
        <f t="shared" si="90"/>
        <v>Low Balance</v>
      </c>
      <c r="P1413" t="str">
        <f t="shared" si="91"/>
        <v>Mid-term</v>
      </c>
    </row>
    <row r="1414" spans="1:16" x14ac:dyDescent="0.25">
      <c r="A1414">
        <v>2025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  <c r="M1414" t="str">
        <f t="shared" si="88"/>
        <v>&lt;30</v>
      </c>
      <c r="N1414" t="str">
        <f t="shared" si="89"/>
        <v>Medium</v>
      </c>
      <c r="O1414" t="str">
        <f t="shared" si="90"/>
        <v>Low Balance</v>
      </c>
      <c r="P1414" t="str">
        <f t="shared" si="91"/>
        <v>Mid-term</v>
      </c>
    </row>
    <row r="1415" spans="1:16" x14ac:dyDescent="0.25">
      <c r="A1415">
        <v>2025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  <c r="M1415" t="str">
        <f t="shared" si="88"/>
        <v>30-45</v>
      </c>
      <c r="N1415" t="str">
        <f t="shared" si="89"/>
        <v>Medium</v>
      </c>
      <c r="O1415" t="str">
        <f t="shared" si="90"/>
        <v>High Balance</v>
      </c>
      <c r="P1415" t="str">
        <f t="shared" si="91"/>
        <v>Long-term</v>
      </c>
    </row>
    <row r="1416" spans="1:16" x14ac:dyDescent="0.25">
      <c r="A1416">
        <v>2025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  <c r="M1416" t="str">
        <f t="shared" si="88"/>
        <v>30-45</v>
      </c>
      <c r="N1416" t="str">
        <f t="shared" si="89"/>
        <v>Low</v>
      </c>
      <c r="O1416" t="str">
        <f t="shared" si="90"/>
        <v>High Balance</v>
      </c>
      <c r="P1416" t="str">
        <f t="shared" si="91"/>
        <v>Mid-term</v>
      </c>
    </row>
    <row r="1417" spans="1:16" x14ac:dyDescent="0.25">
      <c r="A1417">
        <v>2025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  <c r="M1417" t="str">
        <f t="shared" si="88"/>
        <v>&lt;30</v>
      </c>
      <c r="N1417" t="str">
        <f t="shared" si="89"/>
        <v>High</v>
      </c>
      <c r="O1417" t="str">
        <f t="shared" si="90"/>
        <v>High Balance</v>
      </c>
      <c r="P1417" t="str">
        <f t="shared" si="91"/>
        <v>Mid-term</v>
      </c>
    </row>
    <row r="1418" spans="1:16" x14ac:dyDescent="0.25">
      <c r="A1418">
        <v>2025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  <c r="M1418" t="str">
        <f t="shared" si="88"/>
        <v>30-45</v>
      </c>
      <c r="N1418" t="str">
        <f t="shared" si="89"/>
        <v>Medium</v>
      </c>
      <c r="O1418" t="str">
        <f t="shared" si="90"/>
        <v>Zero Balance</v>
      </c>
      <c r="P1418" t="str">
        <f t="shared" si="91"/>
        <v>Long-term</v>
      </c>
    </row>
    <row r="1419" spans="1:16" x14ac:dyDescent="0.25">
      <c r="A1419">
        <v>2025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  <c r="M1419" t="str">
        <f t="shared" si="88"/>
        <v>&lt;30</v>
      </c>
      <c r="N1419" t="str">
        <f t="shared" si="89"/>
        <v>Medium</v>
      </c>
      <c r="O1419" t="str">
        <f t="shared" si="90"/>
        <v>High Balance</v>
      </c>
      <c r="P1419" t="str">
        <f t="shared" si="91"/>
        <v>New</v>
      </c>
    </row>
    <row r="1420" spans="1:16" x14ac:dyDescent="0.25">
      <c r="A1420">
        <v>2025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  <c r="M1420" t="str">
        <f t="shared" si="88"/>
        <v>30-45</v>
      </c>
      <c r="N1420" t="str">
        <f t="shared" si="89"/>
        <v>Medium</v>
      </c>
      <c r="O1420" t="str">
        <f t="shared" si="90"/>
        <v>High Balance</v>
      </c>
      <c r="P1420" t="str">
        <f t="shared" si="91"/>
        <v>Long-term</v>
      </c>
    </row>
    <row r="1421" spans="1:16" x14ac:dyDescent="0.25">
      <c r="A1421">
        <v>2025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  <c r="M1421" t="str">
        <f t="shared" si="88"/>
        <v>30-45</v>
      </c>
      <c r="N1421" t="str">
        <f t="shared" si="89"/>
        <v>Medium</v>
      </c>
      <c r="O1421" t="str">
        <f t="shared" si="90"/>
        <v>High Balance</v>
      </c>
      <c r="P1421" t="str">
        <f t="shared" si="91"/>
        <v>New</v>
      </c>
    </row>
    <row r="1422" spans="1:16" x14ac:dyDescent="0.25">
      <c r="A1422">
        <v>2025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  <c r="M1422" t="str">
        <f t="shared" si="88"/>
        <v>30-45</v>
      </c>
      <c r="N1422" t="str">
        <f t="shared" si="89"/>
        <v>High</v>
      </c>
      <c r="O1422" t="str">
        <f t="shared" si="90"/>
        <v>Low Balance</v>
      </c>
      <c r="P1422" t="str">
        <f t="shared" si="91"/>
        <v>Mid-term</v>
      </c>
    </row>
    <row r="1423" spans="1:16" x14ac:dyDescent="0.25">
      <c r="A1423">
        <v>2025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  <c r="M1423" t="str">
        <f t="shared" si="88"/>
        <v>30-45</v>
      </c>
      <c r="N1423" t="str">
        <f t="shared" si="89"/>
        <v>Medium</v>
      </c>
      <c r="O1423" t="str">
        <f t="shared" si="90"/>
        <v>High Balance</v>
      </c>
      <c r="P1423" t="str">
        <f t="shared" si="91"/>
        <v>Mid-term</v>
      </c>
    </row>
    <row r="1424" spans="1:16" x14ac:dyDescent="0.25">
      <c r="A1424">
        <v>2025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  <c r="M1424" t="str">
        <f t="shared" si="88"/>
        <v>30-45</v>
      </c>
      <c r="N1424" t="str">
        <f t="shared" si="89"/>
        <v>Medium</v>
      </c>
      <c r="O1424" t="str">
        <f t="shared" si="90"/>
        <v>High Balance</v>
      </c>
      <c r="P1424" t="str">
        <f t="shared" si="91"/>
        <v>Long-term</v>
      </c>
    </row>
    <row r="1425" spans="1:16" x14ac:dyDescent="0.25">
      <c r="A1425">
        <v>2025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  <c r="M1425" t="str">
        <f t="shared" si="88"/>
        <v>30-45</v>
      </c>
      <c r="N1425" t="str">
        <f t="shared" si="89"/>
        <v>Medium</v>
      </c>
      <c r="O1425" t="str">
        <f t="shared" si="90"/>
        <v>High Balance</v>
      </c>
      <c r="P1425" t="str">
        <f t="shared" si="91"/>
        <v>New</v>
      </c>
    </row>
    <row r="1426" spans="1:16" x14ac:dyDescent="0.25">
      <c r="A1426">
        <v>2025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  <c r="M1426" t="str">
        <f t="shared" si="88"/>
        <v>30-45</v>
      </c>
      <c r="N1426" t="str">
        <f t="shared" si="89"/>
        <v>Medium</v>
      </c>
      <c r="O1426" t="str">
        <f t="shared" si="90"/>
        <v>Low Balance</v>
      </c>
      <c r="P1426" t="str">
        <f t="shared" si="91"/>
        <v>Long-term</v>
      </c>
    </row>
    <row r="1427" spans="1:16" x14ac:dyDescent="0.25">
      <c r="A1427">
        <v>2025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  <c r="M1427" t="str">
        <f t="shared" si="88"/>
        <v>30-45</v>
      </c>
      <c r="N1427" t="str">
        <f t="shared" si="89"/>
        <v>High</v>
      </c>
      <c r="O1427" t="str">
        <f t="shared" si="90"/>
        <v>High Balance</v>
      </c>
      <c r="P1427" t="str">
        <f t="shared" si="91"/>
        <v>New</v>
      </c>
    </row>
    <row r="1428" spans="1:16" x14ac:dyDescent="0.25">
      <c r="A1428">
        <v>2025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  <c r="M1428" t="str">
        <f t="shared" si="88"/>
        <v>30-45</v>
      </c>
      <c r="N1428" t="str">
        <f t="shared" si="89"/>
        <v>Medium</v>
      </c>
      <c r="O1428" t="str">
        <f t="shared" si="90"/>
        <v>High Balance</v>
      </c>
      <c r="P1428" t="str">
        <f t="shared" si="91"/>
        <v>Mid-term</v>
      </c>
    </row>
    <row r="1429" spans="1:16" x14ac:dyDescent="0.25">
      <c r="A1429">
        <v>2025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  <c r="M1429" t="str">
        <f t="shared" si="88"/>
        <v>46-60</v>
      </c>
      <c r="N1429" t="str">
        <f t="shared" si="89"/>
        <v>High</v>
      </c>
      <c r="O1429" t="str">
        <f t="shared" si="90"/>
        <v>High Balance</v>
      </c>
      <c r="P1429" t="str">
        <f t="shared" si="91"/>
        <v>Long-term</v>
      </c>
    </row>
    <row r="1430" spans="1:16" x14ac:dyDescent="0.25">
      <c r="A1430">
        <v>2025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  <c r="M1430" t="str">
        <f t="shared" si="88"/>
        <v>46-60</v>
      </c>
      <c r="N1430" t="str">
        <f t="shared" si="89"/>
        <v>Medium</v>
      </c>
      <c r="O1430" t="str">
        <f t="shared" si="90"/>
        <v>Zero Balance</v>
      </c>
      <c r="P1430" t="str">
        <f t="shared" si="91"/>
        <v>Mid-term</v>
      </c>
    </row>
    <row r="1431" spans="1:16" x14ac:dyDescent="0.25">
      <c r="A1431">
        <v>2025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  <c r="M1431" t="str">
        <f t="shared" si="88"/>
        <v>&lt;30</v>
      </c>
      <c r="N1431" t="str">
        <f t="shared" si="89"/>
        <v>Medium</v>
      </c>
      <c r="O1431" t="str">
        <f t="shared" si="90"/>
        <v>Low Balance</v>
      </c>
      <c r="P1431" t="str">
        <f t="shared" si="91"/>
        <v>Long-term</v>
      </c>
    </row>
    <row r="1432" spans="1:16" x14ac:dyDescent="0.25">
      <c r="A1432">
        <v>2025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  <c r="M1432" t="str">
        <f t="shared" si="88"/>
        <v>&lt;30</v>
      </c>
      <c r="N1432" t="str">
        <f t="shared" si="89"/>
        <v>High</v>
      </c>
      <c r="O1432" t="str">
        <f t="shared" si="90"/>
        <v>Low Balance</v>
      </c>
      <c r="P1432" t="str">
        <f t="shared" si="91"/>
        <v>New</v>
      </c>
    </row>
    <row r="1433" spans="1:16" x14ac:dyDescent="0.25">
      <c r="A1433">
        <v>2025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  <c r="M1433" t="str">
        <f t="shared" si="88"/>
        <v>46-60</v>
      </c>
      <c r="N1433" t="str">
        <f t="shared" si="89"/>
        <v>Medium</v>
      </c>
      <c r="O1433" t="str">
        <f t="shared" si="90"/>
        <v>Zero Balance</v>
      </c>
      <c r="P1433" t="str">
        <f t="shared" si="91"/>
        <v>New</v>
      </c>
    </row>
    <row r="1434" spans="1:16" x14ac:dyDescent="0.25">
      <c r="A1434">
        <v>2025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  <c r="M1434" t="str">
        <f t="shared" si="88"/>
        <v>30-45</v>
      </c>
      <c r="N1434" t="str">
        <f t="shared" si="89"/>
        <v>Medium</v>
      </c>
      <c r="O1434" t="str">
        <f t="shared" si="90"/>
        <v>Zero Balance</v>
      </c>
      <c r="P1434" t="str">
        <f t="shared" si="91"/>
        <v>Mid-term</v>
      </c>
    </row>
    <row r="1435" spans="1:16" x14ac:dyDescent="0.25">
      <c r="A1435">
        <v>2025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  <c r="M1435" t="str">
        <f t="shared" si="88"/>
        <v>60+</v>
      </c>
      <c r="N1435" t="str">
        <f t="shared" si="89"/>
        <v>High</v>
      </c>
      <c r="O1435" t="str">
        <f t="shared" si="90"/>
        <v>High Balance</v>
      </c>
      <c r="P1435" t="str">
        <f t="shared" si="91"/>
        <v>New</v>
      </c>
    </row>
    <row r="1436" spans="1:16" x14ac:dyDescent="0.25">
      <c r="A1436">
        <v>2025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  <c r="M1436" t="str">
        <f t="shared" si="88"/>
        <v>30-45</v>
      </c>
      <c r="N1436" t="str">
        <f t="shared" si="89"/>
        <v>Medium</v>
      </c>
      <c r="O1436" t="str">
        <f t="shared" si="90"/>
        <v>High Balance</v>
      </c>
      <c r="P1436" t="str">
        <f t="shared" si="91"/>
        <v>Long-term</v>
      </c>
    </row>
    <row r="1437" spans="1:16" x14ac:dyDescent="0.25">
      <c r="A1437">
        <v>2025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  <c r="M1437" t="str">
        <f t="shared" si="88"/>
        <v>30-45</v>
      </c>
      <c r="N1437" t="str">
        <f t="shared" si="89"/>
        <v>Medium</v>
      </c>
      <c r="O1437" t="str">
        <f t="shared" si="90"/>
        <v>Zero Balance</v>
      </c>
      <c r="P1437" t="str">
        <f t="shared" si="91"/>
        <v>Long-term</v>
      </c>
    </row>
    <row r="1438" spans="1:16" x14ac:dyDescent="0.25">
      <c r="A1438">
        <v>2025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  <c r="M1438" t="str">
        <f t="shared" si="88"/>
        <v>&lt;30</v>
      </c>
      <c r="N1438" t="str">
        <f t="shared" si="89"/>
        <v>Medium</v>
      </c>
      <c r="O1438" t="str">
        <f t="shared" si="90"/>
        <v>High Balance</v>
      </c>
      <c r="P1438" t="str">
        <f t="shared" si="91"/>
        <v>New</v>
      </c>
    </row>
    <row r="1439" spans="1:16" x14ac:dyDescent="0.25">
      <c r="A1439">
        <v>2025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  <c r="M1439" t="str">
        <f t="shared" si="88"/>
        <v>30-45</v>
      </c>
      <c r="N1439" t="str">
        <f t="shared" si="89"/>
        <v>Medium</v>
      </c>
      <c r="O1439" t="str">
        <f t="shared" si="90"/>
        <v>Zero Balance</v>
      </c>
      <c r="P1439" t="str">
        <f t="shared" si="91"/>
        <v>Long-term</v>
      </c>
    </row>
    <row r="1440" spans="1:16" x14ac:dyDescent="0.25">
      <c r="A1440">
        <v>2025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  <c r="M1440" t="str">
        <f t="shared" si="88"/>
        <v>46-60</v>
      </c>
      <c r="N1440" t="str">
        <f t="shared" si="89"/>
        <v>Medium</v>
      </c>
      <c r="O1440" t="str">
        <f t="shared" si="90"/>
        <v>High Balance</v>
      </c>
      <c r="P1440" t="str">
        <f t="shared" si="91"/>
        <v>Long-term</v>
      </c>
    </row>
    <row r="1441" spans="1:16" x14ac:dyDescent="0.25">
      <c r="A1441">
        <v>2025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  <c r="M1441" t="str">
        <f t="shared" si="88"/>
        <v>60+</v>
      </c>
      <c r="N1441" t="str">
        <f t="shared" si="89"/>
        <v>High</v>
      </c>
      <c r="O1441" t="str">
        <f t="shared" si="90"/>
        <v>Zero Balance</v>
      </c>
      <c r="P1441" t="str">
        <f t="shared" si="91"/>
        <v>Mid-term</v>
      </c>
    </row>
    <row r="1442" spans="1:16" x14ac:dyDescent="0.25">
      <c r="A1442">
        <v>2025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  <c r="M1442" t="str">
        <f t="shared" si="88"/>
        <v>30-45</v>
      </c>
      <c r="N1442" t="str">
        <f t="shared" si="89"/>
        <v>Medium</v>
      </c>
      <c r="O1442" t="str">
        <f t="shared" si="90"/>
        <v>High Balance</v>
      </c>
      <c r="P1442" t="str">
        <f t="shared" si="91"/>
        <v>Long-term</v>
      </c>
    </row>
    <row r="1443" spans="1:16" x14ac:dyDescent="0.25">
      <c r="A1443">
        <v>2025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  <c r="M1443" t="str">
        <f t="shared" si="88"/>
        <v>30-45</v>
      </c>
      <c r="N1443" t="str">
        <f t="shared" si="89"/>
        <v>Medium</v>
      </c>
      <c r="O1443" t="str">
        <f t="shared" si="90"/>
        <v>Zero Balance</v>
      </c>
      <c r="P1443" t="str">
        <f t="shared" si="91"/>
        <v>Mid-term</v>
      </c>
    </row>
    <row r="1444" spans="1:16" x14ac:dyDescent="0.25">
      <c r="A1444">
        <v>2025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  <c r="M1444" t="str">
        <f t="shared" si="88"/>
        <v>30-45</v>
      </c>
      <c r="N1444" t="str">
        <f t="shared" si="89"/>
        <v>Medium</v>
      </c>
      <c r="O1444" t="str">
        <f t="shared" si="90"/>
        <v>Zero Balance</v>
      </c>
      <c r="P1444" t="str">
        <f t="shared" si="91"/>
        <v>Long-term</v>
      </c>
    </row>
    <row r="1445" spans="1:16" x14ac:dyDescent="0.25">
      <c r="A1445">
        <v>2025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  <c r="M1445" t="str">
        <f t="shared" si="88"/>
        <v>30-45</v>
      </c>
      <c r="N1445" t="str">
        <f t="shared" si="89"/>
        <v>Medium</v>
      </c>
      <c r="O1445" t="str">
        <f t="shared" si="90"/>
        <v>Zero Balance</v>
      </c>
      <c r="P1445" t="str">
        <f t="shared" si="91"/>
        <v>Mid-term</v>
      </c>
    </row>
    <row r="1446" spans="1:16" x14ac:dyDescent="0.25">
      <c r="A1446">
        <v>2025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  <c r="M1446" t="str">
        <f t="shared" si="88"/>
        <v>30-45</v>
      </c>
      <c r="N1446" t="str">
        <f t="shared" si="89"/>
        <v>Medium</v>
      </c>
      <c r="O1446" t="str">
        <f t="shared" si="90"/>
        <v>Zero Balance</v>
      </c>
      <c r="P1446" t="str">
        <f t="shared" si="91"/>
        <v>Long-term</v>
      </c>
    </row>
    <row r="1447" spans="1:16" x14ac:dyDescent="0.25">
      <c r="A1447">
        <v>2025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  <c r="M1447" t="str">
        <f t="shared" si="88"/>
        <v>&lt;30</v>
      </c>
      <c r="N1447" t="str">
        <f t="shared" si="89"/>
        <v>High</v>
      </c>
      <c r="O1447" t="str">
        <f t="shared" si="90"/>
        <v>High Balance</v>
      </c>
      <c r="P1447" t="str">
        <f t="shared" si="91"/>
        <v>Mid-term</v>
      </c>
    </row>
    <row r="1448" spans="1:16" x14ac:dyDescent="0.25">
      <c r="A1448">
        <v>2025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  <c r="M1448" t="str">
        <f t="shared" si="88"/>
        <v>30-45</v>
      </c>
      <c r="N1448" t="str">
        <f t="shared" si="89"/>
        <v>Medium</v>
      </c>
      <c r="O1448" t="str">
        <f t="shared" si="90"/>
        <v>High Balance</v>
      </c>
      <c r="P1448" t="str">
        <f t="shared" si="91"/>
        <v>New</v>
      </c>
    </row>
    <row r="1449" spans="1:16" x14ac:dyDescent="0.25">
      <c r="A1449">
        <v>2025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  <c r="M1449" t="str">
        <f t="shared" si="88"/>
        <v>46-60</v>
      </c>
      <c r="N1449" t="str">
        <f t="shared" si="89"/>
        <v>Medium</v>
      </c>
      <c r="O1449" t="str">
        <f t="shared" si="90"/>
        <v>High Balance</v>
      </c>
      <c r="P1449" t="str">
        <f t="shared" si="91"/>
        <v>Mid-term</v>
      </c>
    </row>
    <row r="1450" spans="1:16" x14ac:dyDescent="0.25">
      <c r="A1450">
        <v>2025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  <c r="M1450" t="str">
        <f t="shared" si="88"/>
        <v>46-60</v>
      </c>
      <c r="N1450" t="str">
        <f t="shared" si="89"/>
        <v>Medium</v>
      </c>
      <c r="O1450" t="str">
        <f t="shared" si="90"/>
        <v>High Balance</v>
      </c>
      <c r="P1450" t="str">
        <f t="shared" si="91"/>
        <v>Mid-term</v>
      </c>
    </row>
    <row r="1451" spans="1:16" x14ac:dyDescent="0.25">
      <c r="A1451">
        <v>2025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  <c r="M1451" t="str">
        <f t="shared" si="88"/>
        <v>&lt;30</v>
      </c>
      <c r="N1451" t="str">
        <f t="shared" si="89"/>
        <v>Medium</v>
      </c>
      <c r="O1451" t="str">
        <f t="shared" si="90"/>
        <v>High Balance</v>
      </c>
      <c r="P1451" t="str">
        <f t="shared" si="91"/>
        <v>Mid-term</v>
      </c>
    </row>
    <row r="1452" spans="1:16" x14ac:dyDescent="0.25">
      <c r="A1452">
        <v>2025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  <c r="M1452" t="str">
        <f t="shared" si="88"/>
        <v>30-45</v>
      </c>
      <c r="N1452" t="str">
        <f t="shared" si="89"/>
        <v>Medium</v>
      </c>
      <c r="O1452" t="str">
        <f t="shared" si="90"/>
        <v>High Balance</v>
      </c>
      <c r="P1452" t="str">
        <f t="shared" si="91"/>
        <v>New</v>
      </c>
    </row>
    <row r="1453" spans="1:16" x14ac:dyDescent="0.25">
      <c r="A1453">
        <v>2025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  <c r="M1453" t="str">
        <f t="shared" si="88"/>
        <v>30-45</v>
      </c>
      <c r="N1453" t="str">
        <f t="shared" si="89"/>
        <v>Medium</v>
      </c>
      <c r="O1453" t="str">
        <f t="shared" si="90"/>
        <v>Zero Balance</v>
      </c>
      <c r="P1453" t="str">
        <f t="shared" si="91"/>
        <v>Long-term</v>
      </c>
    </row>
    <row r="1454" spans="1:16" x14ac:dyDescent="0.25">
      <c r="A1454">
        <v>2025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  <c r="M1454" t="str">
        <f t="shared" si="88"/>
        <v>30-45</v>
      </c>
      <c r="N1454" t="str">
        <f t="shared" si="89"/>
        <v>Medium</v>
      </c>
      <c r="O1454" t="str">
        <f t="shared" si="90"/>
        <v>Low Balance</v>
      </c>
      <c r="P1454" t="str">
        <f t="shared" si="91"/>
        <v>New</v>
      </c>
    </row>
    <row r="1455" spans="1:16" x14ac:dyDescent="0.25">
      <c r="A1455">
        <v>2025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  <c r="M1455" t="str">
        <f t="shared" si="88"/>
        <v>46-60</v>
      </c>
      <c r="N1455" t="str">
        <f t="shared" si="89"/>
        <v>Medium</v>
      </c>
      <c r="O1455" t="str">
        <f t="shared" si="90"/>
        <v>Zero Balance</v>
      </c>
      <c r="P1455" t="str">
        <f t="shared" si="91"/>
        <v>Mid-term</v>
      </c>
    </row>
    <row r="1456" spans="1:16" x14ac:dyDescent="0.25">
      <c r="A1456">
        <v>2025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  <c r="M1456" t="str">
        <f t="shared" si="88"/>
        <v>30-45</v>
      </c>
      <c r="N1456" t="str">
        <f t="shared" si="89"/>
        <v>Medium</v>
      </c>
      <c r="O1456" t="str">
        <f t="shared" si="90"/>
        <v>Low Balance</v>
      </c>
      <c r="P1456" t="str">
        <f t="shared" si="91"/>
        <v>Mid-term</v>
      </c>
    </row>
    <row r="1457" spans="1:16" x14ac:dyDescent="0.25">
      <c r="A1457">
        <v>2025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  <c r="M1457" t="str">
        <f t="shared" si="88"/>
        <v>30-45</v>
      </c>
      <c r="N1457" t="str">
        <f t="shared" si="89"/>
        <v>Medium</v>
      </c>
      <c r="O1457" t="str">
        <f t="shared" si="90"/>
        <v>High Balance</v>
      </c>
      <c r="P1457" t="str">
        <f t="shared" si="91"/>
        <v>New</v>
      </c>
    </row>
    <row r="1458" spans="1:16" x14ac:dyDescent="0.25">
      <c r="A1458">
        <v>2025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  <c r="M1458" t="str">
        <f t="shared" si="88"/>
        <v>&lt;30</v>
      </c>
      <c r="N1458" t="str">
        <f t="shared" si="89"/>
        <v>Medium</v>
      </c>
      <c r="O1458" t="str">
        <f t="shared" si="90"/>
        <v>Zero Balance</v>
      </c>
      <c r="P1458" t="str">
        <f t="shared" si="91"/>
        <v>Long-term</v>
      </c>
    </row>
    <row r="1459" spans="1:16" x14ac:dyDescent="0.25">
      <c r="A1459">
        <v>2025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  <c r="M1459" t="str">
        <f t="shared" si="88"/>
        <v>60+</v>
      </c>
      <c r="N1459" t="str">
        <f t="shared" si="89"/>
        <v>High</v>
      </c>
      <c r="O1459" t="str">
        <f t="shared" si="90"/>
        <v>Zero Balance</v>
      </c>
      <c r="P1459" t="str">
        <f t="shared" si="91"/>
        <v>Mid-term</v>
      </c>
    </row>
    <row r="1460" spans="1:16" x14ac:dyDescent="0.25">
      <c r="A1460">
        <v>2025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  <c r="M1460" t="str">
        <f t="shared" si="88"/>
        <v>&lt;30</v>
      </c>
      <c r="N1460" t="str">
        <f t="shared" si="89"/>
        <v>Low</v>
      </c>
      <c r="O1460" t="str">
        <f t="shared" si="90"/>
        <v>Low Balance</v>
      </c>
      <c r="P1460" t="str">
        <f t="shared" si="91"/>
        <v>New</v>
      </c>
    </row>
    <row r="1461" spans="1:16" x14ac:dyDescent="0.25">
      <c r="A1461">
        <v>2025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  <c r="M1461" t="str">
        <f t="shared" si="88"/>
        <v>46-60</v>
      </c>
      <c r="N1461" t="str">
        <f t="shared" si="89"/>
        <v>High</v>
      </c>
      <c r="O1461" t="str">
        <f t="shared" si="90"/>
        <v>High Balance</v>
      </c>
      <c r="P1461" t="str">
        <f t="shared" si="91"/>
        <v>Long-term</v>
      </c>
    </row>
    <row r="1462" spans="1:16" x14ac:dyDescent="0.25">
      <c r="A1462">
        <v>2025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  <c r="M1462" t="str">
        <f t="shared" si="88"/>
        <v>&lt;30</v>
      </c>
      <c r="N1462" t="str">
        <f t="shared" si="89"/>
        <v>Medium</v>
      </c>
      <c r="O1462" t="str">
        <f t="shared" si="90"/>
        <v>Low Balance</v>
      </c>
      <c r="P1462" t="str">
        <f t="shared" si="91"/>
        <v>Long-term</v>
      </c>
    </row>
    <row r="1463" spans="1:16" x14ac:dyDescent="0.25">
      <c r="A1463">
        <v>2025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  <c r="M1463" t="str">
        <f t="shared" si="88"/>
        <v>30-45</v>
      </c>
      <c r="N1463" t="str">
        <f t="shared" si="89"/>
        <v>Medium</v>
      </c>
      <c r="O1463" t="str">
        <f t="shared" si="90"/>
        <v>Zero Balance</v>
      </c>
      <c r="P1463" t="str">
        <f t="shared" si="91"/>
        <v>Mid-term</v>
      </c>
    </row>
    <row r="1464" spans="1:16" x14ac:dyDescent="0.25">
      <c r="A1464">
        <v>2025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  <c r="M1464" t="str">
        <f t="shared" si="88"/>
        <v>30-45</v>
      </c>
      <c r="N1464" t="str">
        <f t="shared" si="89"/>
        <v>Medium</v>
      </c>
      <c r="O1464" t="str">
        <f t="shared" si="90"/>
        <v>High Balance</v>
      </c>
      <c r="P1464" t="str">
        <f t="shared" si="91"/>
        <v>New</v>
      </c>
    </row>
    <row r="1465" spans="1:16" x14ac:dyDescent="0.25">
      <c r="A1465">
        <v>2025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  <c r="M1465" t="str">
        <f t="shared" si="88"/>
        <v>30-45</v>
      </c>
      <c r="N1465" t="str">
        <f t="shared" si="89"/>
        <v>Medium</v>
      </c>
      <c r="O1465" t="str">
        <f t="shared" si="90"/>
        <v>High Balance</v>
      </c>
      <c r="P1465" t="str">
        <f t="shared" si="91"/>
        <v>Mid-term</v>
      </c>
    </row>
    <row r="1466" spans="1:16" x14ac:dyDescent="0.25">
      <c r="A1466">
        <v>2025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  <c r="M1466" t="str">
        <f t="shared" si="88"/>
        <v>30-45</v>
      </c>
      <c r="N1466" t="str">
        <f t="shared" si="89"/>
        <v>Medium</v>
      </c>
      <c r="O1466" t="str">
        <f t="shared" si="90"/>
        <v>Zero Balance</v>
      </c>
      <c r="P1466" t="str">
        <f t="shared" si="91"/>
        <v>Mid-term</v>
      </c>
    </row>
    <row r="1467" spans="1:16" x14ac:dyDescent="0.25">
      <c r="A1467">
        <v>2025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  <c r="M1467" t="str">
        <f t="shared" si="88"/>
        <v>30-45</v>
      </c>
      <c r="N1467" t="str">
        <f t="shared" si="89"/>
        <v>High</v>
      </c>
      <c r="O1467" t="str">
        <f t="shared" si="90"/>
        <v>Low Balance</v>
      </c>
      <c r="P1467" t="str">
        <f t="shared" si="91"/>
        <v>New</v>
      </c>
    </row>
    <row r="1468" spans="1:16" x14ac:dyDescent="0.25">
      <c r="A1468">
        <v>2025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  <c r="M1468" t="str">
        <f t="shared" si="88"/>
        <v>&lt;30</v>
      </c>
      <c r="N1468" t="str">
        <f t="shared" si="89"/>
        <v>Medium</v>
      </c>
      <c r="O1468" t="str">
        <f t="shared" si="90"/>
        <v>High Balance</v>
      </c>
      <c r="P1468" t="str">
        <f t="shared" si="91"/>
        <v>Mid-term</v>
      </c>
    </row>
    <row r="1469" spans="1:16" x14ac:dyDescent="0.25">
      <c r="A1469">
        <v>2025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  <c r="M1469" t="str">
        <f t="shared" si="88"/>
        <v>30-45</v>
      </c>
      <c r="N1469" t="str">
        <f t="shared" si="89"/>
        <v>Medium</v>
      </c>
      <c r="O1469" t="str">
        <f t="shared" si="90"/>
        <v>High Balance</v>
      </c>
      <c r="P1469" t="str">
        <f t="shared" si="91"/>
        <v>New</v>
      </c>
    </row>
    <row r="1470" spans="1:16" x14ac:dyDescent="0.25">
      <c r="A1470">
        <v>2025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  <c r="M1470" t="str">
        <f t="shared" si="88"/>
        <v>46-60</v>
      </c>
      <c r="N1470" t="str">
        <f t="shared" si="89"/>
        <v>Medium</v>
      </c>
      <c r="O1470" t="str">
        <f t="shared" si="90"/>
        <v>Zero Balance</v>
      </c>
      <c r="P1470" t="str">
        <f t="shared" si="91"/>
        <v>New</v>
      </c>
    </row>
    <row r="1471" spans="1:16" x14ac:dyDescent="0.25">
      <c r="A1471">
        <v>2025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  <c r="M1471" t="str">
        <f t="shared" si="88"/>
        <v>46-60</v>
      </c>
      <c r="N1471" t="str">
        <f t="shared" si="89"/>
        <v>High</v>
      </c>
      <c r="O1471" t="str">
        <f t="shared" si="90"/>
        <v>High Balance</v>
      </c>
      <c r="P1471" t="str">
        <f t="shared" si="91"/>
        <v>New</v>
      </c>
    </row>
    <row r="1472" spans="1:16" x14ac:dyDescent="0.25">
      <c r="A1472">
        <v>2025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  <c r="M1472" t="str">
        <f t="shared" si="88"/>
        <v>30-45</v>
      </c>
      <c r="N1472" t="str">
        <f t="shared" si="89"/>
        <v>Medium</v>
      </c>
      <c r="O1472" t="str">
        <f t="shared" si="90"/>
        <v>Low Balance</v>
      </c>
      <c r="P1472" t="str">
        <f t="shared" si="91"/>
        <v>New</v>
      </c>
    </row>
    <row r="1473" spans="1:16" x14ac:dyDescent="0.25">
      <c r="A1473">
        <v>2025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  <c r="M1473" t="str">
        <f t="shared" si="88"/>
        <v>46-60</v>
      </c>
      <c r="N1473" t="str">
        <f t="shared" si="89"/>
        <v>High</v>
      </c>
      <c r="O1473" t="str">
        <f t="shared" si="90"/>
        <v>High Balance</v>
      </c>
      <c r="P1473" t="str">
        <f t="shared" si="91"/>
        <v>Mid-term</v>
      </c>
    </row>
    <row r="1474" spans="1:16" x14ac:dyDescent="0.25">
      <c r="A1474">
        <v>2025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  <c r="M1474" t="str">
        <f t="shared" si="88"/>
        <v>&lt;30</v>
      </c>
      <c r="N1474" t="str">
        <f t="shared" si="89"/>
        <v>High</v>
      </c>
      <c r="O1474" t="str">
        <f t="shared" si="90"/>
        <v>Low Balance</v>
      </c>
      <c r="P1474" t="str">
        <f t="shared" si="91"/>
        <v>New</v>
      </c>
    </row>
    <row r="1475" spans="1:16" x14ac:dyDescent="0.25">
      <c r="A1475">
        <v>2025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  <c r="M1475" t="str">
        <f t="shared" ref="M1475:M1538" si="92">IF(E1475&lt;30,"&lt;30",IF(E1475&lt;=45,"30-45",IF(E1475&lt;=60,"46-60","60+")))</f>
        <v>30-45</v>
      </c>
      <c r="N1475" t="str">
        <f t="shared" ref="N1475:N1538" si="93">IF(B1475&lt;500,"Low",IF(B1475&lt;700,"Medium","High"))</f>
        <v>Medium</v>
      </c>
      <c r="O1475" t="str">
        <f t="shared" ref="O1475:O1538" si="94">IF(G1475=0,"Zero Balance",IF(G1475&lt;100000,"Low Balance","High Balance"))</f>
        <v>Zero Balance</v>
      </c>
      <c r="P1475" t="str">
        <f t="shared" ref="P1475:P1538" si="95">IF(F1475&lt;=3,"New",IF(F1475&lt;=7,"Mid-term","Long-term"))</f>
        <v>Long-term</v>
      </c>
    </row>
    <row r="1476" spans="1:16" x14ac:dyDescent="0.25">
      <c r="A1476">
        <v>2025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  <c r="M1476" t="str">
        <f t="shared" si="92"/>
        <v>30-45</v>
      </c>
      <c r="N1476" t="str">
        <f t="shared" si="93"/>
        <v>High</v>
      </c>
      <c r="O1476" t="str">
        <f t="shared" si="94"/>
        <v>High Balance</v>
      </c>
      <c r="P1476" t="str">
        <f t="shared" si="95"/>
        <v>Mid-term</v>
      </c>
    </row>
    <row r="1477" spans="1:16" x14ac:dyDescent="0.25">
      <c r="A1477">
        <v>2025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  <c r="M1477" t="str">
        <f t="shared" si="92"/>
        <v>&lt;30</v>
      </c>
      <c r="N1477" t="str">
        <f t="shared" si="93"/>
        <v>Medium</v>
      </c>
      <c r="O1477" t="str">
        <f t="shared" si="94"/>
        <v>Zero Balance</v>
      </c>
      <c r="P1477" t="str">
        <f t="shared" si="95"/>
        <v>Long-term</v>
      </c>
    </row>
    <row r="1478" spans="1:16" x14ac:dyDescent="0.25">
      <c r="A1478">
        <v>2025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  <c r="M1478" t="str">
        <f t="shared" si="92"/>
        <v>&lt;30</v>
      </c>
      <c r="N1478" t="str">
        <f t="shared" si="93"/>
        <v>High</v>
      </c>
      <c r="O1478" t="str">
        <f t="shared" si="94"/>
        <v>High Balance</v>
      </c>
      <c r="P1478" t="str">
        <f t="shared" si="95"/>
        <v>Mid-term</v>
      </c>
    </row>
    <row r="1479" spans="1:16" x14ac:dyDescent="0.25">
      <c r="A1479">
        <v>2025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  <c r="M1479" t="str">
        <f t="shared" si="92"/>
        <v>30-45</v>
      </c>
      <c r="N1479" t="str">
        <f t="shared" si="93"/>
        <v>High</v>
      </c>
      <c r="O1479" t="str">
        <f t="shared" si="94"/>
        <v>Zero Balance</v>
      </c>
      <c r="P1479" t="str">
        <f t="shared" si="95"/>
        <v>New</v>
      </c>
    </row>
    <row r="1480" spans="1:16" x14ac:dyDescent="0.25">
      <c r="A1480">
        <v>2025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  <c r="M1480" t="str">
        <f t="shared" si="92"/>
        <v>30-45</v>
      </c>
      <c r="N1480" t="str">
        <f t="shared" si="93"/>
        <v>Medium</v>
      </c>
      <c r="O1480" t="str">
        <f t="shared" si="94"/>
        <v>Low Balance</v>
      </c>
      <c r="P1480" t="str">
        <f t="shared" si="95"/>
        <v>Mid-term</v>
      </c>
    </row>
    <row r="1481" spans="1:16" x14ac:dyDescent="0.25">
      <c r="A1481">
        <v>2025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  <c r="M1481" t="str">
        <f t="shared" si="92"/>
        <v>30-45</v>
      </c>
      <c r="N1481" t="str">
        <f t="shared" si="93"/>
        <v>Medium</v>
      </c>
      <c r="O1481" t="str">
        <f t="shared" si="94"/>
        <v>High Balance</v>
      </c>
      <c r="P1481" t="str">
        <f t="shared" si="95"/>
        <v>Long-term</v>
      </c>
    </row>
    <row r="1482" spans="1:16" x14ac:dyDescent="0.25">
      <c r="A1482">
        <v>2025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  <c r="M1482" t="str">
        <f t="shared" si="92"/>
        <v>30-45</v>
      </c>
      <c r="N1482" t="str">
        <f t="shared" si="93"/>
        <v>Medium</v>
      </c>
      <c r="O1482" t="str">
        <f t="shared" si="94"/>
        <v>Low Balance</v>
      </c>
      <c r="P1482" t="str">
        <f t="shared" si="95"/>
        <v>Mid-term</v>
      </c>
    </row>
    <row r="1483" spans="1:16" x14ac:dyDescent="0.25">
      <c r="A1483">
        <v>2025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  <c r="M1483" t="str">
        <f t="shared" si="92"/>
        <v>30-45</v>
      </c>
      <c r="N1483" t="str">
        <f t="shared" si="93"/>
        <v>Medium</v>
      </c>
      <c r="O1483" t="str">
        <f t="shared" si="94"/>
        <v>Zero Balance</v>
      </c>
      <c r="P1483" t="str">
        <f t="shared" si="95"/>
        <v>Long-term</v>
      </c>
    </row>
    <row r="1484" spans="1:16" x14ac:dyDescent="0.25">
      <c r="A1484">
        <v>2025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  <c r="M1484" t="str">
        <f t="shared" si="92"/>
        <v>&lt;30</v>
      </c>
      <c r="N1484" t="str">
        <f t="shared" si="93"/>
        <v>Medium</v>
      </c>
      <c r="O1484" t="str">
        <f t="shared" si="94"/>
        <v>Low Balance</v>
      </c>
      <c r="P1484" t="str">
        <f t="shared" si="95"/>
        <v>Long-term</v>
      </c>
    </row>
    <row r="1485" spans="1:16" x14ac:dyDescent="0.25">
      <c r="A1485">
        <v>2025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  <c r="M1485" t="str">
        <f t="shared" si="92"/>
        <v>30-45</v>
      </c>
      <c r="N1485" t="str">
        <f t="shared" si="93"/>
        <v>High</v>
      </c>
      <c r="O1485" t="str">
        <f t="shared" si="94"/>
        <v>High Balance</v>
      </c>
      <c r="P1485" t="str">
        <f t="shared" si="95"/>
        <v>New</v>
      </c>
    </row>
    <row r="1486" spans="1:16" x14ac:dyDescent="0.25">
      <c r="A1486">
        <v>2025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  <c r="M1486" t="str">
        <f t="shared" si="92"/>
        <v>&lt;30</v>
      </c>
      <c r="N1486" t="str">
        <f t="shared" si="93"/>
        <v>High</v>
      </c>
      <c r="O1486" t="str">
        <f t="shared" si="94"/>
        <v>Zero Balance</v>
      </c>
      <c r="P1486" t="str">
        <f t="shared" si="95"/>
        <v>New</v>
      </c>
    </row>
    <row r="1487" spans="1:16" x14ac:dyDescent="0.25">
      <c r="A1487">
        <v>2025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  <c r="M1487" t="str">
        <f t="shared" si="92"/>
        <v>46-60</v>
      </c>
      <c r="N1487" t="str">
        <f t="shared" si="93"/>
        <v>Low</v>
      </c>
      <c r="O1487" t="str">
        <f t="shared" si="94"/>
        <v>Zero Balance</v>
      </c>
      <c r="P1487" t="str">
        <f t="shared" si="95"/>
        <v>Long-term</v>
      </c>
    </row>
    <row r="1488" spans="1:16" x14ac:dyDescent="0.25">
      <c r="A1488">
        <v>2025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  <c r="M1488" t="str">
        <f t="shared" si="92"/>
        <v>30-45</v>
      </c>
      <c r="N1488" t="str">
        <f t="shared" si="93"/>
        <v>Medium</v>
      </c>
      <c r="O1488" t="str">
        <f t="shared" si="94"/>
        <v>Zero Balance</v>
      </c>
      <c r="P1488" t="str">
        <f t="shared" si="95"/>
        <v>Mid-term</v>
      </c>
    </row>
    <row r="1489" spans="1:16" x14ac:dyDescent="0.25">
      <c r="A1489">
        <v>2025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  <c r="M1489" t="str">
        <f t="shared" si="92"/>
        <v>46-60</v>
      </c>
      <c r="N1489" t="str">
        <f t="shared" si="93"/>
        <v>High</v>
      </c>
      <c r="O1489" t="str">
        <f t="shared" si="94"/>
        <v>Low Balance</v>
      </c>
      <c r="P1489" t="str">
        <f t="shared" si="95"/>
        <v>Mid-term</v>
      </c>
    </row>
    <row r="1490" spans="1:16" x14ac:dyDescent="0.25">
      <c r="A1490">
        <v>2025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  <c r="M1490" t="str">
        <f t="shared" si="92"/>
        <v>30-45</v>
      </c>
      <c r="N1490" t="str">
        <f t="shared" si="93"/>
        <v>Medium</v>
      </c>
      <c r="O1490" t="str">
        <f t="shared" si="94"/>
        <v>High Balance</v>
      </c>
      <c r="P1490" t="str">
        <f t="shared" si="95"/>
        <v>Mid-term</v>
      </c>
    </row>
    <row r="1491" spans="1:16" x14ac:dyDescent="0.25">
      <c r="A1491">
        <v>2025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  <c r="M1491" t="str">
        <f t="shared" si="92"/>
        <v>30-45</v>
      </c>
      <c r="N1491" t="str">
        <f t="shared" si="93"/>
        <v>Medium</v>
      </c>
      <c r="O1491" t="str">
        <f t="shared" si="94"/>
        <v>High Balance</v>
      </c>
      <c r="P1491" t="str">
        <f t="shared" si="95"/>
        <v>Long-term</v>
      </c>
    </row>
    <row r="1492" spans="1:16" x14ac:dyDescent="0.25">
      <c r="A1492">
        <v>2025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  <c r="M1492" t="str">
        <f t="shared" si="92"/>
        <v>30-45</v>
      </c>
      <c r="N1492" t="str">
        <f t="shared" si="93"/>
        <v>High</v>
      </c>
      <c r="O1492" t="str">
        <f t="shared" si="94"/>
        <v>Zero Balance</v>
      </c>
      <c r="P1492" t="str">
        <f t="shared" si="95"/>
        <v>Long-term</v>
      </c>
    </row>
    <row r="1493" spans="1:16" x14ac:dyDescent="0.25">
      <c r="A1493">
        <v>2025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  <c r="M1493" t="str">
        <f t="shared" si="92"/>
        <v>30-45</v>
      </c>
      <c r="N1493" t="str">
        <f t="shared" si="93"/>
        <v>Medium</v>
      </c>
      <c r="O1493" t="str">
        <f t="shared" si="94"/>
        <v>High Balance</v>
      </c>
      <c r="P1493" t="str">
        <f t="shared" si="95"/>
        <v>Mid-term</v>
      </c>
    </row>
    <row r="1494" spans="1:16" x14ac:dyDescent="0.25">
      <c r="A1494">
        <v>2025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  <c r="M1494" t="str">
        <f t="shared" si="92"/>
        <v>46-60</v>
      </c>
      <c r="N1494" t="str">
        <f t="shared" si="93"/>
        <v>High</v>
      </c>
      <c r="O1494" t="str">
        <f t="shared" si="94"/>
        <v>Zero Balance</v>
      </c>
      <c r="P1494" t="str">
        <f t="shared" si="95"/>
        <v>Long-term</v>
      </c>
    </row>
    <row r="1495" spans="1:16" x14ac:dyDescent="0.25">
      <c r="A1495">
        <v>2025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  <c r="M1495" t="str">
        <f t="shared" si="92"/>
        <v>30-45</v>
      </c>
      <c r="N1495" t="str">
        <f t="shared" si="93"/>
        <v>Medium</v>
      </c>
      <c r="O1495" t="str">
        <f t="shared" si="94"/>
        <v>Zero Balance</v>
      </c>
      <c r="P1495" t="str">
        <f t="shared" si="95"/>
        <v>New</v>
      </c>
    </row>
    <row r="1496" spans="1:16" x14ac:dyDescent="0.25">
      <c r="A1496">
        <v>2025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  <c r="M1496" t="str">
        <f t="shared" si="92"/>
        <v>46-60</v>
      </c>
      <c r="N1496" t="str">
        <f t="shared" si="93"/>
        <v>Low</v>
      </c>
      <c r="O1496" t="str">
        <f t="shared" si="94"/>
        <v>Zero Balance</v>
      </c>
      <c r="P1496" t="str">
        <f t="shared" si="95"/>
        <v>Mid-term</v>
      </c>
    </row>
    <row r="1497" spans="1:16" x14ac:dyDescent="0.25">
      <c r="A1497">
        <v>2025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  <c r="M1497" t="str">
        <f t="shared" si="92"/>
        <v>46-60</v>
      </c>
      <c r="N1497" t="str">
        <f t="shared" si="93"/>
        <v>Medium</v>
      </c>
      <c r="O1497" t="str">
        <f t="shared" si="94"/>
        <v>High Balance</v>
      </c>
      <c r="P1497" t="str">
        <f t="shared" si="95"/>
        <v>Mid-term</v>
      </c>
    </row>
    <row r="1498" spans="1:16" x14ac:dyDescent="0.25">
      <c r="A1498">
        <v>2025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  <c r="M1498" t="str">
        <f t="shared" si="92"/>
        <v>30-45</v>
      </c>
      <c r="N1498" t="str">
        <f t="shared" si="93"/>
        <v>Medium</v>
      </c>
      <c r="O1498" t="str">
        <f t="shared" si="94"/>
        <v>Zero Balance</v>
      </c>
      <c r="P1498" t="str">
        <f t="shared" si="95"/>
        <v>Long-term</v>
      </c>
    </row>
    <row r="1499" spans="1:16" x14ac:dyDescent="0.25">
      <c r="A1499">
        <v>2025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  <c r="M1499" t="str">
        <f t="shared" si="92"/>
        <v>30-45</v>
      </c>
      <c r="N1499" t="str">
        <f t="shared" si="93"/>
        <v>Medium</v>
      </c>
      <c r="O1499" t="str">
        <f t="shared" si="94"/>
        <v>High Balance</v>
      </c>
      <c r="P1499" t="str">
        <f t="shared" si="95"/>
        <v>Long-term</v>
      </c>
    </row>
    <row r="1500" spans="1:16" x14ac:dyDescent="0.25">
      <c r="A1500">
        <v>2025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  <c r="M1500" t="str">
        <f t="shared" si="92"/>
        <v>&lt;30</v>
      </c>
      <c r="N1500" t="str">
        <f t="shared" si="93"/>
        <v>Medium</v>
      </c>
      <c r="O1500" t="str">
        <f t="shared" si="94"/>
        <v>High Balance</v>
      </c>
      <c r="P1500" t="str">
        <f t="shared" si="95"/>
        <v>Mid-term</v>
      </c>
    </row>
    <row r="1501" spans="1:16" x14ac:dyDescent="0.25">
      <c r="A1501">
        <v>2025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  <c r="M1501" t="str">
        <f t="shared" si="92"/>
        <v>&lt;30</v>
      </c>
      <c r="N1501" t="str">
        <f t="shared" si="93"/>
        <v>Low</v>
      </c>
      <c r="O1501" t="str">
        <f t="shared" si="94"/>
        <v>Zero Balance</v>
      </c>
      <c r="P1501" t="str">
        <f t="shared" si="95"/>
        <v>Long-term</v>
      </c>
    </row>
    <row r="1502" spans="1:16" x14ac:dyDescent="0.25">
      <c r="A1502">
        <v>2025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  <c r="M1502" t="str">
        <f t="shared" si="92"/>
        <v>46-60</v>
      </c>
      <c r="N1502" t="str">
        <f t="shared" si="93"/>
        <v>Medium</v>
      </c>
      <c r="O1502" t="str">
        <f t="shared" si="94"/>
        <v>Low Balance</v>
      </c>
      <c r="P1502" t="str">
        <f t="shared" si="95"/>
        <v>New</v>
      </c>
    </row>
    <row r="1503" spans="1:16" x14ac:dyDescent="0.25">
      <c r="A1503">
        <v>2025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  <c r="M1503" t="str">
        <f t="shared" si="92"/>
        <v>30-45</v>
      </c>
      <c r="N1503" t="str">
        <f t="shared" si="93"/>
        <v>Medium</v>
      </c>
      <c r="O1503" t="str">
        <f t="shared" si="94"/>
        <v>High Balance</v>
      </c>
      <c r="P1503" t="str">
        <f t="shared" si="95"/>
        <v>Mid-term</v>
      </c>
    </row>
    <row r="1504" spans="1:16" x14ac:dyDescent="0.25">
      <c r="A1504">
        <v>2025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  <c r="M1504" t="str">
        <f t="shared" si="92"/>
        <v>30-45</v>
      </c>
      <c r="N1504" t="str">
        <f t="shared" si="93"/>
        <v>High</v>
      </c>
      <c r="O1504" t="str">
        <f t="shared" si="94"/>
        <v>Low Balance</v>
      </c>
      <c r="P1504" t="str">
        <f t="shared" si="95"/>
        <v>Mid-term</v>
      </c>
    </row>
    <row r="1505" spans="1:16" x14ac:dyDescent="0.25">
      <c r="A1505">
        <v>2025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  <c r="M1505" t="str">
        <f t="shared" si="92"/>
        <v>46-60</v>
      </c>
      <c r="N1505" t="str">
        <f t="shared" si="93"/>
        <v>High</v>
      </c>
      <c r="O1505" t="str">
        <f t="shared" si="94"/>
        <v>High Balance</v>
      </c>
      <c r="P1505" t="str">
        <f t="shared" si="95"/>
        <v>Mid-term</v>
      </c>
    </row>
    <row r="1506" spans="1:16" x14ac:dyDescent="0.25">
      <c r="A1506">
        <v>2025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  <c r="M1506" t="str">
        <f t="shared" si="92"/>
        <v>30-45</v>
      </c>
      <c r="N1506" t="str">
        <f t="shared" si="93"/>
        <v>High</v>
      </c>
      <c r="O1506" t="str">
        <f t="shared" si="94"/>
        <v>Zero Balance</v>
      </c>
      <c r="P1506" t="str">
        <f t="shared" si="95"/>
        <v>Long-term</v>
      </c>
    </row>
    <row r="1507" spans="1:16" x14ac:dyDescent="0.25">
      <c r="A1507">
        <v>2025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  <c r="M1507" t="str">
        <f t="shared" si="92"/>
        <v>46-60</v>
      </c>
      <c r="N1507" t="str">
        <f t="shared" si="93"/>
        <v>Medium</v>
      </c>
      <c r="O1507" t="str">
        <f t="shared" si="94"/>
        <v>High Balance</v>
      </c>
      <c r="P1507" t="str">
        <f t="shared" si="95"/>
        <v>Mid-term</v>
      </c>
    </row>
    <row r="1508" spans="1:16" x14ac:dyDescent="0.25">
      <c r="A1508">
        <v>2025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  <c r="M1508" t="str">
        <f t="shared" si="92"/>
        <v>&lt;30</v>
      </c>
      <c r="N1508" t="str">
        <f t="shared" si="93"/>
        <v>High</v>
      </c>
      <c r="O1508" t="str">
        <f t="shared" si="94"/>
        <v>Zero Balance</v>
      </c>
      <c r="P1508" t="str">
        <f t="shared" si="95"/>
        <v>Long-term</v>
      </c>
    </row>
    <row r="1509" spans="1:16" x14ac:dyDescent="0.25">
      <c r="A1509">
        <v>2025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  <c r="M1509" t="str">
        <f t="shared" si="92"/>
        <v>30-45</v>
      </c>
      <c r="N1509" t="str">
        <f t="shared" si="93"/>
        <v>Medium</v>
      </c>
      <c r="O1509" t="str">
        <f t="shared" si="94"/>
        <v>High Balance</v>
      </c>
      <c r="P1509" t="str">
        <f t="shared" si="95"/>
        <v>New</v>
      </c>
    </row>
    <row r="1510" spans="1:16" x14ac:dyDescent="0.25">
      <c r="A1510">
        <v>2025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  <c r="M1510" t="str">
        <f t="shared" si="92"/>
        <v>30-45</v>
      </c>
      <c r="N1510" t="str">
        <f t="shared" si="93"/>
        <v>Medium</v>
      </c>
      <c r="O1510" t="str">
        <f t="shared" si="94"/>
        <v>Zero Balance</v>
      </c>
      <c r="P1510" t="str">
        <f t="shared" si="95"/>
        <v>Mid-term</v>
      </c>
    </row>
    <row r="1511" spans="1:16" x14ac:dyDescent="0.25">
      <c r="A1511">
        <v>2025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  <c r="M1511" t="str">
        <f t="shared" si="92"/>
        <v>30-45</v>
      </c>
      <c r="N1511" t="str">
        <f t="shared" si="93"/>
        <v>Medium</v>
      </c>
      <c r="O1511" t="str">
        <f t="shared" si="94"/>
        <v>High Balance</v>
      </c>
      <c r="P1511" t="str">
        <f t="shared" si="95"/>
        <v>Mid-term</v>
      </c>
    </row>
    <row r="1512" spans="1:16" x14ac:dyDescent="0.25">
      <c r="A1512">
        <v>2025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  <c r="M1512" t="str">
        <f t="shared" si="92"/>
        <v>30-45</v>
      </c>
      <c r="N1512" t="str">
        <f t="shared" si="93"/>
        <v>Medium</v>
      </c>
      <c r="O1512" t="str">
        <f t="shared" si="94"/>
        <v>High Balance</v>
      </c>
      <c r="P1512" t="str">
        <f t="shared" si="95"/>
        <v>New</v>
      </c>
    </row>
    <row r="1513" spans="1:16" x14ac:dyDescent="0.25">
      <c r="A1513">
        <v>2025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  <c r="M1513" t="str">
        <f t="shared" si="92"/>
        <v>30-45</v>
      </c>
      <c r="N1513" t="str">
        <f t="shared" si="93"/>
        <v>Medium</v>
      </c>
      <c r="O1513" t="str">
        <f t="shared" si="94"/>
        <v>Zero Balance</v>
      </c>
      <c r="P1513" t="str">
        <f t="shared" si="95"/>
        <v>New</v>
      </c>
    </row>
    <row r="1514" spans="1:16" x14ac:dyDescent="0.25">
      <c r="A1514">
        <v>2025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  <c r="M1514" t="str">
        <f t="shared" si="92"/>
        <v>30-45</v>
      </c>
      <c r="N1514" t="str">
        <f t="shared" si="93"/>
        <v>Medium</v>
      </c>
      <c r="O1514" t="str">
        <f t="shared" si="94"/>
        <v>Zero Balance</v>
      </c>
      <c r="P1514" t="str">
        <f t="shared" si="95"/>
        <v>Long-term</v>
      </c>
    </row>
    <row r="1515" spans="1:16" x14ac:dyDescent="0.25">
      <c r="A1515">
        <v>2025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  <c r="M1515" t="str">
        <f t="shared" si="92"/>
        <v>30-45</v>
      </c>
      <c r="N1515" t="str">
        <f t="shared" si="93"/>
        <v>Low</v>
      </c>
      <c r="O1515" t="str">
        <f t="shared" si="94"/>
        <v>Zero Balance</v>
      </c>
      <c r="P1515" t="str">
        <f t="shared" si="95"/>
        <v>New</v>
      </c>
    </row>
    <row r="1516" spans="1:16" x14ac:dyDescent="0.25">
      <c r="A1516">
        <v>2025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  <c r="M1516" t="str">
        <f t="shared" si="92"/>
        <v>30-45</v>
      </c>
      <c r="N1516" t="str">
        <f t="shared" si="93"/>
        <v>Medium</v>
      </c>
      <c r="O1516" t="str">
        <f t="shared" si="94"/>
        <v>Low Balance</v>
      </c>
      <c r="P1516" t="str">
        <f t="shared" si="95"/>
        <v>Long-term</v>
      </c>
    </row>
    <row r="1517" spans="1:16" x14ac:dyDescent="0.25">
      <c r="A1517">
        <v>2025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  <c r="M1517" t="str">
        <f t="shared" si="92"/>
        <v>30-45</v>
      </c>
      <c r="N1517" t="str">
        <f t="shared" si="93"/>
        <v>High</v>
      </c>
      <c r="O1517" t="str">
        <f t="shared" si="94"/>
        <v>High Balance</v>
      </c>
      <c r="P1517" t="str">
        <f t="shared" si="95"/>
        <v>Mid-term</v>
      </c>
    </row>
    <row r="1518" spans="1:16" x14ac:dyDescent="0.25">
      <c r="A1518">
        <v>2025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  <c r="M1518" t="str">
        <f t="shared" si="92"/>
        <v>30-45</v>
      </c>
      <c r="N1518" t="str">
        <f t="shared" si="93"/>
        <v>Medium</v>
      </c>
      <c r="O1518" t="str">
        <f t="shared" si="94"/>
        <v>Low Balance</v>
      </c>
      <c r="P1518" t="str">
        <f t="shared" si="95"/>
        <v>Mid-term</v>
      </c>
    </row>
    <row r="1519" spans="1:16" x14ac:dyDescent="0.25">
      <c r="A1519">
        <v>2025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  <c r="M1519" t="str">
        <f t="shared" si="92"/>
        <v>46-60</v>
      </c>
      <c r="N1519" t="str">
        <f t="shared" si="93"/>
        <v>High</v>
      </c>
      <c r="O1519" t="str">
        <f t="shared" si="94"/>
        <v>Low Balance</v>
      </c>
      <c r="P1519" t="str">
        <f t="shared" si="95"/>
        <v>Mid-term</v>
      </c>
    </row>
    <row r="1520" spans="1:16" x14ac:dyDescent="0.25">
      <c r="A1520">
        <v>2025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  <c r="M1520" t="str">
        <f t="shared" si="92"/>
        <v>30-45</v>
      </c>
      <c r="N1520" t="str">
        <f t="shared" si="93"/>
        <v>High</v>
      </c>
      <c r="O1520" t="str">
        <f t="shared" si="94"/>
        <v>Zero Balance</v>
      </c>
      <c r="P1520" t="str">
        <f t="shared" si="95"/>
        <v>Long-term</v>
      </c>
    </row>
    <row r="1521" spans="1:16" x14ac:dyDescent="0.25">
      <c r="A1521">
        <v>2025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  <c r="M1521" t="str">
        <f t="shared" si="92"/>
        <v>60+</v>
      </c>
      <c r="N1521" t="str">
        <f t="shared" si="93"/>
        <v>Medium</v>
      </c>
      <c r="O1521" t="str">
        <f t="shared" si="94"/>
        <v>High Balance</v>
      </c>
      <c r="P1521" t="str">
        <f t="shared" si="95"/>
        <v>New</v>
      </c>
    </row>
    <row r="1522" spans="1:16" x14ac:dyDescent="0.25">
      <c r="A1522">
        <v>2025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  <c r="M1522" t="str">
        <f t="shared" si="92"/>
        <v>46-60</v>
      </c>
      <c r="N1522" t="str">
        <f t="shared" si="93"/>
        <v>High</v>
      </c>
      <c r="O1522" t="str">
        <f t="shared" si="94"/>
        <v>High Balance</v>
      </c>
      <c r="P1522" t="str">
        <f t="shared" si="95"/>
        <v>Mid-term</v>
      </c>
    </row>
    <row r="1523" spans="1:16" x14ac:dyDescent="0.25">
      <c r="A1523">
        <v>2025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  <c r="M1523" t="str">
        <f t="shared" si="92"/>
        <v>&lt;30</v>
      </c>
      <c r="N1523" t="str">
        <f t="shared" si="93"/>
        <v>Medium</v>
      </c>
      <c r="O1523" t="str">
        <f t="shared" si="94"/>
        <v>Zero Balance</v>
      </c>
      <c r="P1523" t="str">
        <f t="shared" si="95"/>
        <v>Mid-term</v>
      </c>
    </row>
    <row r="1524" spans="1:16" x14ac:dyDescent="0.25">
      <c r="A1524">
        <v>2025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  <c r="M1524" t="str">
        <f t="shared" si="92"/>
        <v>30-45</v>
      </c>
      <c r="N1524" t="str">
        <f t="shared" si="93"/>
        <v>High</v>
      </c>
      <c r="O1524" t="str">
        <f t="shared" si="94"/>
        <v>High Balance</v>
      </c>
      <c r="P1524" t="str">
        <f t="shared" si="95"/>
        <v>New</v>
      </c>
    </row>
    <row r="1525" spans="1:16" x14ac:dyDescent="0.25">
      <c r="A1525">
        <v>2025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  <c r="M1525" t="str">
        <f t="shared" si="92"/>
        <v>30-45</v>
      </c>
      <c r="N1525" t="str">
        <f t="shared" si="93"/>
        <v>Medium</v>
      </c>
      <c r="O1525" t="str">
        <f t="shared" si="94"/>
        <v>Zero Balance</v>
      </c>
      <c r="P1525" t="str">
        <f t="shared" si="95"/>
        <v>Long-term</v>
      </c>
    </row>
    <row r="1526" spans="1:16" x14ac:dyDescent="0.25">
      <c r="A1526">
        <v>2025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  <c r="M1526" t="str">
        <f t="shared" si="92"/>
        <v>46-60</v>
      </c>
      <c r="N1526" t="str">
        <f t="shared" si="93"/>
        <v>High</v>
      </c>
      <c r="O1526" t="str">
        <f t="shared" si="94"/>
        <v>Zero Balance</v>
      </c>
      <c r="P1526" t="str">
        <f t="shared" si="95"/>
        <v>Mid-term</v>
      </c>
    </row>
    <row r="1527" spans="1:16" x14ac:dyDescent="0.25">
      <c r="A1527">
        <v>2025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  <c r="M1527" t="str">
        <f t="shared" si="92"/>
        <v>30-45</v>
      </c>
      <c r="N1527" t="str">
        <f t="shared" si="93"/>
        <v>Medium</v>
      </c>
      <c r="O1527" t="str">
        <f t="shared" si="94"/>
        <v>High Balance</v>
      </c>
      <c r="P1527" t="str">
        <f t="shared" si="95"/>
        <v>Mid-term</v>
      </c>
    </row>
    <row r="1528" spans="1:16" x14ac:dyDescent="0.25">
      <c r="A1528">
        <v>2025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  <c r="M1528" t="str">
        <f t="shared" si="92"/>
        <v>30-45</v>
      </c>
      <c r="N1528" t="str">
        <f t="shared" si="93"/>
        <v>High</v>
      </c>
      <c r="O1528" t="str">
        <f t="shared" si="94"/>
        <v>Zero Balance</v>
      </c>
      <c r="P1528" t="str">
        <f t="shared" si="95"/>
        <v>Long-term</v>
      </c>
    </row>
    <row r="1529" spans="1:16" x14ac:dyDescent="0.25">
      <c r="A1529">
        <v>2025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  <c r="M1529" t="str">
        <f t="shared" si="92"/>
        <v>30-45</v>
      </c>
      <c r="N1529" t="str">
        <f t="shared" si="93"/>
        <v>Medium</v>
      </c>
      <c r="O1529" t="str">
        <f t="shared" si="94"/>
        <v>High Balance</v>
      </c>
      <c r="P1529" t="str">
        <f t="shared" si="95"/>
        <v>Long-term</v>
      </c>
    </row>
    <row r="1530" spans="1:16" x14ac:dyDescent="0.25">
      <c r="A1530">
        <v>2025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  <c r="M1530" t="str">
        <f t="shared" si="92"/>
        <v>30-45</v>
      </c>
      <c r="N1530" t="str">
        <f t="shared" si="93"/>
        <v>Low</v>
      </c>
      <c r="O1530" t="str">
        <f t="shared" si="94"/>
        <v>High Balance</v>
      </c>
      <c r="P1530" t="str">
        <f t="shared" si="95"/>
        <v>Mid-term</v>
      </c>
    </row>
    <row r="1531" spans="1:16" x14ac:dyDescent="0.25">
      <c r="A1531">
        <v>2025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  <c r="M1531" t="str">
        <f t="shared" si="92"/>
        <v>&lt;30</v>
      </c>
      <c r="N1531" t="str">
        <f t="shared" si="93"/>
        <v>Medium</v>
      </c>
      <c r="O1531" t="str">
        <f t="shared" si="94"/>
        <v>Zero Balance</v>
      </c>
      <c r="P1531" t="str">
        <f t="shared" si="95"/>
        <v>Long-term</v>
      </c>
    </row>
    <row r="1532" spans="1:16" x14ac:dyDescent="0.25">
      <c r="A1532">
        <v>2025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  <c r="M1532" t="str">
        <f t="shared" si="92"/>
        <v>&lt;30</v>
      </c>
      <c r="N1532" t="str">
        <f t="shared" si="93"/>
        <v>Medium</v>
      </c>
      <c r="O1532" t="str">
        <f t="shared" si="94"/>
        <v>High Balance</v>
      </c>
      <c r="P1532" t="str">
        <f t="shared" si="95"/>
        <v>New</v>
      </c>
    </row>
    <row r="1533" spans="1:16" x14ac:dyDescent="0.25">
      <c r="A1533">
        <v>2025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  <c r="M1533" t="str">
        <f t="shared" si="92"/>
        <v>&lt;30</v>
      </c>
      <c r="N1533" t="str">
        <f t="shared" si="93"/>
        <v>Medium</v>
      </c>
      <c r="O1533" t="str">
        <f t="shared" si="94"/>
        <v>Zero Balance</v>
      </c>
      <c r="P1533" t="str">
        <f t="shared" si="95"/>
        <v>Mid-term</v>
      </c>
    </row>
    <row r="1534" spans="1:16" x14ac:dyDescent="0.25">
      <c r="A1534">
        <v>2025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  <c r="M1534" t="str">
        <f t="shared" si="92"/>
        <v>30-45</v>
      </c>
      <c r="N1534" t="str">
        <f t="shared" si="93"/>
        <v>Medium</v>
      </c>
      <c r="O1534" t="str">
        <f t="shared" si="94"/>
        <v>High Balance</v>
      </c>
      <c r="P1534" t="str">
        <f t="shared" si="95"/>
        <v>New</v>
      </c>
    </row>
    <row r="1535" spans="1:16" x14ac:dyDescent="0.25">
      <c r="A1535">
        <v>2025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  <c r="M1535" t="str">
        <f t="shared" si="92"/>
        <v>30-45</v>
      </c>
      <c r="N1535" t="str">
        <f t="shared" si="93"/>
        <v>High</v>
      </c>
      <c r="O1535" t="str">
        <f t="shared" si="94"/>
        <v>High Balance</v>
      </c>
      <c r="P1535" t="str">
        <f t="shared" si="95"/>
        <v>New</v>
      </c>
    </row>
    <row r="1536" spans="1:16" x14ac:dyDescent="0.25">
      <c r="A1536">
        <v>2025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  <c r="M1536" t="str">
        <f t="shared" si="92"/>
        <v>46-60</v>
      </c>
      <c r="N1536" t="str">
        <f t="shared" si="93"/>
        <v>Medium</v>
      </c>
      <c r="O1536" t="str">
        <f t="shared" si="94"/>
        <v>High Balance</v>
      </c>
      <c r="P1536" t="str">
        <f t="shared" si="95"/>
        <v>Mid-term</v>
      </c>
    </row>
    <row r="1537" spans="1:16" x14ac:dyDescent="0.25">
      <c r="A1537">
        <v>2025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  <c r="M1537" t="str">
        <f t="shared" si="92"/>
        <v>30-45</v>
      </c>
      <c r="N1537" t="str">
        <f t="shared" si="93"/>
        <v>High</v>
      </c>
      <c r="O1537" t="str">
        <f t="shared" si="94"/>
        <v>High Balance</v>
      </c>
      <c r="P1537" t="str">
        <f t="shared" si="95"/>
        <v>Long-term</v>
      </c>
    </row>
    <row r="1538" spans="1:16" x14ac:dyDescent="0.25">
      <c r="A1538">
        <v>2025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  <c r="M1538" t="str">
        <f t="shared" si="92"/>
        <v>30-45</v>
      </c>
      <c r="N1538" t="str">
        <f t="shared" si="93"/>
        <v>High</v>
      </c>
      <c r="O1538" t="str">
        <f t="shared" si="94"/>
        <v>Zero Balance</v>
      </c>
      <c r="P1538" t="str">
        <f t="shared" si="95"/>
        <v>Long-term</v>
      </c>
    </row>
    <row r="1539" spans="1:16" x14ac:dyDescent="0.25">
      <c r="A1539">
        <v>2025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  <c r="M1539" t="str">
        <f t="shared" ref="M1539:M1602" si="96">IF(E1539&lt;30,"&lt;30",IF(E1539&lt;=45,"30-45",IF(E1539&lt;=60,"46-60","60+")))</f>
        <v>&lt;30</v>
      </c>
      <c r="N1539" t="str">
        <f t="shared" ref="N1539:N1602" si="97">IF(B1539&lt;500,"Low",IF(B1539&lt;700,"Medium","High"))</f>
        <v>High</v>
      </c>
      <c r="O1539" t="str">
        <f t="shared" ref="O1539:O1602" si="98">IF(G1539=0,"Zero Balance",IF(G1539&lt;100000,"Low Balance","High Balance"))</f>
        <v>Zero Balance</v>
      </c>
      <c r="P1539" t="str">
        <f t="shared" ref="P1539:P1602" si="99">IF(F1539&lt;=3,"New",IF(F1539&lt;=7,"Mid-term","Long-term"))</f>
        <v>Long-term</v>
      </c>
    </row>
    <row r="1540" spans="1:16" x14ac:dyDescent="0.25">
      <c r="A1540">
        <v>2025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  <c r="M1540" t="str">
        <f t="shared" si="96"/>
        <v>30-45</v>
      </c>
      <c r="N1540" t="str">
        <f t="shared" si="97"/>
        <v>Medium</v>
      </c>
      <c r="O1540" t="str">
        <f t="shared" si="98"/>
        <v>Low Balance</v>
      </c>
      <c r="P1540" t="str">
        <f t="shared" si="99"/>
        <v>Mid-term</v>
      </c>
    </row>
    <row r="1541" spans="1:16" x14ac:dyDescent="0.25">
      <c r="A1541">
        <v>2025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  <c r="M1541" t="str">
        <f t="shared" si="96"/>
        <v>30-45</v>
      </c>
      <c r="N1541" t="str">
        <f t="shared" si="97"/>
        <v>Medium</v>
      </c>
      <c r="O1541" t="str">
        <f t="shared" si="98"/>
        <v>High Balance</v>
      </c>
      <c r="P1541" t="str">
        <f t="shared" si="99"/>
        <v>Long-term</v>
      </c>
    </row>
    <row r="1542" spans="1:16" x14ac:dyDescent="0.25">
      <c r="A1542">
        <v>2025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  <c r="M1542" t="str">
        <f t="shared" si="96"/>
        <v>&lt;30</v>
      </c>
      <c r="N1542" t="str">
        <f t="shared" si="97"/>
        <v>Medium</v>
      </c>
      <c r="O1542" t="str">
        <f t="shared" si="98"/>
        <v>High Balance</v>
      </c>
      <c r="P1542" t="str">
        <f t="shared" si="99"/>
        <v>New</v>
      </c>
    </row>
    <row r="1543" spans="1:16" x14ac:dyDescent="0.25">
      <c r="A1543">
        <v>2025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  <c r="M1543" t="str">
        <f t="shared" si="96"/>
        <v>30-45</v>
      </c>
      <c r="N1543" t="str">
        <f t="shared" si="97"/>
        <v>Medium</v>
      </c>
      <c r="O1543" t="str">
        <f t="shared" si="98"/>
        <v>High Balance</v>
      </c>
      <c r="P1543" t="str">
        <f t="shared" si="99"/>
        <v>Mid-term</v>
      </c>
    </row>
    <row r="1544" spans="1:16" x14ac:dyDescent="0.25">
      <c r="A1544">
        <v>2025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  <c r="M1544" t="str">
        <f t="shared" si="96"/>
        <v>30-45</v>
      </c>
      <c r="N1544" t="str">
        <f t="shared" si="97"/>
        <v>Medium</v>
      </c>
      <c r="O1544" t="str">
        <f t="shared" si="98"/>
        <v>High Balance</v>
      </c>
      <c r="P1544" t="str">
        <f t="shared" si="99"/>
        <v>Mid-term</v>
      </c>
    </row>
    <row r="1545" spans="1:16" x14ac:dyDescent="0.25">
      <c r="A1545">
        <v>2025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  <c r="M1545" t="str">
        <f t="shared" si="96"/>
        <v>60+</v>
      </c>
      <c r="N1545" t="str">
        <f t="shared" si="97"/>
        <v>Medium</v>
      </c>
      <c r="O1545" t="str">
        <f t="shared" si="98"/>
        <v>High Balance</v>
      </c>
      <c r="P1545" t="str">
        <f t="shared" si="99"/>
        <v>Mid-term</v>
      </c>
    </row>
    <row r="1546" spans="1:16" x14ac:dyDescent="0.25">
      <c r="A1546">
        <v>2025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  <c r="M1546" t="str">
        <f t="shared" si="96"/>
        <v>30-45</v>
      </c>
      <c r="N1546" t="str">
        <f t="shared" si="97"/>
        <v>Medium</v>
      </c>
      <c r="O1546" t="str">
        <f t="shared" si="98"/>
        <v>Zero Balance</v>
      </c>
      <c r="P1546" t="str">
        <f t="shared" si="99"/>
        <v>Mid-term</v>
      </c>
    </row>
    <row r="1547" spans="1:16" x14ac:dyDescent="0.25">
      <c r="A1547">
        <v>2025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  <c r="M1547" t="str">
        <f t="shared" si="96"/>
        <v>30-45</v>
      </c>
      <c r="N1547" t="str">
        <f t="shared" si="97"/>
        <v>Medium</v>
      </c>
      <c r="O1547" t="str">
        <f t="shared" si="98"/>
        <v>High Balance</v>
      </c>
      <c r="P1547" t="str">
        <f t="shared" si="99"/>
        <v>Mid-term</v>
      </c>
    </row>
    <row r="1548" spans="1:16" x14ac:dyDescent="0.25">
      <c r="A1548">
        <v>2025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  <c r="M1548" t="str">
        <f t="shared" si="96"/>
        <v>46-60</v>
      </c>
      <c r="N1548" t="str">
        <f t="shared" si="97"/>
        <v>High</v>
      </c>
      <c r="O1548" t="str">
        <f t="shared" si="98"/>
        <v>Low Balance</v>
      </c>
      <c r="P1548" t="str">
        <f t="shared" si="99"/>
        <v>New</v>
      </c>
    </row>
    <row r="1549" spans="1:16" x14ac:dyDescent="0.25">
      <c r="A1549">
        <v>2025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  <c r="M1549" t="str">
        <f t="shared" si="96"/>
        <v>30-45</v>
      </c>
      <c r="N1549" t="str">
        <f t="shared" si="97"/>
        <v>Medium</v>
      </c>
      <c r="O1549" t="str">
        <f t="shared" si="98"/>
        <v>Low Balance</v>
      </c>
      <c r="P1549" t="str">
        <f t="shared" si="99"/>
        <v>New</v>
      </c>
    </row>
    <row r="1550" spans="1:16" x14ac:dyDescent="0.25">
      <c r="A1550">
        <v>2025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  <c r="M1550" t="str">
        <f t="shared" si="96"/>
        <v>&lt;30</v>
      </c>
      <c r="N1550" t="str">
        <f t="shared" si="97"/>
        <v>Medium</v>
      </c>
      <c r="O1550" t="str">
        <f t="shared" si="98"/>
        <v>Zero Balance</v>
      </c>
      <c r="P1550" t="str">
        <f t="shared" si="99"/>
        <v>Long-term</v>
      </c>
    </row>
    <row r="1551" spans="1:16" x14ac:dyDescent="0.25">
      <c r="A1551">
        <v>2025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  <c r="M1551" t="str">
        <f t="shared" si="96"/>
        <v>46-60</v>
      </c>
      <c r="N1551" t="str">
        <f t="shared" si="97"/>
        <v>Medium</v>
      </c>
      <c r="O1551" t="str">
        <f t="shared" si="98"/>
        <v>Low Balance</v>
      </c>
      <c r="P1551" t="str">
        <f t="shared" si="99"/>
        <v>Mid-term</v>
      </c>
    </row>
    <row r="1552" spans="1:16" x14ac:dyDescent="0.25">
      <c r="A1552">
        <v>2025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  <c r="M1552" t="str">
        <f t="shared" si="96"/>
        <v>46-60</v>
      </c>
      <c r="N1552" t="str">
        <f t="shared" si="97"/>
        <v>Medium</v>
      </c>
      <c r="O1552" t="str">
        <f t="shared" si="98"/>
        <v>Zero Balance</v>
      </c>
      <c r="P1552" t="str">
        <f t="shared" si="99"/>
        <v>New</v>
      </c>
    </row>
    <row r="1553" spans="1:16" x14ac:dyDescent="0.25">
      <c r="A1553">
        <v>2025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  <c r="M1553" t="str">
        <f t="shared" si="96"/>
        <v>46-60</v>
      </c>
      <c r="N1553" t="str">
        <f t="shared" si="97"/>
        <v>High</v>
      </c>
      <c r="O1553" t="str">
        <f t="shared" si="98"/>
        <v>Zero Balance</v>
      </c>
      <c r="P1553" t="str">
        <f t="shared" si="99"/>
        <v>Mid-term</v>
      </c>
    </row>
    <row r="1554" spans="1:16" x14ac:dyDescent="0.25">
      <c r="A1554">
        <v>2025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  <c r="M1554" t="str">
        <f t="shared" si="96"/>
        <v>30-45</v>
      </c>
      <c r="N1554" t="str">
        <f t="shared" si="97"/>
        <v>High</v>
      </c>
      <c r="O1554" t="str">
        <f t="shared" si="98"/>
        <v>Zero Balance</v>
      </c>
      <c r="P1554" t="str">
        <f t="shared" si="99"/>
        <v>New</v>
      </c>
    </row>
    <row r="1555" spans="1:16" x14ac:dyDescent="0.25">
      <c r="A1555">
        <v>2025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  <c r="M1555" t="str">
        <f t="shared" si="96"/>
        <v>30-45</v>
      </c>
      <c r="N1555" t="str">
        <f t="shared" si="97"/>
        <v>Medium</v>
      </c>
      <c r="O1555" t="str">
        <f t="shared" si="98"/>
        <v>High Balance</v>
      </c>
      <c r="P1555" t="str">
        <f t="shared" si="99"/>
        <v>Long-term</v>
      </c>
    </row>
    <row r="1556" spans="1:16" x14ac:dyDescent="0.25">
      <c r="A1556">
        <v>2025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  <c r="M1556" t="str">
        <f t="shared" si="96"/>
        <v>30-45</v>
      </c>
      <c r="N1556" t="str">
        <f t="shared" si="97"/>
        <v>Medium</v>
      </c>
      <c r="O1556" t="str">
        <f t="shared" si="98"/>
        <v>High Balance</v>
      </c>
      <c r="P1556" t="str">
        <f t="shared" si="99"/>
        <v>Mid-term</v>
      </c>
    </row>
    <row r="1557" spans="1:16" x14ac:dyDescent="0.25">
      <c r="A1557">
        <v>2025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  <c r="M1557" t="str">
        <f t="shared" si="96"/>
        <v>30-45</v>
      </c>
      <c r="N1557" t="str">
        <f t="shared" si="97"/>
        <v>Medium</v>
      </c>
      <c r="O1557" t="str">
        <f t="shared" si="98"/>
        <v>High Balance</v>
      </c>
      <c r="P1557" t="str">
        <f t="shared" si="99"/>
        <v>Mid-term</v>
      </c>
    </row>
    <row r="1558" spans="1:16" x14ac:dyDescent="0.25">
      <c r="A1558">
        <v>2025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  <c r="M1558" t="str">
        <f t="shared" si="96"/>
        <v>&lt;30</v>
      </c>
      <c r="N1558" t="str">
        <f t="shared" si="97"/>
        <v>High</v>
      </c>
      <c r="O1558" t="str">
        <f t="shared" si="98"/>
        <v>Zero Balance</v>
      </c>
      <c r="P1558" t="str">
        <f t="shared" si="99"/>
        <v>Long-term</v>
      </c>
    </row>
    <row r="1559" spans="1:16" x14ac:dyDescent="0.25">
      <c r="A1559">
        <v>2025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  <c r="M1559" t="str">
        <f t="shared" si="96"/>
        <v>30-45</v>
      </c>
      <c r="N1559" t="str">
        <f t="shared" si="97"/>
        <v>Medium</v>
      </c>
      <c r="O1559" t="str">
        <f t="shared" si="98"/>
        <v>Low Balance</v>
      </c>
      <c r="P1559" t="str">
        <f t="shared" si="99"/>
        <v>New</v>
      </c>
    </row>
    <row r="1560" spans="1:16" x14ac:dyDescent="0.25">
      <c r="A1560">
        <v>2025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  <c r="M1560" t="str">
        <f t="shared" si="96"/>
        <v>30-45</v>
      </c>
      <c r="N1560" t="str">
        <f t="shared" si="97"/>
        <v>Medium</v>
      </c>
      <c r="O1560" t="str">
        <f t="shared" si="98"/>
        <v>High Balance</v>
      </c>
      <c r="P1560" t="str">
        <f t="shared" si="99"/>
        <v>New</v>
      </c>
    </row>
    <row r="1561" spans="1:16" x14ac:dyDescent="0.25">
      <c r="A1561">
        <v>2025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  <c r="M1561" t="str">
        <f t="shared" si="96"/>
        <v>30-45</v>
      </c>
      <c r="N1561" t="str">
        <f t="shared" si="97"/>
        <v>High</v>
      </c>
      <c r="O1561" t="str">
        <f t="shared" si="98"/>
        <v>Low Balance</v>
      </c>
      <c r="P1561" t="str">
        <f t="shared" si="99"/>
        <v>New</v>
      </c>
    </row>
    <row r="1562" spans="1:16" x14ac:dyDescent="0.25">
      <c r="A1562">
        <v>2025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  <c r="M1562" t="str">
        <f t="shared" si="96"/>
        <v>30-45</v>
      </c>
      <c r="N1562" t="str">
        <f t="shared" si="97"/>
        <v>High</v>
      </c>
      <c r="O1562" t="str">
        <f t="shared" si="98"/>
        <v>High Balance</v>
      </c>
      <c r="P1562" t="str">
        <f t="shared" si="99"/>
        <v>Long-term</v>
      </c>
    </row>
    <row r="1563" spans="1:16" x14ac:dyDescent="0.25">
      <c r="A1563">
        <v>2025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  <c r="M1563" t="str">
        <f t="shared" si="96"/>
        <v>30-45</v>
      </c>
      <c r="N1563" t="str">
        <f t="shared" si="97"/>
        <v>Medium</v>
      </c>
      <c r="O1563" t="str">
        <f t="shared" si="98"/>
        <v>High Balance</v>
      </c>
      <c r="P1563" t="str">
        <f t="shared" si="99"/>
        <v>Mid-term</v>
      </c>
    </row>
    <row r="1564" spans="1:16" x14ac:dyDescent="0.25">
      <c r="A1564">
        <v>2025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  <c r="M1564" t="str">
        <f t="shared" si="96"/>
        <v>30-45</v>
      </c>
      <c r="N1564" t="str">
        <f t="shared" si="97"/>
        <v>Medium</v>
      </c>
      <c r="O1564" t="str">
        <f t="shared" si="98"/>
        <v>High Balance</v>
      </c>
      <c r="P1564" t="str">
        <f t="shared" si="99"/>
        <v>Mid-term</v>
      </c>
    </row>
    <row r="1565" spans="1:16" x14ac:dyDescent="0.25">
      <c r="A1565">
        <v>2025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  <c r="M1565" t="str">
        <f t="shared" si="96"/>
        <v>30-45</v>
      </c>
      <c r="N1565" t="str">
        <f t="shared" si="97"/>
        <v>Medium</v>
      </c>
      <c r="O1565" t="str">
        <f t="shared" si="98"/>
        <v>High Balance</v>
      </c>
      <c r="P1565" t="str">
        <f t="shared" si="99"/>
        <v>Mid-term</v>
      </c>
    </row>
    <row r="1566" spans="1:16" x14ac:dyDescent="0.25">
      <c r="A1566">
        <v>2025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  <c r="M1566" t="str">
        <f t="shared" si="96"/>
        <v>30-45</v>
      </c>
      <c r="N1566" t="str">
        <f t="shared" si="97"/>
        <v>High</v>
      </c>
      <c r="O1566" t="str">
        <f t="shared" si="98"/>
        <v>High Balance</v>
      </c>
      <c r="P1566" t="str">
        <f t="shared" si="99"/>
        <v>Long-term</v>
      </c>
    </row>
    <row r="1567" spans="1:16" x14ac:dyDescent="0.25">
      <c r="A1567">
        <v>2025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  <c r="M1567" t="str">
        <f t="shared" si="96"/>
        <v>30-45</v>
      </c>
      <c r="N1567" t="str">
        <f t="shared" si="97"/>
        <v>Medium</v>
      </c>
      <c r="O1567" t="str">
        <f t="shared" si="98"/>
        <v>Zero Balance</v>
      </c>
      <c r="P1567" t="str">
        <f t="shared" si="99"/>
        <v>New</v>
      </c>
    </row>
    <row r="1568" spans="1:16" x14ac:dyDescent="0.25">
      <c r="A1568">
        <v>2025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  <c r="M1568" t="str">
        <f t="shared" si="96"/>
        <v>30-45</v>
      </c>
      <c r="N1568" t="str">
        <f t="shared" si="97"/>
        <v>Medium</v>
      </c>
      <c r="O1568" t="str">
        <f t="shared" si="98"/>
        <v>High Balance</v>
      </c>
      <c r="P1568" t="str">
        <f t="shared" si="99"/>
        <v>Long-term</v>
      </c>
    </row>
    <row r="1569" spans="1:16" x14ac:dyDescent="0.25">
      <c r="A1569">
        <v>2025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  <c r="M1569" t="str">
        <f t="shared" si="96"/>
        <v>46-60</v>
      </c>
      <c r="N1569" t="str">
        <f t="shared" si="97"/>
        <v>High</v>
      </c>
      <c r="O1569" t="str">
        <f t="shared" si="98"/>
        <v>High Balance</v>
      </c>
      <c r="P1569" t="str">
        <f t="shared" si="99"/>
        <v>Mid-term</v>
      </c>
    </row>
    <row r="1570" spans="1:16" x14ac:dyDescent="0.25">
      <c r="A1570">
        <v>2025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  <c r="M1570" t="str">
        <f t="shared" si="96"/>
        <v>30-45</v>
      </c>
      <c r="N1570" t="str">
        <f t="shared" si="97"/>
        <v>Medium</v>
      </c>
      <c r="O1570" t="str">
        <f t="shared" si="98"/>
        <v>High Balance</v>
      </c>
      <c r="P1570" t="str">
        <f t="shared" si="99"/>
        <v>Long-term</v>
      </c>
    </row>
    <row r="1571" spans="1:16" x14ac:dyDescent="0.25">
      <c r="A1571">
        <v>2025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  <c r="M1571" t="str">
        <f t="shared" si="96"/>
        <v>30-45</v>
      </c>
      <c r="N1571" t="str">
        <f t="shared" si="97"/>
        <v>Medium</v>
      </c>
      <c r="O1571" t="str">
        <f t="shared" si="98"/>
        <v>High Balance</v>
      </c>
      <c r="P1571" t="str">
        <f t="shared" si="99"/>
        <v>New</v>
      </c>
    </row>
    <row r="1572" spans="1:16" x14ac:dyDescent="0.25">
      <c r="A1572">
        <v>2025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  <c r="M1572" t="str">
        <f t="shared" si="96"/>
        <v>46-60</v>
      </c>
      <c r="N1572" t="str">
        <f t="shared" si="97"/>
        <v>High</v>
      </c>
      <c r="O1572" t="str">
        <f t="shared" si="98"/>
        <v>High Balance</v>
      </c>
      <c r="P1572" t="str">
        <f t="shared" si="99"/>
        <v>New</v>
      </c>
    </row>
    <row r="1573" spans="1:16" x14ac:dyDescent="0.25">
      <c r="A1573">
        <v>2025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  <c r="M1573" t="str">
        <f t="shared" si="96"/>
        <v>&lt;30</v>
      </c>
      <c r="N1573" t="str">
        <f t="shared" si="97"/>
        <v>Medium</v>
      </c>
      <c r="O1573" t="str">
        <f t="shared" si="98"/>
        <v>High Balance</v>
      </c>
      <c r="P1573" t="str">
        <f t="shared" si="99"/>
        <v>Mid-term</v>
      </c>
    </row>
    <row r="1574" spans="1:16" x14ac:dyDescent="0.25">
      <c r="A1574">
        <v>2025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  <c r="M1574" t="str">
        <f t="shared" si="96"/>
        <v>30-45</v>
      </c>
      <c r="N1574" t="str">
        <f t="shared" si="97"/>
        <v>High</v>
      </c>
      <c r="O1574" t="str">
        <f t="shared" si="98"/>
        <v>High Balance</v>
      </c>
      <c r="P1574" t="str">
        <f t="shared" si="99"/>
        <v>New</v>
      </c>
    </row>
    <row r="1575" spans="1:16" x14ac:dyDescent="0.25">
      <c r="A1575">
        <v>2025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  <c r="M1575" t="str">
        <f t="shared" si="96"/>
        <v>30-45</v>
      </c>
      <c r="N1575" t="str">
        <f t="shared" si="97"/>
        <v>Medium</v>
      </c>
      <c r="O1575" t="str">
        <f t="shared" si="98"/>
        <v>High Balance</v>
      </c>
      <c r="P1575" t="str">
        <f t="shared" si="99"/>
        <v>Mid-term</v>
      </c>
    </row>
    <row r="1576" spans="1:16" x14ac:dyDescent="0.25">
      <c r="A1576">
        <v>2025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  <c r="M1576" t="str">
        <f t="shared" si="96"/>
        <v>&lt;30</v>
      </c>
      <c r="N1576" t="str">
        <f t="shared" si="97"/>
        <v>Medium</v>
      </c>
      <c r="O1576" t="str">
        <f t="shared" si="98"/>
        <v>High Balance</v>
      </c>
      <c r="P1576" t="str">
        <f t="shared" si="99"/>
        <v>Long-term</v>
      </c>
    </row>
    <row r="1577" spans="1:16" x14ac:dyDescent="0.25">
      <c r="A1577">
        <v>2025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  <c r="M1577" t="str">
        <f t="shared" si="96"/>
        <v>&lt;30</v>
      </c>
      <c r="N1577" t="str">
        <f t="shared" si="97"/>
        <v>Medium</v>
      </c>
      <c r="O1577" t="str">
        <f t="shared" si="98"/>
        <v>Zero Balance</v>
      </c>
      <c r="P1577" t="str">
        <f t="shared" si="99"/>
        <v>New</v>
      </c>
    </row>
    <row r="1578" spans="1:16" x14ac:dyDescent="0.25">
      <c r="A1578">
        <v>2025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  <c r="M1578" t="str">
        <f t="shared" si="96"/>
        <v>30-45</v>
      </c>
      <c r="N1578" t="str">
        <f t="shared" si="97"/>
        <v>Medium</v>
      </c>
      <c r="O1578" t="str">
        <f t="shared" si="98"/>
        <v>Low Balance</v>
      </c>
      <c r="P1578" t="str">
        <f t="shared" si="99"/>
        <v>Long-term</v>
      </c>
    </row>
    <row r="1579" spans="1:16" x14ac:dyDescent="0.25">
      <c r="A1579">
        <v>2025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  <c r="M1579" t="str">
        <f t="shared" si="96"/>
        <v>&lt;30</v>
      </c>
      <c r="N1579" t="str">
        <f t="shared" si="97"/>
        <v>Medium</v>
      </c>
      <c r="O1579" t="str">
        <f t="shared" si="98"/>
        <v>Zero Balance</v>
      </c>
      <c r="P1579" t="str">
        <f t="shared" si="99"/>
        <v>Long-term</v>
      </c>
    </row>
    <row r="1580" spans="1:16" x14ac:dyDescent="0.25">
      <c r="A1580">
        <v>2025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  <c r="M1580" t="str">
        <f t="shared" si="96"/>
        <v>&lt;30</v>
      </c>
      <c r="N1580" t="str">
        <f t="shared" si="97"/>
        <v>High</v>
      </c>
      <c r="O1580" t="str">
        <f t="shared" si="98"/>
        <v>High Balance</v>
      </c>
      <c r="P1580" t="str">
        <f t="shared" si="99"/>
        <v>Mid-term</v>
      </c>
    </row>
    <row r="1581" spans="1:16" x14ac:dyDescent="0.25">
      <c r="A1581">
        <v>2025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  <c r="M1581" t="str">
        <f t="shared" si="96"/>
        <v>30-45</v>
      </c>
      <c r="N1581" t="str">
        <f t="shared" si="97"/>
        <v>Medium</v>
      </c>
      <c r="O1581" t="str">
        <f t="shared" si="98"/>
        <v>Low Balance</v>
      </c>
      <c r="P1581" t="str">
        <f t="shared" si="99"/>
        <v>Long-term</v>
      </c>
    </row>
    <row r="1582" spans="1:16" x14ac:dyDescent="0.25">
      <c r="A1582">
        <v>2025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  <c r="M1582" t="str">
        <f t="shared" si="96"/>
        <v>30-45</v>
      </c>
      <c r="N1582" t="str">
        <f t="shared" si="97"/>
        <v>High</v>
      </c>
      <c r="O1582" t="str">
        <f t="shared" si="98"/>
        <v>High Balance</v>
      </c>
      <c r="P1582" t="str">
        <f t="shared" si="99"/>
        <v>Mid-term</v>
      </c>
    </row>
    <row r="1583" spans="1:16" x14ac:dyDescent="0.25">
      <c r="A1583">
        <v>2025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  <c r="M1583" t="str">
        <f t="shared" si="96"/>
        <v>30-45</v>
      </c>
      <c r="N1583" t="str">
        <f t="shared" si="97"/>
        <v>Low</v>
      </c>
      <c r="O1583" t="str">
        <f t="shared" si="98"/>
        <v>High Balance</v>
      </c>
      <c r="P1583" t="str">
        <f t="shared" si="99"/>
        <v>Mid-term</v>
      </c>
    </row>
    <row r="1584" spans="1:16" x14ac:dyDescent="0.25">
      <c r="A1584">
        <v>2025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  <c r="M1584" t="str">
        <f t="shared" si="96"/>
        <v>30-45</v>
      </c>
      <c r="N1584" t="str">
        <f t="shared" si="97"/>
        <v>Medium</v>
      </c>
      <c r="O1584" t="str">
        <f t="shared" si="98"/>
        <v>Low Balance</v>
      </c>
      <c r="P1584" t="str">
        <f t="shared" si="99"/>
        <v>New</v>
      </c>
    </row>
    <row r="1585" spans="1:16" x14ac:dyDescent="0.25">
      <c r="A1585">
        <v>2025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  <c r="M1585" t="str">
        <f t="shared" si="96"/>
        <v>30-45</v>
      </c>
      <c r="N1585" t="str">
        <f t="shared" si="97"/>
        <v>High</v>
      </c>
      <c r="O1585" t="str">
        <f t="shared" si="98"/>
        <v>Zero Balance</v>
      </c>
      <c r="P1585" t="str">
        <f t="shared" si="99"/>
        <v>Long-term</v>
      </c>
    </row>
    <row r="1586" spans="1:16" x14ac:dyDescent="0.25">
      <c r="A1586">
        <v>2025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  <c r="M1586" t="str">
        <f t="shared" si="96"/>
        <v>30-45</v>
      </c>
      <c r="N1586" t="str">
        <f t="shared" si="97"/>
        <v>Medium</v>
      </c>
      <c r="O1586" t="str">
        <f t="shared" si="98"/>
        <v>Zero Balance</v>
      </c>
      <c r="P1586" t="str">
        <f t="shared" si="99"/>
        <v>New</v>
      </c>
    </row>
    <row r="1587" spans="1:16" x14ac:dyDescent="0.25">
      <c r="A1587">
        <v>2025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  <c r="M1587" t="str">
        <f t="shared" si="96"/>
        <v>30-45</v>
      </c>
      <c r="N1587" t="str">
        <f t="shared" si="97"/>
        <v>Medium</v>
      </c>
      <c r="O1587" t="str">
        <f t="shared" si="98"/>
        <v>Low Balance</v>
      </c>
      <c r="P1587" t="str">
        <f t="shared" si="99"/>
        <v>Mid-term</v>
      </c>
    </row>
    <row r="1588" spans="1:16" x14ac:dyDescent="0.25">
      <c r="A1588">
        <v>2025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  <c r="M1588" t="str">
        <f t="shared" si="96"/>
        <v>30-45</v>
      </c>
      <c r="N1588" t="str">
        <f t="shared" si="97"/>
        <v>High</v>
      </c>
      <c r="O1588" t="str">
        <f t="shared" si="98"/>
        <v>Zero Balance</v>
      </c>
      <c r="P1588" t="str">
        <f t="shared" si="99"/>
        <v>Mid-term</v>
      </c>
    </row>
    <row r="1589" spans="1:16" x14ac:dyDescent="0.25">
      <c r="A1589">
        <v>2025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  <c r="M1589" t="str">
        <f t="shared" si="96"/>
        <v>30-45</v>
      </c>
      <c r="N1589" t="str">
        <f t="shared" si="97"/>
        <v>Medium</v>
      </c>
      <c r="O1589" t="str">
        <f t="shared" si="98"/>
        <v>Zero Balance</v>
      </c>
      <c r="P1589" t="str">
        <f t="shared" si="99"/>
        <v>Mid-term</v>
      </c>
    </row>
    <row r="1590" spans="1:16" x14ac:dyDescent="0.25">
      <c r="A1590">
        <v>2025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  <c r="M1590" t="str">
        <f t="shared" si="96"/>
        <v>60+</v>
      </c>
      <c r="N1590" t="str">
        <f t="shared" si="97"/>
        <v>High</v>
      </c>
      <c r="O1590" t="str">
        <f t="shared" si="98"/>
        <v>High Balance</v>
      </c>
      <c r="P1590" t="str">
        <f t="shared" si="99"/>
        <v>Mid-term</v>
      </c>
    </row>
    <row r="1591" spans="1:16" x14ac:dyDescent="0.25">
      <c r="A1591">
        <v>2025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  <c r="M1591" t="str">
        <f t="shared" si="96"/>
        <v>30-45</v>
      </c>
      <c r="N1591" t="str">
        <f t="shared" si="97"/>
        <v>Medium</v>
      </c>
      <c r="O1591" t="str">
        <f t="shared" si="98"/>
        <v>Low Balance</v>
      </c>
      <c r="P1591" t="str">
        <f t="shared" si="99"/>
        <v>Mid-term</v>
      </c>
    </row>
    <row r="1592" spans="1:16" x14ac:dyDescent="0.25">
      <c r="A1592">
        <v>2025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  <c r="M1592" t="str">
        <f t="shared" si="96"/>
        <v>30-45</v>
      </c>
      <c r="N1592" t="str">
        <f t="shared" si="97"/>
        <v>Medium</v>
      </c>
      <c r="O1592" t="str">
        <f t="shared" si="98"/>
        <v>Low Balance</v>
      </c>
      <c r="P1592" t="str">
        <f t="shared" si="99"/>
        <v>Mid-term</v>
      </c>
    </row>
    <row r="1593" spans="1:16" x14ac:dyDescent="0.25">
      <c r="A1593">
        <v>2025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  <c r="M1593" t="str">
        <f t="shared" si="96"/>
        <v>30-45</v>
      </c>
      <c r="N1593" t="str">
        <f t="shared" si="97"/>
        <v>Medium</v>
      </c>
      <c r="O1593" t="str">
        <f t="shared" si="98"/>
        <v>Zero Balance</v>
      </c>
      <c r="P1593" t="str">
        <f t="shared" si="99"/>
        <v>Mid-term</v>
      </c>
    </row>
    <row r="1594" spans="1:16" x14ac:dyDescent="0.25">
      <c r="A1594">
        <v>2025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  <c r="M1594" t="str">
        <f t="shared" si="96"/>
        <v>&lt;30</v>
      </c>
      <c r="N1594" t="str">
        <f t="shared" si="97"/>
        <v>Medium</v>
      </c>
      <c r="O1594" t="str">
        <f t="shared" si="98"/>
        <v>Low Balance</v>
      </c>
      <c r="P1594" t="str">
        <f t="shared" si="99"/>
        <v>New</v>
      </c>
    </row>
    <row r="1595" spans="1:16" x14ac:dyDescent="0.25">
      <c r="A1595">
        <v>2025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  <c r="M1595" t="str">
        <f t="shared" si="96"/>
        <v>30-45</v>
      </c>
      <c r="N1595" t="str">
        <f t="shared" si="97"/>
        <v>Medium</v>
      </c>
      <c r="O1595" t="str">
        <f t="shared" si="98"/>
        <v>High Balance</v>
      </c>
      <c r="P1595" t="str">
        <f t="shared" si="99"/>
        <v>Mid-term</v>
      </c>
    </row>
    <row r="1596" spans="1:16" x14ac:dyDescent="0.25">
      <c r="A1596">
        <v>2025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  <c r="M1596" t="str">
        <f t="shared" si="96"/>
        <v>&lt;30</v>
      </c>
      <c r="N1596" t="str">
        <f t="shared" si="97"/>
        <v>High</v>
      </c>
      <c r="O1596" t="str">
        <f t="shared" si="98"/>
        <v>High Balance</v>
      </c>
      <c r="P1596" t="str">
        <f t="shared" si="99"/>
        <v>Mid-term</v>
      </c>
    </row>
    <row r="1597" spans="1:16" x14ac:dyDescent="0.25">
      <c r="A1597">
        <v>2025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  <c r="M1597" t="str">
        <f t="shared" si="96"/>
        <v>30-45</v>
      </c>
      <c r="N1597" t="str">
        <f t="shared" si="97"/>
        <v>Medium</v>
      </c>
      <c r="O1597" t="str">
        <f t="shared" si="98"/>
        <v>Zero Balance</v>
      </c>
      <c r="P1597" t="str">
        <f t="shared" si="99"/>
        <v>Mid-term</v>
      </c>
    </row>
    <row r="1598" spans="1:16" x14ac:dyDescent="0.25">
      <c r="A1598">
        <v>2025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  <c r="M1598" t="str">
        <f t="shared" si="96"/>
        <v>&lt;30</v>
      </c>
      <c r="N1598" t="str">
        <f t="shared" si="97"/>
        <v>High</v>
      </c>
      <c r="O1598" t="str">
        <f t="shared" si="98"/>
        <v>High Balance</v>
      </c>
      <c r="P1598" t="str">
        <f t="shared" si="99"/>
        <v>Mid-term</v>
      </c>
    </row>
    <row r="1599" spans="1:16" x14ac:dyDescent="0.25">
      <c r="A1599">
        <v>2025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  <c r="M1599" t="str">
        <f t="shared" si="96"/>
        <v>30-45</v>
      </c>
      <c r="N1599" t="str">
        <f t="shared" si="97"/>
        <v>High</v>
      </c>
      <c r="O1599" t="str">
        <f t="shared" si="98"/>
        <v>Low Balance</v>
      </c>
      <c r="P1599" t="str">
        <f t="shared" si="99"/>
        <v>Mid-term</v>
      </c>
    </row>
    <row r="1600" spans="1:16" x14ac:dyDescent="0.25">
      <c r="A1600">
        <v>2025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  <c r="M1600" t="str">
        <f t="shared" si="96"/>
        <v>46-60</v>
      </c>
      <c r="N1600" t="str">
        <f t="shared" si="97"/>
        <v>Medium</v>
      </c>
      <c r="O1600" t="str">
        <f t="shared" si="98"/>
        <v>High Balance</v>
      </c>
      <c r="P1600" t="str">
        <f t="shared" si="99"/>
        <v>Long-term</v>
      </c>
    </row>
    <row r="1601" spans="1:16" x14ac:dyDescent="0.25">
      <c r="A1601">
        <v>2025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  <c r="M1601" t="str">
        <f t="shared" si="96"/>
        <v>30-45</v>
      </c>
      <c r="N1601" t="str">
        <f t="shared" si="97"/>
        <v>Medium</v>
      </c>
      <c r="O1601" t="str">
        <f t="shared" si="98"/>
        <v>High Balance</v>
      </c>
      <c r="P1601" t="str">
        <f t="shared" si="99"/>
        <v>New</v>
      </c>
    </row>
    <row r="1602" spans="1:16" x14ac:dyDescent="0.25">
      <c r="A1602">
        <v>2025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  <c r="M1602" t="str">
        <f t="shared" si="96"/>
        <v>&lt;30</v>
      </c>
      <c r="N1602" t="str">
        <f t="shared" si="97"/>
        <v>Medium</v>
      </c>
      <c r="O1602" t="str">
        <f t="shared" si="98"/>
        <v>High Balance</v>
      </c>
      <c r="P1602" t="str">
        <f t="shared" si="99"/>
        <v>New</v>
      </c>
    </row>
    <row r="1603" spans="1:16" x14ac:dyDescent="0.25">
      <c r="A1603">
        <v>2025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  <c r="M1603" t="str">
        <f t="shared" ref="M1603:M1666" si="100">IF(E1603&lt;30,"&lt;30",IF(E1603&lt;=45,"30-45",IF(E1603&lt;=60,"46-60","60+")))</f>
        <v>46-60</v>
      </c>
      <c r="N1603" t="str">
        <f t="shared" ref="N1603:N1666" si="101">IF(B1603&lt;500,"Low",IF(B1603&lt;700,"Medium","High"))</f>
        <v>High</v>
      </c>
      <c r="O1603" t="str">
        <f t="shared" ref="O1603:O1666" si="102">IF(G1603=0,"Zero Balance",IF(G1603&lt;100000,"Low Balance","High Balance"))</f>
        <v>High Balance</v>
      </c>
      <c r="P1603" t="str">
        <f t="shared" ref="P1603:P1666" si="103">IF(F1603&lt;=3,"New",IF(F1603&lt;=7,"Mid-term","Long-term"))</f>
        <v>Long-term</v>
      </c>
    </row>
    <row r="1604" spans="1:16" x14ac:dyDescent="0.25">
      <c r="A1604">
        <v>2025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  <c r="M1604" t="str">
        <f t="shared" si="100"/>
        <v>30-45</v>
      </c>
      <c r="N1604" t="str">
        <f t="shared" si="101"/>
        <v>Medium</v>
      </c>
      <c r="O1604" t="str">
        <f t="shared" si="102"/>
        <v>High Balance</v>
      </c>
      <c r="P1604" t="str">
        <f t="shared" si="103"/>
        <v>Mid-term</v>
      </c>
    </row>
    <row r="1605" spans="1:16" x14ac:dyDescent="0.25">
      <c r="A1605">
        <v>2025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  <c r="M1605" t="str">
        <f t="shared" si="100"/>
        <v>30-45</v>
      </c>
      <c r="N1605" t="str">
        <f t="shared" si="101"/>
        <v>Medium</v>
      </c>
      <c r="O1605" t="str">
        <f t="shared" si="102"/>
        <v>High Balance</v>
      </c>
      <c r="P1605" t="str">
        <f t="shared" si="103"/>
        <v>Long-term</v>
      </c>
    </row>
    <row r="1606" spans="1:16" x14ac:dyDescent="0.25">
      <c r="A1606">
        <v>2025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  <c r="M1606" t="str">
        <f t="shared" si="100"/>
        <v>30-45</v>
      </c>
      <c r="N1606" t="str">
        <f t="shared" si="101"/>
        <v>High</v>
      </c>
      <c r="O1606" t="str">
        <f t="shared" si="102"/>
        <v>High Balance</v>
      </c>
      <c r="P1606" t="str">
        <f t="shared" si="103"/>
        <v>New</v>
      </c>
    </row>
    <row r="1607" spans="1:16" x14ac:dyDescent="0.25">
      <c r="A1607">
        <v>2025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  <c r="M1607" t="str">
        <f t="shared" si="100"/>
        <v>30-45</v>
      </c>
      <c r="N1607" t="str">
        <f t="shared" si="101"/>
        <v>Medium</v>
      </c>
      <c r="O1607" t="str">
        <f t="shared" si="102"/>
        <v>Low Balance</v>
      </c>
      <c r="P1607" t="str">
        <f t="shared" si="103"/>
        <v>Long-term</v>
      </c>
    </row>
    <row r="1608" spans="1:16" x14ac:dyDescent="0.25">
      <c r="A1608">
        <v>2025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  <c r="M1608" t="str">
        <f t="shared" si="100"/>
        <v>30-45</v>
      </c>
      <c r="N1608" t="str">
        <f t="shared" si="101"/>
        <v>Medium</v>
      </c>
      <c r="O1608" t="str">
        <f t="shared" si="102"/>
        <v>Low Balance</v>
      </c>
      <c r="P1608" t="str">
        <f t="shared" si="103"/>
        <v>New</v>
      </c>
    </row>
    <row r="1609" spans="1:16" x14ac:dyDescent="0.25">
      <c r="A1609">
        <v>2025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  <c r="M1609" t="str">
        <f t="shared" si="100"/>
        <v>60+</v>
      </c>
      <c r="N1609" t="str">
        <f t="shared" si="101"/>
        <v>High</v>
      </c>
      <c r="O1609" t="str">
        <f t="shared" si="102"/>
        <v>Zero Balance</v>
      </c>
      <c r="P1609" t="str">
        <f t="shared" si="103"/>
        <v>Mid-term</v>
      </c>
    </row>
    <row r="1610" spans="1:16" x14ac:dyDescent="0.25">
      <c r="A1610">
        <v>2025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  <c r="M1610" t="str">
        <f t="shared" si="100"/>
        <v>30-45</v>
      </c>
      <c r="N1610" t="str">
        <f t="shared" si="101"/>
        <v>Medium</v>
      </c>
      <c r="O1610" t="str">
        <f t="shared" si="102"/>
        <v>High Balance</v>
      </c>
      <c r="P1610" t="str">
        <f t="shared" si="103"/>
        <v>New</v>
      </c>
    </row>
    <row r="1611" spans="1:16" x14ac:dyDescent="0.25">
      <c r="A1611">
        <v>2025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  <c r="M1611" t="str">
        <f t="shared" si="100"/>
        <v>30-45</v>
      </c>
      <c r="N1611" t="str">
        <f t="shared" si="101"/>
        <v>Medium</v>
      </c>
      <c r="O1611" t="str">
        <f t="shared" si="102"/>
        <v>High Balance</v>
      </c>
      <c r="P1611" t="str">
        <f t="shared" si="103"/>
        <v>Long-term</v>
      </c>
    </row>
    <row r="1612" spans="1:16" x14ac:dyDescent="0.25">
      <c r="A1612">
        <v>2025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  <c r="M1612" t="str">
        <f t="shared" si="100"/>
        <v>&lt;30</v>
      </c>
      <c r="N1612" t="str">
        <f t="shared" si="101"/>
        <v>Medium</v>
      </c>
      <c r="O1612" t="str">
        <f t="shared" si="102"/>
        <v>Zero Balance</v>
      </c>
      <c r="P1612" t="str">
        <f t="shared" si="103"/>
        <v>New</v>
      </c>
    </row>
    <row r="1613" spans="1:16" x14ac:dyDescent="0.25">
      <c r="A1613">
        <v>2025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  <c r="M1613" t="str">
        <f t="shared" si="100"/>
        <v>46-60</v>
      </c>
      <c r="N1613" t="str">
        <f t="shared" si="101"/>
        <v>High</v>
      </c>
      <c r="O1613" t="str">
        <f t="shared" si="102"/>
        <v>Low Balance</v>
      </c>
      <c r="P1613" t="str">
        <f t="shared" si="103"/>
        <v>Long-term</v>
      </c>
    </row>
    <row r="1614" spans="1:16" x14ac:dyDescent="0.25">
      <c r="A1614">
        <v>2025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  <c r="M1614" t="str">
        <f t="shared" si="100"/>
        <v>46-60</v>
      </c>
      <c r="N1614" t="str">
        <f t="shared" si="101"/>
        <v>Medium</v>
      </c>
      <c r="O1614" t="str">
        <f t="shared" si="102"/>
        <v>Zero Balance</v>
      </c>
      <c r="P1614" t="str">
        <f t="shared" si="103"/>
        <v>New</v>
      </c>
    </row>
    <row r="1615" spans="1:16" x14ac:dyDescent="0.25">
      <c r="A1615">
        <v>2025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  <c r="M1615" t="str">
        <f t="shared" si="100"/>
        <v>&lt;30</v>
      </c>
      <c r="N1615" t="str">
        <f t="shared" si="101"/>
        <v>High</v>
      </c>
      <c r="O1615" t="str">
        <f t="shared" si="102"/>
        <v>Low Balance</v>
      </c>
      <c r="P1615" t="str">
        <f t="shared" si="103"/>
        <v>New</v>
      </c>
    </row>
    <row r="1616" spans="1:16" x14ac:dyDescent="0.25">
      <c r="A1616">
        <v>2025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  <c r="M1616" t="str">
        <f t="shared" si="100"/>
        <v>60+</v>
      </c>
      <c r="N1616" t="str">
        <f t="shared" si="101"/>
        <v>Medium</v>
      </c>
      <c r="O1616" t="str">
        <f t="shared" si="102"/>
        <v>Zero Balance</v>
      </c>
      <c r="P1616" t="str">
        <f t="shared" si="103"/>
        <v>Long-term</v>
      </c>
    </row>
    <row r="1617" spans="1:16" x14ac:dyDescent="0.25">
      <c r="A1617">
        <v>2025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  <c r="M1617" t="str">
        <f t="shared" si="100"/>
        <v>&lt;30</v>
      </c>
      <c r="N1617" t="str">
        <f t="shared" si="101"/>
        <v>Medium</v>
      </c>
      <c r="O1617" t="str">
        <f t="shared" si="102"/>
        <v>Low Balance</v>
      </c>
      <c r="P1617" t="str">
        <f t="shared" si="103"/>
        <v>Mid-term</v>
      </c>
    </row>
    <row r="1618" spans="1:16" x14ac:dyDescent="0.25">
      <c r="A1618">
        <v>2025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  <c r="M1618" t="str">
        <f t="shared" si="100"/>
        <v>46-60</v>
      </c>
      <c r="N1618" t="str">
        <f t="shared" si="101"/>
        <v>Medium</v>
      </c>
      <c r="O1618" t="str">
        <f t="shared" si="102"/>
        <v>Zero Balance</v>
      </c>
      <c r="P1618" t="str">
        <f t="shared" si="103"/>
        <v>Mid-term</v>
      </c>
    </row>
    <row r="1619" spans="1:16" x14ac:dyDescent="0.25">
      <c r="A1619">
        <v>2025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  <c r="M1619" t="str">
        <f t="shared" si="100"/>
        <v>30-45</v>
      </c>
      <c r="N1619" t="str">
        <f t="shared" si="101"/>
        <v>Medium</v>
      </c>
      <c r="O1619" t="str">
        <f t="shared" si="102"/>
        <v>Zero Balance</v>
      </c>
      <c r="P1619" t="str">
        <f t="shared" si="103"/>
        <v>Mid-term</v>
      </c>
    </row>
    <row r="1620" spans="1:16" x14ac:dyDescent="0.25">
      <c r="A1620">
        <v>2025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  <c r="M1620" t="str">
        <f t="shared" si="100"/>
        <v>&lt;30</v>
      </c>
      <c r="N1620" t="str">
        <f t="shared" si="101"/>
        <v>Medium</v>
      </c>
      <c r="O1620" t="str">
        <f t="shared" si="102"/>
        <v>High Balance</v>
      </c>
      <c r="P1620" t="str">
        <f t="shared" si="103"/>
        <v>Long-term</v>
      </c>
    </row>
    <row r="1621" spans="1:16" x14ac:dyDescent="0.25">
      <c r="A1621">
        <v>2025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  <c r="M1621" t="str">
        <f t="shared" si="100"/>
        <v>&lt;30</v>
      </c>
      <c r="N1621" t="str">
        <f t="shared" si="101"/>
        <v>Medium</v>
      </c>
      <c r="O1621" t="str">
        <f t="shared" si="102"/>
        <v>High Balance</v>
      </c>
      <c r="P1621" t="str">
        <f t="shared" si="103"/>
        <v>Long-term</v>
      </c>
    </row>
    <row r="1622" spans="1:16" x14ac:dyDescent="0.25">
      <c r="A1622">
        <v>2025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  <c r="M1622" t="str">
        <f t="shared" si="100"/>
        <v>30-45</v>
      </c>
      <c r="N1622" t="str">
        <f t="shared" si="101"/>
        <v>High</v>
      </c>
      <c r="O1622" t="str">
        <f t="shared" si="102"/>
        <v>High Balance</v>
      </c>
      <c r="P1622" t="str">
        <f t="shared" si="103"/>
        <v>New</v>
      </c>
    </row>
    <row r="1623" spans="1:16" x14ac:dyDescent="0.25">
      <c r="A1623">
        <v>2025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  <c r="M1623" t="str">
        <f t="shared" si="100"/>
        <v>30-45</v>
      </c>
      <c r="N1623" t="str">
        <f t="shared" si="101"/>
        <v>Medium</v>
      </c>
      <c r="O1623" t="str">
        <f t="shared" si="102"/>
        <v>Low Balance</v>
      </c>
      <c r="P1623" t="str">
        <f t="shared" si="103"/>
        <v>Mid-term</v>
      </c>
    </row>
    <row r="1624" spans="1:16" x14ac:dyDescent="0.25">
      <c r="A1624">
        <v>2025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  <c r="M1624" t="str">
        <f t="shared" si="100"/>
        <v>&lt;30</v>
      </c>
      <c r="N1624" t="str">
        <f t="shared" si="101"/>
        <v>Medium</v>
      </c>
      <c r="O1624" t="str">
        <f t="shared" si="102"/>
        <v>High Balance</v>
      </c>
      <c r="P1624" t="str">
        <f t="shared" si="103"/>
        <v>Mid-term</v>
      </c>
    </row>
    <row r="1625" spans="1:16" x14ac:dyDescent="0.25">
      <c r="A1625">
        <v>2025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  <c r="M1625" t="str">
        <f t="shared" si="100"/>
        <v>30-45</v>
      </c>
      <c r="N1625" t="str">
        <f t="shared" si="101"/>
        <v>Medium</v>
      </c>
      <c r="O1625" t="str">
        <f t="shared" si="102"/>
        <v>Zero Balance</v>
      </c>
      <c r="P1625" t="str">
        <f t="shared" si="103"/>
        <v>New</v>
      </c>
    </row>
    <row r="1626" spans="1:16" x14ac:dyDescent="0.25">
      <c r="A1626">
        <v>2025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  <c r="M1626" t="str">
        <f t="shared" si="100"/>
        <v>&lt;30</v>
      </c>
      <c r="N1626" t="str">
        <f t="shared" si="101"/>
        <v>Medium</v>
      </c>
      <c r="O1626" t="str">
        <f t="shared" si="102"/>
        <v>Zero Balance</v>
      </c>
      <c r="P1626" t="str">
        <f t="shared" si="103"/>
        <v>Long-term</v>
      </c>
    </row>
    <row r="1627" spans="1:16" x14ac:dyDescent="0.25">
      <c r="A1627">
        <v>2025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  <c r="M1627" t="str">
        <f t="shared" si="100"/>
        <v>30-45</v>
      </c>
      <c r="N1627" t="str">
        <f t="shared" si="101"/>
        <v>Medium</v>
      </c>
      <c r="O1627" t="str">
        <f t="shared" si="102"/>
        <v>Zero Balance</v>
      </c>
      <c r="P1627" t="str">
        <f t="shared" si="103"/>
        <v>New</v>
      </c>
    </row>
    <row r="1628" spans="1:16" x14ac:dyDescent="0.25">
      <c r="A1628">
        <v>2025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  <c r="M1628" t="str">
        <f t="shared" si="100"/>
        <v>&lt;30</v>
      </c>
      <c r="N1628" t="str">
        <f t="shared" si="101"/>
        <v>Medium</v>
      </c>
      <c r="O1628" t="str">
        <f t="shared" si="102"/>
        <v>Zero Balance</v>
      </c>
      <c r="P1628" t="str">
        <f t="shared" si="103"/>
        <v>New</v>
      </c>
    </row>
    <row r="1629" spans="1:16" x14ac:dyDescent="0.25">
      <c r="A1629">
        <v>2025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  <c r="M1629" t="str">
        <f t="shared" si="100"/>
        <v>30-45</v>
      </c>
      <c r="N1629" t="str">
        <f t="shared" si="101"/>
        <v>Medium</v>
      </c>
      <c r="O1629" t="str">
        <f t="shared" si="102"/>
        <v>Low Balance</v>
      </c>
      <c r="P1629" t="str">
        <f t="shared" si="103"/>
        <v>Mid-term</v>
      </c>
    </row>
    <row r="1630" spans="1:16" x14ac:dyDescent="0.25">
      <c r="A1630">
        <v>2025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  <c r="M1630" t="str">
        <f t="shared" si="100"/>
        <v>30-45</v>
      </c>
      <c r="N1630" t="str">
        <f t="shared" si="101"/>
        <v>Medium</v>
      </c>
      <c r="O1630" t="str">
        <f t="shared" si="102"/>
        <v>Zero Balance</v>
      </c>
      <c r="P1630" t="str">
        <f t="shared" si="103"/>
        <v>Long-term</v>
      </c>
    </row>
    <row r="1631" spans="1:16" x14ac:dyDescent="0.25">
      <c r="A1631">
        <v>2025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  <c r="M1631" t="str">
        <f t="shared" si="100"/>
        <v>46-60</v>
      </c>
      <c r="N1631" t="str">
        <f t="shared" si="101"/>
        <v>High</v>
      </c>
      <c r="O1631" t="str">
        <f t="shared" si="102"/>
        <v>High Balance</v>
      </c>
      <c r="P1631" t="str">
        <f t="shared" si="103"/>
        <v>Mid-term</v>
      </c>
    </row>
    <row r="1632" spans="1:16" x14ac:dyDescent="0.25">
      <c r="A1632">
        <v>2025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  <c r="M1632" t="str">
        <f t="shared" si="100"/>
        <v>46-60</v>
      </c>
      <c r="N1632" t="str">
        <f t="shared" si="101"/>
        <v>Medium</v>
      </c>
      <c r="O1632" t="str">
        <f t="shared" si="102"/>
        <v>High Balance</v>
      </c>
      <c r="P1632" t="str">
        <f t="shared" si="103"/>
        <v>Long-term</v>
      </c>
    </row>
    <row r="1633" spans="1:16" x14ac:dyDescent="0.25">
      <c r="A1633">
        <v>2025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  <c r="M1633" t="str">
        <f t="shared" si="100"/>
        <v>46-60</v>
      </c>
      <c r="N1633" t="str">
        <f t="shared" si="101"/>
        <v>Low</v>
      </c>
      <c r="O1633" t="str">
        <f t="shared" si="102"/>
        <v>High Balance</v>
      </c>
      <c r="P1633" t="str">
        <f t="shared" si="103"/>
        <v>New</v>
      </c>
    </row>
    <row r="1634" spans="1:16" x14ac:dyDescent="0.25">
      <c r="A1634">
        <v>2025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  <c r="M1634" t="str">
        <f t="shared" si="100"/>
        <v>30-45</v>
      </c>
      <c r="N1634" t="str">
        <f t="shared" si="101"/>
        <v>Medium</v>
      </c>
      <c r="O1634" t="str">
        <f t="shared" si="102"/>
        <v>High Balance</v>
      </c>
      <c r="P1634" t="str">
        <f t="shared" si="103"/>
        <v>New</v>
      </c>
    </row>
    <row r="1635" spans="1:16" x14ac:dyDescent="0.25">
      <c r="A1635">
        <v>2025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  <c r="M1635" t="str">
        <f t="shared" si="100"/>
        <v>30-45</v>
      </c>
      <c r="N1635" t="str">
        <f t="shared" si="101"/>
        <v>Medium</v>
      </c>
      <c r="O1635" t="str">
        <f t="shared" si="102"/>
        <v>Zero Balance</v>
      </c>
      <c r="P1635" t="str">
        <f t="shared" si="103"/>
        <v>Mid-term</v>
      </c>
    </row>
    <row r="1636" spans="1:16" x14ac:dyDescent="0.25">
      <c r="A1636">
        <v>2025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  <c r="M1636" t="str">
        <f t="shared" si="100"/>
        <v>&lt;30</v>
      </c>
      <c r="N1636" t="str">
        <f t="shared" si="101"/>
        <v>High</v>
      </c>
      <c r="O1636" t="str">
        <f t="shared" si="102"/>
        <v>Zero Balance</v>
      </c>
      <c r="P1636" t="str">
        <f t="shared" si="103"/>
        <v>Mid-term</v>
      </c>
    </row>
    <row r="1637" spans="1:16" x14ac:dyDescent="0.25">
      <c r="A1637">
        <v>2025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  <c r="M1637" t="str">
        <f t="shared" si="100"/>
        <v>30-45</v>
      </c>
      <c r="N1637" t="str">
        <f t="shared" si="101"/>
        <v>Medium</v>
      </c>
      <c r="O1637" t="str">
        <f t="shared" si="102"/>
        <v>High Balance</v>
      </c>
      <c r="P1637" t="str">
        <f t="shared" si="103"/>
        <v>Mid-term</v>
      </c>
    </row>
    <row r="1638" spans="1:16" x14ac:dyDescent="0.25">
      <c r="A1638">
        <v>2025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  <c r="M1638" t="str">
        <f t="shared" si="100"/>
        <v>30-45</v>
      </c>
      <c r="N1638" t="str">
        <f t="shared" si="101"/>
        <v>Medium</v>
      </c>
      <c r="O1638" t="str">
        <f t="shared" si="102"/>
        <v>Zero Balance</v>
      </c>
      <c r="P1638" t="str">
        <f t="shared" si="103"/>
        <v>Mid-term</v>
      </c>
    </row>
    <row r="1639" spans="1:16" x14ac:dyDescent="0.25">
      <c r="A1639">
        <v>2025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  <c r="M1639" t="str">
        <f t="shared" si="100"/>
        <v>30-45</v>
      </c>
      <c r="N1639" t="str">
        <f t="shared" si="101"/>
        <v>Medium</v>
      </c>
      <c r="O1639" t="str">
        <f t="shared" si="102"/>
        <v>Zero Balance</v>
      </c>
      <c r="P1639" t="str">
        <f t="shared" si="103"/>
        <v>New</v>
      </c>
    </row>
    <row r="1640" spans="1:16" x14ac:dyDescent="0.25">
      <c r="A1640">
        <v>2025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  <c r="M1640" t="str">
        <f t="shared" si="100"/>
        <v>30-45</v>
      </c>
      <c r="N1640" t="str">
        <f t="shared" si="101"/>
        <v>Medium</v>
      </c>
      <c r="O1640" t="str">
        <f t="shared" si="102"/>
        <v>Zero Balance</v>
      </c>
      <c r="P1640" t="str">
        <f t="shared" si="103"/>
        <v>Long-term</v>
      </c>
    </row>
    <row r="1641" spans="1:16" x14ac:dyDescent="0.25">
      <c r="A1641">
        <v>2025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  <c r="M1641" t="str">
        <f t="shared" si="100"/>
        <v>30-45</v>
      </c>
      <c r="N1641" t="str">
        <f t="shared" si="101"/>
        <v>Medium</v>
      </c>
      <c r="O1641" t="str">
        <f t="shared" si="102"/>
        <v>High Balance</v>
      </c>
      <c r="P1641" t="str">
        <f t="shared" si="103"/>
        <v>Long-term</v>
      </c>
    </row>
    <row r="1642" spans="1:16" x14ac:dyDescent="0.25">
      <c r="A1642">
        <v>2025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  <c r="M1642" t="str">
        <f t="shared" si="100"/>
        <v>46-60</v>
      </c>
      <c r="N1642" t="str">
        <f t="shared" si="101"/>
        <v>Medium</v>
      </c>
      <c r="O1642" t="str">
        <f t="shared" si="102"/>
        <v>High Balance</v>
      </c>
      <c r="P1642" t="str">
        <f t="shared" si="103"/>
        <v>Mid-term</v>
      </c>
    </row>
    <row r="1643" spans="1:16" x14ac:dyDescent="0.25">
      <c r="A1643">
        <v>2025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  <c r="M1643" t="str">
        <f t="shared" si="100"/>
        <v>46-60</v>
      </c>
      <c r="N1643" t="str">
        <f t="shared" si="101"/>
        <v>High</v>
      </c>
      <c r="O1643" t="str">
        <f t="shared" si="102"/>
        <v>High Balance</v>
      </c>
      <c r="P1643" t="str">
        <f t="shared" si="103"/>
        <v>New</v>
      </c>
    </row>
    <row r="1644" spans="1:16" x14ac:dyDescent="0.25">
      <c r="A1644">
        <v>2025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  <c r="M1644" t="str">
        <f t="shared" si="100"/>
        <v>60+</v>
      </c>
      <c r="N1644" t="str">
        <f t="shared" si="101"/>
        <v>Medium</v>
      </c>
      <c r="O1644" t="str">
        <f t="shared" si="102"/>
        <v>Zero Balance</v>
      </c>
      <c r="P1644" t="str">
        <f t="shared" si="103"/>
        <v>New</v>
      </c>
    </row>
    <row r="1645" spans="1:16" x14ac:dyDescent="0.25">
      <c r="A1645">
        <v>2025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  <c r="M1645" t="str">
        <f t="shared" si="100"/>
        <v>30-45</v>
      </c>
      <c r="N1645" t="str">
        <f t="shared" si="101"/>
        <v>Medium</v>
      </c>
      <c r="O1645" t="str">
        <f t="shared" si="102"/>
        <v>High Balance</v>
      </c>
      <c r="P1645" t="str">
        <f t="shared" si="103"/>
        <v>Mid-term</v>
      </c>
    </row>
    <row r="1646" spans="1:16" x14ac:dyDescent="0.25">
      <c r="A1646">
        <v>2025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  <c r="M1646" t="str">
        <f t="shared" si="100"/>
        <v>30-45</v>
      </c>
      <c r="N1646" t="str">
        <f t="shared" si="101"/>
        <v>Medium</v>
      </c>
      <c r="O1646" t="str">
        <f t="shared" si="102"/>
        <v>Zero Balance</v>
      </c>
      <c r="P1646" t="str">
        <f t="shared" si="103"/>
        <v>Mid-term</v>
      </c>
    </row>
    <row r="1647" spans="1:16" x14ac:dyDescent="0.25">
      <c r="A1647">
        <v>2025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  <c r="M1647" t="str">
        <f t="shared" si="100"/>
        <v>30-45</v>
      </c>
      <c r="N1647" t="str">
        <f t="shared" si="101"/>
        <v>Medium</v>
      </c>
      <c r="O1647" t="str">
        <f t="shared" si="102"/>
        <v>Low Balance</v>
      </c>
      <c r="P1647" t="str">
        <f t="shared" si="103"/>
        <v>New</v>
      </c>
    </row>
    <row r="1648" spans="1:16" x14ac:dyDescent="0.25">
      <c r="A1648">
        <v>2025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  <c r="M1648" t="str">
        <f t="shared" si="100"/>
        <v>46-60</v>
      </c>
      <c r="N1648" t="str">
        <f t="shared" si="101"/>
        <v>Medium</v>
      </c>
      <c r="O1648" t="str">
        <f t="shared" si="102"/>
        <v>High Balance</v>
      </c>
      <c r="P1648" t="str">
        <f t="shared" si="103"/>
        <v>Mid-term</v>
      </c>
    </row>
    <row r="1649" spans="1:16" x14ac:dyDescent="0.25">
      <c r="A1649">
        <v>2025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  <c r="M1649" t="str">
        <f t="shared" si="100"/>
        <v>30-45</v>
      </c>
      <c r="N1649" t="str">
        <f t="shared" si="101"/>
        <v>High</v>
      </c>
      <c r="O1649" t="str">
        <f t="shared" si="102"/>
        <v>Zero Balance</v>
      </c>
      <c r="P1649" t="str">
        <f t="shared" si="103"/>
        <v>Mid-term</v>
      </c>
    </row>
    <row r="1650" spans="1:16" x14ac:dyDescent="0.25">
      <c r="A1650">
        <v>2025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  <c r="M1650" t="str">
        <f t="shared" si="100"/>
        <v>30-45</v>
      </c>
      <c r="N1650" t="str">
        <f t="shared" si="101"/>
        <v>Medium</v>
      </c>
      <c r="O1650" t="str">
        <f t="shared" si="102"/>
        <v>High Balance</v>
      </c>
      <c r="P1650" t="str">
        <f t="shared" si="103"/>
        <v>Long-term</v>
      </c>
    </row>
    <row r="1651" spans="1:16" x14ac:dyDescent="0.25">
      <c r="A1651">
        <v>2025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  <c r="M1651" t="str">
        <f t="shared" si="100"/>
        <v>30-45</v>
      </c>
      <c r="N1651" t="str">
        <f t="shared" si="101"/>
        <v>High</v>
      </c>
      <c r="O1651" t="str">
        <f t="shared" si="102"/>
        <v>Zero Balance</v>
      </c>
      <c r="P1651" t="str">
        <f t="shared" si="103"/>
        <v>Mid-term</v>
      </c>
    </row>
    <row r="1652" spans="1:16" x14ac:dyDescent="0.25">
      <c r="A1652">
        <v>2025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  <c r="M1652" t="str">
        <f t="shared" si="100"/>
        <v>30-45</v>
      </c>
      <c r="N1652" t="str">
        <f t="shared" si="101"/>
        <v>Medium</v>
      </c>
      <c r="O1652" t="str">
        <f t="shared" si="102"/>
        <v>Zero Balance</v>
      </c>
      <c r="P1652" t="str">
        <f t="shared" si="103"/>
        <v>Mid-term</v>
      </c>
    </row>
    <row r="1653" spans="1:16" x14ac:dyDescent="0.25">
      <c r="A1653">
        <v>2025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  <c r="M1653" t="str">
        <f t="shared" si="100"/>
        <v>30-45</v>
      </c>
      <c r="N1653" t="str">
        <f t="shared" si="101"/>
        <v>Medium</v>
      </c>
      <c r="O1653" t="str">
        <f t="shared" si="102"/>
        <v>High Balance</v>
      </c>
      <c r="P1653" t="str">
        <f t="shared" si="103"/>
        <v>Long-term</v>
      </c>
    </row>
    <row r="1654" spans="1:16" x14ac:dyDescent="0.25">
      <c r="A1654">
        <v>2025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  <c r="M1654" t="str">
        <f t="shared" si="100"/>
        <v>46-60</v>
      </c>
      <c r="N1654" t="str">
        <f t="shared" si="101"/>
        <v>Medium</v>
      </c>
      <c r="O1654" t="str">
        <f t="shared" si="102"/>
        <v>High Balance</v>
      </c>
      <c r="P1654" t="str">
        <f t="shared" si="103"/>
        <v>Mid-term</v>
      </c>
    </row>
    <row r="1655" spans="1:16" x14ac:dyDescent="0.25">
      <c r="A1655">
        <v>2025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  <c r="M1655" t="str">
        <f t="shared" si="100"/>
        <v>46-60</v>
      </c>
      <c r="N1655" t="str">
        <f t="shared" si="101"/>
        <v>Medium</v>
      </c>
      <c r="O1655" t="str">
        <f t="shared" si="102"/>
        <v>High Balance</v>
      </c>
      <c r="P1655" t="str">
        <f t="shared" si="103"/>
        <v>New</v>
      </c>
    </row>
    <row r="1656" spans="1:16" x14ac:dyDescent="0.25">
      <c r="A1656">
        <v>2025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  <c r="M1656" t="str">
        <f t="shared" si="100"/>
        <v>30-45</v>
      </c>
      <c r="N1656" t="str">
        <f t="shared" si="101"/>
        <v>Low</v>
      </c>
      <c r="O1656" t="str">
        <f t="shared" si="102"/>
        <v>Zero Balance</v>
      </c>
      <c r="P1656" t="str">
        <f t="shared" si="103"/>
        <v>Long-term</v>
      </c>
    </row>
    <row r="1657" spans="1:16" x14ac:dyDescent="0.25">
      <c r="A1657">
        <v>2025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  <c r="M1657" t="str">
        <f t="shared" si="100"/>
        <v>46-60</v>
      </c>
      <c r="N1657" t="str">
        <f t="shared" si="101"/>
        <v>Medium</v>
      </c>
      <c r="O1657" t="str">
        <f t="shared" si="102"/>
        <v>Low Balance</v>
      </c>
      <c r="P1657" t="str">
        <f t="shared" si="103"/>
        <v>Long-term</v>
      </c>
    </row>
    <row r="1658" spans="1:16" x14ac:dyDescent="0.25">
      <c r="A1658">
        <v>2025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  <c r="M1658" t="str">
        <f t="shared" si="100"/>
        <v>30-45</v>
      </c>
      <c r="N1658" t="str">
        <f t="shared" si="101"/>
        <v>Medium</v>
      </c>
      <c r="O1658" t="str">
        <f t="shared" si="102"/>
        <v>High Balance</v>
      </c>
      <c r="P1658" t="str">
        <f t="shared" si="103"/>
        <v>Mid-term</v>
      </c>
    </row>
    <row r="1659" spans="1:16" x14ac:dyDescent="0.25">
      <c r="A1659">
        <v>2025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  <c r="M1659" t="str">
        <f t="shared" si="100"/>
        <v>46-60</v>
      </c>
      <c r="N1659" t="str">
        <f t="shared" si="101"/>
        <v>High</v>
      </c>
      <c r="O1659" t="str">
        <f t="shared" si="102"/>
        <v>High Balance</v>
      </c>
      <c r="P1659" t="str">
        <f t="shared" si="103"/>
        <v>Mid-term</v>
      </c>
    </row>
    <row r="1660" spans="1:16" x14ac:dyDescent="0.25">
      <c r="A1660">
        <v>2025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  <c r="M1660" t="str">
        <f t="shared" si="100"/>
        <v>30-45</v>
      </c>
      <c r="N1660" t="str">
        <f t="shared" si="101"/>
        <v>High</v>
      </c>
      <c r="O1660" t="str">
        <f t="shared" si="102"/>
        <v>Low Balance</v>
      </c>
      <c r="P1660" t="str">
        <f t="shared" si="103"/>
        <v>New</v>
      </c>
    </row>
    <row r="1661" spans="1:16" x14ac:dyDescent="0.25">
      <c r="A1661">
        <v>2025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  <c r="M1661" t="str">
        <f t="shared" si="100"/>
        <v>30-45</v>
      </c>
      <c r="N1661" t="str">
        <f t="shared" si="101"/>
        <v>Medium</v>
      </c>
      <c r="O1661" t="str">
        <f t="shared" si="102"/>
        <v>High Balance</v>
      </c>
      <c r="P1661" t="str">
        <f t="shared" si="103"/>
        <v>Long-term</v>
      </c>
    </row>
    <row r="1662" spans="1:16" x14ac:dyDescent="0.25">
      <c r="A1662">
        <v>2025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  <c r="M1662" t="str">
        <f t="shared" si="100"/>
        <v>30-45</v>
      </c>
      <c r="N1662" t="str">
        <f t="shared" si="101"/>
        <v>Medium</v>
      </c>
      <c r="O1662" t="str">
        <f t="shared" si="102"/>
        <v>High Balance</v>
      </c>
      <c r="P1662" t="str">
        <f t="shared" si="103"/>
        <v>Mid-term</v>
      </c>
    </row>
    <row r="1663" spans="1:16" x14ac:dyDescent="0.25">
      <c r="A1663">
        <v>2025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  <c r="M1663" t="str">
        <f t="shared" si="100"/>
        <v>30-45</v>
      </c>
      <c r="N1663" t="str">
        <f t="shared" si="101"/>
        <v>Medium</v>
      </c>
      <c r="O1663" t="str">
        <f t="shared" si="102"/>
        <v>High Balance</v>
      </c>
      <c r="P1663" t="str">
        <f t="shared" si="103"/>
        <v>New</v>
      </c>
    </row>
    <row r="1664" spans="1:16" x14ac:dyDescent="0.25">
      <c r="A1664">
        <v>2025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  <c r="M1664" t="str">
        <f t="shared" si="100"/>
        <v>30-45</v>
      </c>
      <c r="N1664" t="str">
        <f t="shared" si="101"/>
        <v>Medium</v>
      </c>
      <c r="O1664" t="str">
        <f t="shared" si="102"/>
        <v>High Balance</v>
      </c>
      <c r="P1664" t="str">
        <f t="shared" si="103"/>
        <v>Mid-term</v>
      </c>
    </row>
    <row r="1665" spans="1:16" x14ac:dyDescent="0.25">
      <c r="A1665">
        <v>2025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  <c r="M1665" t="str">
        <f t="shared" si="100"/>
        <v>30-45</v>
      </c>
      <c r="N1665" t="str">
        <f t="shared" si="101"/>
        <v>High</v>
      </c>
      <c r="O1665" t="str">
        <f t="shared" si="102"/>
        <v>High Balance</v>
      </c>
      <c r="P1665" t="str">
        <f t="shared" si="103"/>
        <v>Mid-term</v>
      </c>
    </row>
    <row r="1666" spans="1:16" x14ac:dyDescent="0.25">
      <c r="A1666">
        <v>2025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  <c r="M1666" t="str">
        <f t="shared" si="100"/>
        <v>46-60</v>
      </c>
      <c r="N1666" t="str">
        <f t="shared" si="101"/>
        <v>High</v>
      </c>
      <c r="O1666" t="str">
        <f t="shared" si="102"/>
        <v>Zero Balance</v>
      </c>
      <c r="P1666" t="str">
        <f t="shared" si="103"/>
        <v>Mid-term</v>
      </c>
    </row>
    <row r="1667" spans="1:16" x14ac:dyDescent="0.25">
      <c r="A1667">
        <v>2025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  <c r="M1667" t="str">
        <f t="shared" ref="M1667:M1730" si="104">IF(E1667&lt;30,"&lt;30",IF(E1667&lt;=45,"30-45",IF(E1667&lt;=60,"46-60","60+")))</f>
        <v>30-45</v>
      </c>
      <c r="N1667" t="str">
        <f t="shared" ref="N1667:N1730" si="105">IF(B1667&lt;500,"Low",IF(B1667&lt;700,"Medium","High"))</f>
        <v>High</v>
      </c>
      <c r="O1667" t="str">
        <f t="shared" ref="O1667:O1730" si="106">IF(G1667=0,"Zero Balance",IF(G1667&lt;100000,"Low Balance","High Balance"))</f>
        <v>High Balance</v>
      </c>
      <c r="P1667" t="str">
        <f t="shared" ref="P1667:P1730" si="107">IF(F1667&lt;=3,"New",IF(F1667&lt;=7,"Mid-term","Long-term"))</f>
        <v>New</v>
      </c>
    </row>
    <row r="1668" spans="1:16" x14ac:dyDescent="0.25">
      <c r="A1668">
        <v>2025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  <c r="M1668" t="str">
        <f t="shared" si="104"/>
        <v>46-60</v>
      </c>
      <c r="N1668" t="str">
        <f t="shared" si="105"/>
        <v>Medium</v>
      </c>
      <c r="O1668" t="str">
        <f t="shared" si="106"/>
        <v>Zero Balance</v>
      </c>
      <c r="P1668" t="str">
        <f t="shared" si="107"/>
        <v>Mid-term</v>
      </c>
    </row>
    <row r="1669" spans="1:16" x14ac:dyDescent="0.25">
      <c r="A1669">
        <v>2025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  <c r="M1669" t="str">
        <f t="shared" si="104"/>
        <v>46-60</v>
      </c>
      <c r="N1669" t="str">
        <f t="shared" si="105"/>
        <v>Medium</v>
      </c>
      <c r="O1669" t="str">
        <f t="shared" si="106"/>
        <v>Zero Balance</v>
      </c>
      <c r="P1669" t="str">
        <f t="shared" si="107"/>
        <v>Long-term</v>
      </c>
    </row>
    <row r="1670" spans="1:16" x14ac:dyDescent="0.25">
      <c r="A1670">
        <v>2025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  <c r="M1670" t="str">
        <f t="shared" si="104"/>
        <v>&lt;30</v>
      </c>
      <c r="N1670" t="str">
        <f t="shared" si="105"/>
        <v>Medium</v>
      </c>
      <c r="O1670" t="str">
        <f t="shared" si="106"/>
        <v>Zero Balance</v>
      </c>
      <c r="P1670" t="str">
        <f t="shared" si="107"/>
        <v>Long-term</v>
      </c>
    </row>
    <row r="1671" spans="1:16" x14ac:dyDescent="0.25">
      <c r="A1671">
        <v>2025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  <c r="M1671" t="str">
        <f t="shared" si="104"/>
        <v>30-45</v>
      </c>
      <c r="N1671" t="str">
        <f t="shared" si="105"/>
        <v>Medium</v>
      </c>
      <c r="O1671" t="str">
        <f t="shared" si="106"/>
        <v>Zero Balance</v>
      </c>
      <c r="P1671" t="str">
        <f t="shared" si="107"/>
        <v>Mid-term</v>
      </c>
    </row>
    <row r="1672" spans="1:16" x14ac:dyDescent="0.25">
      <c r="A1672">
        <v>2025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  <c r="M1672" t="str">
        <f t="shared" si="104"/>
        <v>&lt;30</v>
      </c>
      <c r="N1672" t="str">
        <f t="shared" si="105"/>
        <v>Medium</v>
      </c>
      <c r="O1672" t="str">
        <f t="shared" si="106"/>
        <v>High Balance</v>
      </c>
      <c r="P1672" t="str">
        <f t="shared" si="107"/>
        <v>New</v>
      </c>
    </row>
    <row r="1673" spans="1:16" x14ac:dyDescent="0.25">
      <c r="A1673">
        <v>2025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  <c r="M1673" t="str">
        <f t="shared" si="104"/>
        <v>30-45</v>
      </c>
      <c r="N1673" t="str">
        <f t="shared" si="105"/>
        <v>Medium</v>
      </c>
      <c r="O1673" t="str">
        <f t="shared" si="106"/>
        <v>High Balance</v>
      </c>
      <c r="P1673" t="str">
        <f t="shared" si="107"/>
        <v>New</v>
      </c>
    </row>
    <row r="1674" spans="1:16" x14ac:dyDescent="0.25">
      <c r="A1674">
        <v>2025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  <c r="M1674" t="str">
        <f t="shared" si="104"/>
        <v>30-45</v>
      </c>
      <c r="N1674" t="str">
        <f t="shared" si="105"/>
        <v>Medium</v>
      </c>
      <c r="O1674" t="str">
        <f t="shared" si="106"/>
        <v>Zero Balance</v>
      </c>
      <c r="P1674" t="str">
        <f t="shared" si="107"/>
        <v>Mid-term</v>
      </c>
    </row>
    <row r="1675" spans="1:16" x14ac:dyDescent="0.25">
      <c r="A1675">
        <v>2025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  <c r="M1675" t="str">
        <f t="shared" si="104"/>
        <v>&lt;30</v>
      </c>
      <c r="N1675" t="str">
        <f t="shared" si="105"/>
        <v>Medium</v>
      </c>
      <c r="O1675" t="str">
        <f t="shared" si="106"/>
        <v>High Balance</v>
      </c>
      <c r="P1675" t="str">
        <f t="shared" si="107"/>
        <v>New</v>
      </c>
    </row>
    <row r="1676" spans="1:16" x14ac:dyDescent="0.25">
      <c r="A1676">
        <v>2025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  <c r="M1676" t="str">
        <f t="shared" si="104"/>
        <v>30-45</v>
      </c>
      <c r="N1676" t="str">
        <f t="shared" si="105"/>
        <v>Medium</v>
      </c>
      <c r="O1676" t="str">
        <f t="shared" si="106"/>
        <v>High Balance</v>
      </c>
      <c r="P1676" t="str">
        <f t="shared" si="107"/>
        <v>Mid-term</v>
      </c>
    </row>
    <row r="1677" spans="1:16" x14ac:dyDescent="0.25">
      <c r="A1677">
        <v>2025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  <c r="M1677" t="str">
        <f t="shared" si="104"/>
        <v>30-45</v>
      </c>
      <c r="N1677" t="str">
        <f t="shared" si="105"/>
        <v>High</v>
      </c>
      <c r="O1677" t="str">
        <f t="shared" si="106"/>
        <v>Zero Balance</v>
      </c>
      <c r="P1677" t="str">
        <f t="shared" si="107"/>
        <v>Long-term</v>
      </c>
    </row>
    <row r="1678" spans="1:16" x14ac:dyDescent="0.25">
      <c r="A1678">
        <v>2025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  <c r="M1678" t="str">
        <f t="shared" si="104"/>
        <v>30-45</v>
      </c>
      <c r="N1678" t="str">
        <f t="shared" si="105"/>
        <v>High</v>
      </c>
      <c r="O1678" t="str">
        <f t="shared" si="106"/>
        <v>Zero Balance</v>
      </c>
      <c r="P1678" t="str">
        <f t="shared" si="107"/>
        <v>Long-term</v>
      </c>
    </row>
    <row r="1679" spans="1:16" x14ac:dyDescent="0.25">
      <c r="A1679">
        <v>2025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  <c r="M1679" t="str">
        <f t="shared" si="104"/>
        <v>30-45</v>
      </c>
      <c r="N1679" t="str">
        <f t="shared" si="105"/>
        <v>High</v>
      </c>
      <c r="O1679" t="str">
        <f t="shared" si="106"/>
        <v>Zero Balance</v>
      </c>
      <c r="P1679" t="str">
        <f t="shared" si="107"/>
        <v>Long-term</v>
      </c>
    </row>
    <row r="1680" spans="1:16" x14ac:dyDescent="0.25">
      <c r="A1680">
        <v>2025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  <c r="M1680" t="str">
        <f t="shared" si="104"/>
        <v>&lt;30</v>
      </c>
      <c r="N1680" t="str">
        <f t="shared" si="105"/>
        <v>Medium</v>
      </c>
      <c r="O1680" t="str">
        <f t="shared" si="106"/>
        <v>Low Balance</v>
      </c>
      <c r="P1680" t="str">
        <f t="shared" si="107"/>
        <v>Mid-term</v>
      </c>
    </row>
    <row r="1681" spans="1:16" x14ac:dyDescent="0.25">
      <c r="A1681">
        <v>2025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  <c r="M1681" t="str">
        <f t="shared" si="104"/>
        <v>30-45</v>
      </c>
      <c r="N1681" t="str">
        <f t="shared" si="105"/>
        <v>High</v>
      </c>
      <c r="O1681" t="str">
        <f t="shared" si="106"/>
        <v>Low Balance</v>
      </c>
      <c r="P1681" t="str">
        <f t="shared" si="107"/>
        <v>New</v>
      </c>
    </row>
    <row r="1682" spans="1:16" x14ac:dyDescent="0.25">
      <c r="A1682">
        <v>2025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  <c r="M1682" t="str">
        <f t="shared" si="104"/>
        <v>30-45</v>
      </c>
      <c r="N1682" t="str">
        <f t="shared" si="105"/>
        <v>High</v>
      </c>
      <c r="O1682" t="str">
        <f t="shared" si="106"/>
        <v>High Balance</v>
      </c>
      <c r="P1682" t="str">
        <f t="shared" si="107"/>
        <v>Mid-term</v>
      </c>
    </row>
    <row r="1683" spans="1:16" x14ac:dyDescent="0.25">
      <c r="A1683">
        <v>2025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  <c r="M1683" t="str">
        <f t="shared" si="104"/>
        <v>30-45</v>
      </c>
      <c r="N1683" t="str">
        <f t="shared" si="105"/>
        <v>Medium</v>
      </c>
      <c r="O1683" t="str">
        <f t="shared" si="106"/>
        <v>Zero Balance</v>
      </c>
      <c r="P1683" t="str">
        <f t="shared" si="107"/>
        <v>New</v>
      </c>
    </row>
    <row r="1684" spans="1:16" x14ac:dyDescent="0.25">
      <c r="A1684">
        <v>2025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  <c r="M1684" t="str">
        <f t="shared" si="104"/>
        <v>30-45</v>
      </c>
      <c r="N1684" t="str">
        <f t="shared" si="105"/>
        <v>Medium</v>
      </c>
      <c r="O1684" t="str">
        <f t="shared" si="106"/>
        <v>Low Balance</v>
      </c>
      <c r="P1684" t="str">
        <f t="shared" si="107"/>
        <v>New</v>
      </c>
    </row>
    <row r="1685" spans="1:16" x14ac:dyDescent="0.25">
      <c r="A1685">
        <v>2025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  <c r="M1685" t="str">
        <f t="shared" si="104"/>
        <v>46-60</v>
      </c>
      <c r="N1685" t="str">
        <f t="shared" si="105"/>
        <v>High</v>
      </c>
      <c r="O1685" t="str">
        <f t="shared" si="106"/>
        <v>Zero Balance</v>
      </c>
      <c r="P1685" t="str">
        <f t="shared" si="107"/>
        <v>Mid-term</v>
      </c>
    </row>
    <row r="1686" spans="1:16" x14ac:dyDescent="0.25">
      <c r="A1686">
        <v>2025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  <c r="M1686" t="str">
        <f t="shared" si="104"/>
        <v>&lt;30</v>
      </c>
      <c r="N1686" t="str">
        <f t="shared" si="105"/>
        <v>Medium</v>
      </c>
      <c r="O1686" t="str">
        <f t="shared" si="106"/>
        <v>High Balance</v>
      </c>
      <c r="P1686" t="str">
        <f t="shared" si="107"/>
        <v>Mid-term</v>
      </c>
    </row>
    <row r="1687" spans="1:16" x14ac:dyDescent="0.25">
      <c r="A1687">
        <v>2025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  <c r="M1687" t="str">
        <f t="shared" si="104"/>
        <v>&lt;30</v>
      </c>
      <c r="N1687" t="str">
        <f t="shared" si="105"/>
        <v>Medium</v>
      </c>
      <c r="O1687" t="str">
        <f t="shared" si="106"/>
        <v>High Balance</v>
      </c>
      <c r="P1687" t="str">
        <f t="shared" si="107"/>
        <v>New</v>
      </c>
    </row>
    <row r="1688" spans="1:16" x14ac:dyDescent="0.25">
      <c r="A1688">
        <v>2025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  <c r="M1688" t="str">
        <f t="shared" si="104"/>
        <v>30-45</v>
      </c>
      <c r="N1688" t="str">
        <f t="shared" si="105"/>
        <v>Medium</v>
      </c>
      <c r="O1688" t="str">
        <f t="shared" si="106"/>
        <v>Zero Balance</v>
      </c>
      <c r="P1688" t="str">
        <f t="shared" si="107"/>
        <v>Mid-term</v>
      </c>
    </row>
    <row r="1689" spans="1:16" x14ac:dyDescent="0.25">
      <c r="A1689">
        <v>2025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  <c r="M1689" t="str">
        <f t="shared" si="104"/>
        <v>30-45</v>
      </c>
      <c r="N1689" t="str">
        <f t="shared" si="105"/>
        <v>High</v>
      </c>
      <c r="O1689" t="str">
        <f t="shared" si="106"/>
        <v>High Balance</v>
      </c>
      <c r="P1689" t="str">
        <f t="shared" si="107"/>
        <v>Mid-term</v>
      </c>
    </row>
    <row r="1690" spans="1:16" x14ac:dyDescent="0.25">
      <c r="A1690">
        <v>2025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  <c r="M1690" t="str">
        <f t="shared" si="104"/>
        <v>30-45</v>
      </c>
      <c r="N1690" t="str">
        <f t="shared" si="105"/>
        <v>Medium</v>
      </c>
      <c r="O1690" t="str">
        <f t="shared" si="106"/>
        <v>Zero Balance</v>
      </c>
      <c r="P1690" t="str">
        <f t="shared" si="107"/>
        <v>New</v>
      </c>
    </row>
    <row r="1691" spans="1:16" x14ac:dyDescent="0.25">
      <c r="A1691">
        <v>2025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  <c r="M1691" t="str">
        <f t="shared" si="104"/>
        <v>30-45</v>
      </c>
      <c r="N1691" t="str">
        <f t="shared" si="105"/>
        <v>Medium</v>
      </c>
      <c r="O1691" t="str">
        <f t="shared" si="106"/>
        <v>Zero Balance</v>
      </c>
      <c r="P1691" t="str">
        <f t="shared" si="107"/>
        <v>Long-term</v>
      </c>
    </row>
    <row r="1692" spans="1:16" x14ac:dyDescent="0.25">
      <c r="A1692">
        <v>2025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  <c r="M1692" t="str">
        <f t="shared" si="104"/>
        <v>30-45</v>
      </c>
      <c r="N1692" t="str">
        <f t="shared" si="105"/>
        <v>Medium</v>
      </c>
      <c r="O1692" t="str">
        <f t="shared" si="106"/>
        <v>Low Balance</v>
      </c>
      <c r="P1692" t="str">
        <f t="shared" si="107"/>
        <v>New</v>
      </c>
    </row>
    <row r="1693" spans="1:16" x14ac:dyDescent="0.25">
      <c r="A1693">
        <v>2025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  <c r="M1693" t="str">
        <f t="shared" si="104"/>
        <v>30-45</v>
      </c>
      <c r="N1693" t="str">
        <f t="shared" si="105"/>
        <v>Medium</v>
      </c>
      <c r="O1693" t="str">
        <f t="shared" si="106"/>
        <v>Zero Balance</v>
      </c>
      <c r="P1693" t="str">
        <f t="shared" si="107"/>
        <v>Long-term</v>
      </c>
    </row>
    <row r="1694" spans="1:16" x14ac:dyDescent="0.25">
      <c r="A1694">
        <v>2025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  <c r="M1694" t="str">
        <f t="shared" si="104"/>
        <v>&lt;30</v>
      </c>
      <c r="N1694" t="str">
        <f t="shared" si="105"/>
        <v>Medium</v>
      </c>
      <c r="O1694" t="str">
        <f t="shared" si="106"/>
        <v>High Balance</v>
      </c>
      <c r="P1694" t="str">
        <f t="shared" si="107"/>
        <v>Mid-term</v>
      </c>
    </row>
    <row r="1695" spans="1:16" x14ac:dyDescent="0.25">
      <c r="A1695">
        <v>2025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  <c r="M1695" t="str">
        <f t="shared" si="104"/>
        <v>30-45</v>
      </c>
      <c r="N1695" t="str">
        <f t="shared" si="105"/>
        <v>Medium</v>
      </c>
      <c r="O1695" t="str">
        <f t="shared" si="106"/>
        <v>Zero Balance</v>
      </c>
      <c r="P1695" t="str">
        <f t="shared" si="107"/>
        <v>Long-term</v>
      </c>
    </row>
    <row r="1696" spans="1:16" x14ac:dyDescent="0.25">
      <c r="A1696">
        <v>2025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  <c r="M1696" t="str">
        <f t="shared" si="104"/>
        <v>30-45</v>
      </c>
      <c r="N1696" t="str">
        <f t="shared" si="105"/>
        <v>Medium</v>
      </c>
      <c r="O1696" t="str">
        <f t="shared" si="106"/>
        <v>High Balance</v>
      </c>
      <c r="P1696" t="str">
        <f t="shared" si="107"/>
        <v>Long-term</v>
      </c>
    </row>
    <row r="1697" spans="1:16" x14ac:dyDescent="0.25">
      <c r="A1697">
        <v>2025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  <c r="M1697" t="str">
        <f t="shared" si="104"/>
        <v>30-45</v>
      </c>
      <c r="N1697" t="str">
        <f t="shared" si="105"/>
        <v>Medium</v>
      </c>
      <c r="O1697" t="str">
        <f t="shared" si="106"/>
        <v>Zero Balance</v>
      </c>
      <c r="P1697" t="str">
        <f t="shared" si="107"/>
        <v>Mid-term</v>
      </c>
    </row>
    <row r="1698" spans="1:16" x14ac:dyDescent="0.25">
      <c r="A1698">
        <v>2025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  <c r="M1698" t="str">
        <f t="shared" si="104"/>
        <v>30-45</v>
      </c>
      <c r="N1698" t="str">
        <f t="shared" si="105"/>
        <v>High</v>
      </c>
      <c r="O1698" t="str">
        <f t="shared" si="106"/>
        <v>Low Balance</v>
      </c>
      <c r="P1698" t="str">
        <f t="shared" si="107"/>
        <v>Long-term</v>
      </c>
    </row>
    <row r="1699" spans="1:16" x14ac:dyDescent="0.25">
      <c r="A1699">
        <v>2025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  <c r="M1699" t="str">
        <f t="shared" si="104"/>
        <v>30-45</v>
      </c>
      <c r="N1699" t="str">
        <f t="shared" si="105"/>
        <v>Medium</v>
      </c>
      <c r="O1699" t="str">
        <f t="shared" si="106"/>
        <v>High Balance</v>
      </c>
      <c r="P1699" t="str">
        <f t="shared" si="107"/>
        <v>Long-term</v>
      </c>
    </row>
    <row r="1700" spans="1:16" x14ac:dyDescent="0.25">
      <c r="A1700">
        <v>2025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  <c r="M1700" t="str">
        <f t="shared" si="104"/>
        <v>46-60</v>
      </c>
      <c r="N1700" t="str">
        <f t="shared" si="105"/>
        <v>Low</v>
      </c>
      <c r="O1700" t="str">
        <f t="shared" si="106"/>
        <v>High Balance</v>
      </c>
      <c r="P1700" t="str">
        <f t="shared" si="107"/>
        <v>Mid-term</v>
      </c>
    </row>
    <row r="1701" spans="1:16" x14ac:dyDescent="0.25">
      <c r="A1701">
        <v>2025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  <c r="M1701" t="str">
        <f t="shared" si="104"/>
        <v>30-45</v>
      </c>
      <c r="N1701" t="str">
        <f t="shared" si="105"/>
        <v>Medium</v>
      </c>
      <c r="O1701" t="str">
        <f t="shared" si="106"/>
        <v>High Balance</v>
      </c>
      <c r="P1701" t="str">
        <f t="shared" si="107"/>
        <v>Long-term</v>
      </c>
    </row>
    <row r="1702" spans="1:16" x14ac:dyDescent="0.25">
      <c r="A1702">
        <v>2025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  <c r="M1702" t="str">
        <f t="shared" si="104"/>
        <v>30-45</v>
      </c>
      <c r="N1702" t="str">
        <f t="shared" si="105"/>
        <v>Medium</v>
      </c>
      <c r="O1702" t="str">
        <f t="shared" si="106"/>
        <v>Zero Balance</v>
      </c>
      <c r="P1702" t="str">
        <f t="shared" si="107"/>
        <v>Long-term</v>
      </c>
    </row>
    <row r="1703" spans="1:16" x14ac:dyDescent="0.25">
      <c r="A1703">
        <v>2025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  <c r="M1703" t="str">
        <f t="shared" si="104"/>
        <v>46-60</v>
      </c>
      <c r="N1703" t="str">
        <f t="shared" si="105"/>
        <v>High</v>
      </c>
      <c r="O1703" t="str">
        <f t="shared" si="106"/>
        <v>Zero Balance</v>
      </c>
      <c r="P1703" t="str">
        <f t="shared" si="107"/>
        <v>Long-term</v>
      </c>
    </row>
    <row r="1704" spans="1:16" x14ac:dyDescent="0.25">
      <c r="A1704">
        <v>2025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  <c r="M1704" t="str">
        <f t="shared" si="104"/>
        <v>&lt;30</v>
      </c>
      <c r="N1704" t="str">
        <f t="shared" si="105"/>
        <v>Medium</v>
      </c>
      <c r="O1704" t="str">
        <f t="shared" si="106"/>
        <v>Zero Balance</v>
      </c>
      <c r="P1704" t="str">
        <f t="shared" si="107"/>
        <v>Mid-term</v>
      </c>
    </row>
    <row r="1705" spans="1:16" x14ac:dyDescent="0.25">
      <c r="A1705">
        <v>2025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  <c r="M1705" t="str">
        <f t="shared" si="104"/>
        <v>30-45</v>
      </c>
      <c r="N1705" t="str">
        <f t="shared" si="105"/>
        <v>High</v>
      </c>
      <c r="O1705" t="str">
        <f t="shared" si="106"/>
        <v>Low Balance</v>
      </c>
      <c r="P1705" t="str">
        <f t="shared" si="107"/>
        <v>New</v>
      </c>
    </row>
    <row r="1706" spans="1:16" x14ac:dyDescent="0.25">
      <c r="A1706">
        <v>2025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  <c r="M1706" t="str">
        <f t="shared" si="104"/>
        <v>&lt;30</v>
      </c>
      <c r="N1706" t="str">
        <f t="shared" si="105"/>
        <v>Medium</v>
      </c>
      <c r="O1706" t="str">
        <f t="shared" si="106"/>
        <v>Low Balance</v>
      </c>
      <c r="P1706" t="str">
        <f t="shared" si="107"/>
        <v>Mid-term</v>
      </c>
    </row>
    <row r="1707" spans="1:16" x14ac:dyDescent="0.25">
      <c r="A1707">
        <v>2025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  <c r="M1707" t="str">
        <f t="shared" si="104"/>
        <v>30-45</v>
      </c>
      <c r="N1707" t="str">
        <f t="shared" si="105"/>
        <v>Low</v>
      </c>
      <c r="O1707" t="str">
        <f t="shared" si="106"/>
        <v>High Balance</v>
      </c>
      <c r="P1707" t="str">
        <f t="shared" si="107"/>
        <v>Mid-term</v>
      </c>
    </row>
    <row r="1708" spans="1:16" x14ac:dyDescent="0.25">
      <c r="A1708">
        <v>2025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  <c r="M1708" t="str">
        <f t="shared" si="104"/>
        <v>30-45</v>
      </c>
      <c r="N1708" t="str">
        <f t="shared" si="105"/>
        <v>High</v>
      </c>
      <c r="O1708" t="str">
        <f t="shared" si="106"/>
        <v>Zero Balance</v>
      </c>
      <c r="P1708" t="str">
        <f t="shared" si="107"/>
        <v>New</v>
      </c>
    </row>
    <row r="1709" spans="1:16" x14ac:dyDescent="0.25">
      <c r="A1709">
        <v>2025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  <c r="M1709" t="str">
        <f t="shared" si="104"/>
        <v>30-45</v>
      </c>
      <c r="N1709" t="str">
        <f t="shared" si="105"/>
        <v>High</v>
      </c>
      <c r="O1709" t="str">
        <f t="shared" si="106"/>
        <v>Zero Balance</v>
      </c>
      <c r="P1709" t="str">
        <f t="shared" si="107"/>
        <v>Mid-term</v>
      </c>
    </row>
    <row r="1710" spans="1:16" x14ac:dyDescent="0.25">
      <c r="A1710">
        <v>2025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  <c r="M1710" t="str">
        <f t="shared" si="104"/>
        <v>46-60</v>
      </c>
      <c r="N1710" t="str">
        <f t="shared" si="105"/>
        <v>Medium</v>
      </c>
      <c r="O1710" t="str">
        <f t="shared" si="106"/>
        <v>Zero Balance</v>
      </c>
      <c r="P1710" t="str">
        <f t="shared" si="107"/>
        <v>New</v>
      </c>
    </row>
    <row r="1711" spans="1:16" x14ac:dyDescent="0.25">
      <c r="A1711">
        <v>2025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  <c r="M1711" t="str">
        <f t="shared" si="104"/>
        <v>30-45</v>
      </c>
      <c r="N1711" t="str">
        <f t="shared" si="105"/>
        <v>High</v>
      </c>
      <c r="O1711" t="str">
        <f t="shared" si="106"/>
        <v>Zero Balance</v>
      </c>
      <c r="P1711" t="str">
        <f t="shared" si="107"/>
        <v>New</v>
      </c>
    </row>
    <row r="1712" spans="1:16" x14ac:dyDescent="0.25">
      <c r="A1712">
        <v>2025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  <c r="M1712" t="str">
        <f t="shared" si="104"/>
        <v>&lt;30</v>
      </c>
      <c r="N1712" t="str">
        <f t="shared" si="105"/>
        <v>High</v>
      </c>
      <c r="O1712" t="str">
        <f t="shared" si="106"/>
        <v>High Balance</v>
      </c>
      <c r="P1712" t="str">
        <f t="shared" si="107"/>
        <v>Long-term</v>
      </c>
    </row>
    <row r="1713" spans="1:16" x14ac:dyDescent="0.25">
      <c r="A1713">
        <v>2025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  <c r="M1713" t="str">
        <f t="shared" si="104"/>
        <v>30-45</v>
      </c>
      <c r="N1713" t="str">
        <f t="shared" si="105"/>
        <v>High</v>
      </c>
      <c r="O1713" t="str">
        <f t="shared" si="106"/>
        <v>High Balance</v>
      </c>
      <c r="P1713" t="str">
        <f t="shared" si="107"/>
        <v>Mid-term</v>
      </c>
    </row>
    <row r="1714" spans="1:16" x14ac:dyDescent="0.25">
      <c r="A1714">
        <v>2025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  <c r="M1714" t="str">
        <f t="shared" si="104"/>
        <v>46-60</v>
      </c>
      <c r="N1714" t="str">
        <f t="shared" si="105"/>
        <v>High</v>
      </c>
      <c r="O1714" t="str">
        <f t="shared" si="106"/>
        <v>High Balance</v>
      </c>
      <c r="P1714" t="str">
        <f t="shared" si="107"/>
        <v>New</v>
      </c>
    </row>
    <row r="1715" spans="1:16" x14ac:dyDescent="0.25">
      <c r="A1715">
        <v>2025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  <c r="M1715" t="str">
        <f t="shared" si="104"/>
        <v>30-45</v>
      </c>
      <c r="N1715" t="str">
        <f t="shared" si="105"/>
        <v>Medium</v>
      </c>
      <c r="O1715" t="str">
        <f t="shared" si="106"/>
        <v>High Balance</v>
      </c>
      <c r="P1715" t="str">
        <f t="shared" si="107"/>
        <v>Long-term</v>
      </c>
    </row>
    <row r="1716" spans="1:16" x14ac:dyDescent="0.25">
      <c r="A1716">
        <v>2025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  <c r="M1716" t="str">
        <f t="shared" si="104"/>
        <v>30-45</v>
      </c>
      <c r="N1716" t="str">
        <f t="shared" si="105"/>
        <v>High</v>
      </c>
      <c r="O1716" t="str">
        <f t="shared" si="106"/>
        <v>High Balance</v>
      </c>
      <c r="P1716" t="str">
        <f t="shared" si="107"/>
        <v>Mid-term</v>
      </c>
    </row>
    <row r="1717" spans="1:16" x14ac:dyDescent="0.25">
      <c r="A1717">
        <v>2025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  <c r="M1717" t="str">
        <f t="shared" si="104"/>
        <v>30-45</v>
      </c>
      <c r="N1717" t="str">
        <f t="shared" si="105"/>
        <v>Medium</v>
      </c>
      <c r="O1717" t="str">
        <f t="shared" si="106"/>
        <v>High Balance</v>
      </c>
      <c r="P1717" t="str">
        <f t="shared" si="107"/>
        <v>Long-term</v>
      </c>
    </row>
    <row r="1718" spans="1:16" x14ac:dyDescent="0.25">
      <c r="A1718">
        <v>2025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  <c r="M1718" t="str">
        <f t="shared" si="104"/>
        <v>30-45</v>
      </c>
      <c r="N1718" t="str">
        <f t="shared" si="105"/>
        <v>High</v>
      </c>
      <c r="O1718" t="str">
        <f t="shared" si="106"/>
        <v>Zero Balance</v>
      </c>
      <c r="P1718" t="str">
        <f t="shared" si="107"/>
        <v>Long-term</v>
      </c>
    </row>
    <row r="1719" spans="1:16" x14ac:dyDescent="0.25">
      <c r="A1719">
        <v>2025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  <c r="M1719" t="str">
        <f t="shared" si="104"/>
        <v>30-45</v>
      </c>
      <c r="N1719" t="str">
        <f t="shared" si="105"/>
        <v>High</v>
      </c>
      <c r="O1719" t="str">
        <f t="shared" si="106"/>
        <v>Low Balance</v>
      </c>
      <c r="P1719" t="str">
        <f t="shared" si="107"/>
        <v>New</v>
      </c>
    </row>
    <row r="1720" spans="1:16" x14ac:dyDescent="0.25">
      <c r="A1720">
        <v>2025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  <c r="M1720" t="str">
        <f t="shared" si="104"/>
        <v>30-45</v>
      </c>
      <c r="N1720" t="str">
        <f t="shared" si="105"/>
        <v>Medium</v>
      </c>
      <c r="O1720" t="str">
        <f t="shared" si="106"/>
        <v>Zero Balance</v>
      </c>
      <c r="P1720" t="str">
        <f t="shared" si="107"/>
        <v>Long-term</v>
      </c>
    </row>
    <row r="1721" spans="1:16" x14ac:dyDescent="0.25">
      <c r="A1721">
        <v>2025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  <c r="M1721" t="str">
        <f t="shared" si="104"/>
        <v>46-60</v>
      </c>
      <c r="N1721" t="str">
        <f t="shared" si="105"/>
        <v>High</v>
      </c>
      <c r="O1721" t="str">
        <f t="shared" si="106"/>
        <v>Zero Balance</v>
      </c>
      <c r="P1721" t="str">
        <f t="shared" si="107"/>
        <v>New</v>
      </c>
    </row>
    <row r="1722" spans="1:16" x14ac:dyDescent="0.25">
      <c r="A1722">
        <v>2025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  <c r="M1722" t="str">
        <f t="shared" si="104"/>
        <v>30-45</v>
      </c>
      <c r="N1722" t="str">
        <f t="shared" si="105"/>
        <v>High</v>
      </c>
      <c r="O1722" t="str">
        <f t="shared" si="106"/>
        <v>High Balance</v>
      </c>
      <c r="P1722" t="str">
        <f t="shared" si="107"/>
        <v>New</v>
      </c>
    </row>
    <row r="1723" spans="1:16" x14ac:dyDescent="0.25">
      <c r="A1723">
        <v>2025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  <c r="M1723" t="str">
        <f t="shared" si="104"/>
        <v>30-45</v>
      </c>
      <c r="N1723" t="str">
        <f t="shared" si="105"/>
        <v>Medium</v>
      </c>
      <c r="O1723" t="str">
        <f t="shared" si="106"/>
        <v>Zero Balance</v>
      </c>
      <c r="P1723" t="str">
        <f t="shared" si="107"/>
        <v>Mid-term</v>
      </c>
    </row>
    <row r="1724" spans="1:16" x14ac:dyDescent="0.25">
      <c r="A1724">
        <v>2025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  <c r="M1724" t="str">
        <f t="shared" si="104"/>
        <v>30-45</v>
      </c>
      <c r="N1724" t="str">
        <f t="shared" si="105"/>
        <v>Medium</v>
      </c>
      <c r="O1724" t="str">
        <f t="shared" si="106"/>
        <v>High Balance</v>
      </c>
      <c r="P1724" t="str">
        <f t="shared" si="107"/>
        <v>Mid-term</v>
      </c>
    </row>
    <row r="1725" spans="1:16" x14ac:dyDescent="0.25">
      <c r="A1725">
        <v>2025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  <c r="M1725" t="str">
        <f t="shared" si="104"/>
        <v>30-45</v>
      </c>
      <c r="N1725" t="str">
        <f t="shared" si="105"/>
        <v>Medium</v>
      </c>
      <c r="O1725" t="str">
        <f t="shared" si="106"/>
        <v>Zero Balance</v>
      </c>
      <c r="P1725" t="str">
        <f t="shared" si="107"/>
        <v>Mid-term</v>
      </c>
    </row>
    <row r="1726" spans="1:16" x14ac:dyDescent="0.25">
      <c r="A1726">
        <v>2025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  <c r="M1726" t="str">
        <f t="shared" si="104"/>
        <v>&lt;30</v>
      </c>
      <c r="N1726" t="str">
        <f t="shared" si="105"/>
        <v>Medium</v>
      </c>
      <c r="O1726" t="str">
        <f t="shared" si="106"/>
        <v>High Balance</v>
      </c>
      <c r="P1726" t="str">
        <f t="shared" si="107"/>
        <v>Mid-term</v>
      </c>
    </row>
    <row r="1727" spans="1:16" x14ac:dyDescent="0.25">
      <c r="A1727">
        <v>2025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  <c r="M1727" t="str">
        <f t="shared" si="104"/>
        <v>30-45</v>
      </c>
      <c r="N1727" t="str">
        <f t="shared" si="105"/>
        <v>Medium</v>
      </c>
      <c r="O1727" t="str">
        <f t="shared" si="106"/>
        <v>High Balance</v>
      </c>
      <c r="P1727" t="str">
        <f t="shared" si="107"/>
        <v>New</v>
      </c>
    </row>
    <row r="1728" spans="1:16" x14ac:dyDescent="0.25">
      <c r="A1728">
        <v>2025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  <c r="M1728" t="str">
        <f t="shared" si="104"/>
        <v>30-45</v>
      </c>
      <c r="N1728" t="str">
        <f t="shared" si="105"/>
        <v>High</v>
      </c>
      <c r="O1728" t="str">
        <f t="shared" si="106"/>
        <v>High Balance</v>
      </c>
      <c r="P1728" t="str">
        <f t="shared" si="107"/>
        <v>Mid-term</v>
      </c>
    </row>
    <row r="1729" spans="1:16" x14ac:dyDescent="0.25">
      <c r="A1729">
        <v>2025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  <c r="M1729" t="str">
        <f t="shared" si="104"/>
        <v>30-45</v>
      </c>
      <c r="N1729" t="str">
        <f t="shared" si="105"/>
        <v>Medium</v>
      </c>
      <c r="O1729" t="str">
        <f t="shared" si="106"/>
        <v>Zero Balance</v>
      </c>
      <c r="P1729" t="str">
        <f t="shared" si="107"/>
        <v>Mid-term</v>
      </c>
    </row>
    <row r="1730" spans="1:16" x14ac:dyDescent="0.25">
      <c r="A1730">
        <v>2025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  <c r="M1730" t="str">
        <f t="shared" si="104"/>
        <v>30-45</v>
      </c>
      <c r="N1730" t="str">
        <f t="shared" si="105"/>
        <v>High</v>
      </c>
      <c r="O1730" t="str">
        <f t="shared" si="106"/>
        <v>Low Balance</v>
      </c>
      <c r="P1730" t="str">
        <f t="shared" si="107"/>
        <v>Mid-term</v>
      </c>
    </row>
    <row r="1731" spans="1:16" x14ac:dyDescent="0.25">
      <c r="A1731">
        <v>2025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  <c r="M1731" t="str">
        <f t="shared" ref="M1731:M1794" si="108">IF(E1731&lt;30,"&lt;30",IF(E1731&lt;=45,"30-45",IF(E1731&lt;=60,"46-60","60+")))</f>
        <v>30-45</v>
      </c>
      <c r="N1731" t="str">
        <f t="shared" ref="N1731:N1794" si="109">IF(B1731&lt;500,"Low",IF(B1731&lt;700,"Medium","High"))</f>
        <v>Medium</v>
      </c>
      <c r="O1731" t="str">
        <f t="shared" ref="O1731:O1794" si="110">IF(G1731=0,"Zero Balance",IF(G1731&lt;100000,"Low Balance","High Balance"))</f>
        <v>High Balance</v>
      </c>
      <c r="P1731" t="str">
        <f t="shared" ref="P1731:P1794" si="111">IF(F1731&lt;=3,"New",IF(F1731&lt;=7,"Mid-term","Long-term"))</f>
        <v>New</v>
      </c>
    </row>
    <row r="1732" spans="1:16" x14ac:dyDescent="0.25">
      <c r="A1732">
        <v>2025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  <c r="M1732" t="str">
        <f t="shared" si="108"/>
        <v>&lt;30</v>
      </c>
      <c r="N1732" t="str">
        <f t="shared" si="109"/>
        <v>High</v>
      </c>
      <c r="O1732" t="str">
        <f t="shared" si="110"/>
        <v>Zero Balance</v>
      </c>
      <c r="P1732" t="str">
        <f t="shared" si="111"/>
        <v>Mid-term</v>
      </c>
    </row>
    <row r="1733" spans="1:16" x14ac:dyDescent="0.25">
      <c r="A1733">
        <v>2025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  <c r="M1733" t="str">
        <f t="shared" si="108"/>
        <v>30-45</v>
      </c>
      <c r="N1733" t="str">
        <f t="shared" si="109"/>
        <v>Medium</v>
      </c>
      <c r="O1733" t="str">
        <f t="shared" si="110"/>
        <v>Zero Balance</v>
      </c>
      <c r="P1733" t="str">
        <f t="shared" si="111"/>
        <v>Mid-term</v>
      </c>
    </row>
    <row r="1734" spans="1:16" x14ac:dyDescent="0.25">
      <c r="A1734">
        <v>2025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  <c r="M1734" t="str">
        <f t="shared" si="108"/>
        <v>46-60</v>
      </c>
      <c r="N1734" t="str">
        <f t="shared" si="109"/>
        <v>High</v>
      </c>
      <c r="O1734" t="str">
        <f t="shared" si="110"/>
        <v>High Balance</v>
      </c>
      <c r="P1734" t="str">
        <f t="shared" si="111"/>
        <v>Mid-term</v>
      </c>
    </row>
    <row r="1735" spans="1:16" x14ac:dyDescent="0.25">
      <c r="A1735">
        <v>2025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  <c r="M1735" t="str">
        <f t="shared" si="108"/>
        <v>30-45</v>
      </c>
      <c r="N1735" t="str">
        <f t="shared" si="109"/>
        <v>Medium</v>
      </c>
      <c r="O1735" t="str">
        <f t="shared" si="110"/>
        <v>Low Balance</v>
      </c>
      <c r="P1735" t="str">
        <f t="shared" si="111"/>
        <v>Mid-term</v>
      </c>
    </row>
    <row r="1736" spans="1:16" x14ac:dyDescent="0.25">
      <c r="A1736">
        <v>2025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  <c r="M1736" t="str">
        <f t="shared" si="108"/>
        <v>&lt;30</v>
      </c>
      <c r="N1736" t="str">
        <f t="shared" si="109"/>
        <v>Medium</v>
      </c>
      <c r="O1736" t="str">
        <f t="shared" si="110"/>
        <v>High Balance</v>
      </c>
      <c r="P1736" t="str">
        <f t="shared" si="111"/>
        <v>New</v>
      </c>
    </row>
    <row r="1737" spans="1:16" x14ac:dyDescent="0.25">
      <c r="A1737">
        <v>2025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  <c r="M1737" t="str">
        <f t="shared" si="108"/>
        <v>30-45</v>
      </c>
      <c r="N1737" t="str">
        <f t="shared" si="109"/>
        <v>Medium</v>
      </c>
      <c r="O1737" t="str">
        <f t="shared" si="110"/>
        <v>High Balance</v>
      </c>
      <c r="P1737" t="str">
        <f t="shared" si="111"/>
        <v>Long-term</v>
      </c>
    </row>
    <row r="1738" spans="1:16" x14ac:dyDescent="0.25">
      <c r="A1738">
        <v>2025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  <c r="M1738" t="str">
        <f t="shared" si="108"/>
        <v>&lt;30</v>
      </c>
      <c r="N1738" t="str">
        <f t="shared" si="109"/>
        <v>Medium</v>
      </c>
      <c r="O1738" t="str">
        <f t="shared" si="110"/>
        <v>High Balance</v>
      </c>
      <c r="P1738" t="str">
        <f t="shared" si="111"/>
        <v>New</v>
      </c>
    </row>
    <row r="1739" spans="1:16" x14ac:dyDescent="0.25">
      <c r="A1739">
        <v>2025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  <c r="M1739" t="str">
        <f t="shared" si="108"/>
        <v>30-45</v>
      </c>
      <c r="N1739" t="str">
        <f t="shared" si="109"/>
        <v>High</v>
      </c>
      <c r="O1739" t="str">
        <f t="shared" si="110"/>
        <v>Zero Balance</v>
      </c>
      <c r="P1739" t="str">
        <f t="shared" si="111"/>
        <v>Long-term</v>
      </c>
    </row>
    <row r="1740" spans="1:16" x14ac:dyDescent="0.25">
      <c r="A1740">
        <v>2025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  <c r="M1740" t="str">
        <f t="shared" si="108"/>
        <v>30-45</v>
      </c>
      <c r="N1740" t="str">
        <f t="shared" si="109"/>
        <v>High</v>
      </c>
      <c r="O1740" t="str">
        <f t="shared" si="110"/>
        <v>High Balance</v>
      </c>
      <c r="P1740" t="str">
        <f t="shared" si="111"/>
        <v>Long-term</v>
      </c>
    </row>
    <row r="1741" spans="1:16" x14ac:dyDescent="0.25">
      <c r="A1741">
        <v>2025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  <c r="M1741" t="str">
        <f t="shared" si="108"/>
        <v>&lt;30</v>
      </c>
      <c r="N1741" t="str">
        <f t="shared" si="109"/>
        <v>High</v>
      </c>
      <c r="O1741" t="str">
        <f t="shared" si="110"/>
        <v>High Balance</v>
      </c>
      <c r="P1741" t="str">
        <f t="shared" si="111"/>
        <v>Mid-term</v>
      </c>
    </row>
    <row r="1742" spans="1:16" x14ac:dyDescent="0.25">
      <c r="A1742">
        <v>2025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  <c r="M1742" t="str">
        <f t="shared" si="108"/>
        <v>30-45</v>
      </c>
      <c r="N1742" t="str">
        <f t="shared" si="109"/>
        <v>Medium</v>
      </c>
      <c r="O1742" t="str">
        <f t="shared" si="110"/>
        <v>High Balance</v>
      </c>
      <c r="P1742" t="str">
        <f t="shared" si="111"/>
        <v>Mid-term</v>
      </c>
    </row>
    <row r="1743" spans="1:16" x14ac:dyDescent="0.25">
      <c r="A1743">
        <v>2025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  <c r="M1743" t="str">
        <f t="shared" si="108"/>
        <v>&lt;30</v>
      </c>
      <c r="N1743" t="str">
        <f t="shared" si="109"/>
        <v>High</v>
      </c>
      <c r="O1743" t="str">
        <f t="shared" si="110"/>
        <v>Zero Balance</v>
      </c>
      <c r="P1743" t="str">
        <f t="shared" si="111"/>
        <v>Mid-term</v>
      </c>
    </row>
    <row r="1744" spans="1:16" x14ac:dyDescent="0.25">
      <c r="A1744">
        <v>2025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  <c r="M1744" t="str">
        <f t="shared" si="108"/>
        <v>46-60</v>
      </c>
      <c r="N1744" t="str">
        <f t="shared" si="109"/>
        <v>Medium</v>
      </c>
      <c r="O1744" t="str">
        <f t="shared" si="110"/>
        <v>Low Balance</v>
      </c>
      <c r="P1744" t="str">
        <f t="shared" si="111"/>
        <v>New</v>
      </c>
    </row>
    <row r="1745" spans="1:16" x14ac:dyDescent="0.25">
      <c r="A1745">
        <v>2025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  <c r="M1745" t="str">
        <f t="shared" si="108"/>
        <v>30-45</v>
      </c>
      <c r="N1745" t="str">
        <f t="shared" si="109"/>
        <v>Low</v>
      </c>
      <c r="O1745" t="str">
        <f t="shared" si="110"/>
        <v>Zero Balance</v>
      </c>
      <c r="P1745" t="str">
        <f t="shared" si="111"/>
        <v>Mid-term</v>
      </c>
    </row>
    <row r="1746" spans="1:16" x14ac:dyDescent="0.25">
      <c r="A1746">
        <v>2025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  <c r="M1746" t="str">
        <f t="shared" si="108"/>
        <v>30-45</v>
      </c>
      <c r="N1746" t="str">
        <f t="shared" si="109"/>
        <v>High</v>
      </c>
      <c r="O1746" t="str">
        <f t="shared" si="110"/>
        <v>Low Balance</v>
      </c>
      <c r="P1746" t="str">
        <f t="shared" si="111"/>
        <v>Mid-term</v>
      </c>
    </row>
    <row r="1747" spans="1:16" x14ac:dyDescent="0.25">
      <c r="A1747">
        <v>2025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  <c r="M1747" t="str">
        <f t="shared" si="108"/>
        <v>30-45</v>
      </c>
      <c r="N1747" t="str">
        <f t="shared" si="109"/>
        <v>Medium</v>
      </c>
      <c r="O1747" t="str">
        <f t="shared" si="110"/>
        <v>High Balance</v>
      </c>
      <c r="P1747" t="str">
        <f t="shared" si="111"/>
        <v>New</v>
      </c>
    </row>
    <row r="1748" spans="1:16" x14ac:dyDescent="0.25">
      <c r="A1748">
        <v>2025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  <c r="M1748" t="str">
        <f t="shared" si="108"/>
        <v>46-60</v>
      </c>
      <c r="N1748" t="str">
        <f t="shared" si="109"/>
        <v>Medium</v>
      </c>
      <c r="O1748" t="str">
        <f t="shared" si="110"/>
        <v>Zero Balance</v>
      </c>
      <c r="P1748" t="str">
        <f t="shared" si="111"/>
        <v>New</v>
      </c>
    </row>
    <row r="1749" spans="1:16" x14ac:dyDescent="0.25">
      <c r="A1749">
        <v>2025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  <c r="M1749" t="str">
        <f t="shared" si="108"/>
        <v>30-45</v>
      </c>
      <c r="N1749" t="str">
        <f t="shared" si="109"/>
        <v>Medium</v>
      </c>
      <c r="O1749" t="str">
        <f t="shared" si="110"/>
        <v>Low Balance</v>
      </c>
      <c r="P1749" t="str">
        <f t="shared" si="111"/>
        <v>Long-term</v>
      </c>
    </row>
    <row r="1750" spans="1:16" x14ac:dyDescent="0.25">
      <c r="A1750">
        <v>2025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  <c r="M1750" t="str">
        <f t="shared" si="108"/>
        <v>30-45</v>
      </c>
      <c r="N1750" t="str">
        <f t="shared" si="109"/>
        <v>Medium</v>
      </c>
      <c r="O1750" t="str">
        <f t="shared" si="110"/>
        <v>High Balance</v>
      </c>
      <c r="P1750" t="str">
        <f t="shared" si="111"/>
        <v>New</v>
      </c>
    </row>
    <row r="1751" spans="1:16" x14ac:dyDescent="0.25">
      <c r="A1751">
        <v>2025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  <c r="M1751" t="str">
        <f t="shared" si="108"/>
        <v>30-45</v>
      </c>
      <c r="N1751" t="str">
        <f t="shared" si="109"/>
        <v>Medium</v>
      </c>
      <c r="O1751" t="str">
        <f t="shared" si="110"/>
        <v>High Balance</v>
      </c>
      <c r="P1751" t="str">
        <f t="shared" si="111"/>
        <v>Long-term</v>
      </c>
    </row>
    <row r="1752" spans="1:16" x14ac:dyDescent="0.25">
      <c r="A1752">
        <v>2025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  <c r="M1752" t="str">
        <f t="shared" si="108"/>
        <v>30-45</v>
      </c>
      <c r="N1752" t="str">
        <f t="shared" si="109"/>
        <v>Medium</v>
      </c>
      <c r="O1752" t="str">
        <f t="shared" si="110"/>
        <v>High Balance</v>
      </c>
      <c r="P1752" t="str">
        <f t="shared" si="111"/>
        <v>Mid-term</v>
      </c>
    </row>
    <row r="1753" spans="1:16" x14ac:dyDescent="0.25">
      <c r="A1753">
        <v>2025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  <c r="M1753" t="str">
        <f t="shared" si="108"/>
        <v>&lt;30</v>
      </c>
      <c r="N1753" t="str">
        <f t="shared" si="109"/>
        <v>Medium</v>
      </c>
      <c r="O1753" t="str">
        <f t="shared" si="110"/>
        <v>High Balance</v>
      </c>
      <c r="P1753" t="str">
        <f t="shared" si="111"/>
        <v>Mid-term</v>
      </c>
    </row>
    <row r="1754" spans="1:16" x14ac:dyDescent="0.25">
      <c r="A1754">
        <v>2025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  <c r="M1754" t="str">
        <f t="shared" si="108"/>
        <v>30-45</v>
      </c>
      <c r="N1754" t="str">
        <f t="shared" si="109"/>
        <v>High</v>
      </c>
      <c r="O1754" t="str">
        <f t="shared" si="110"/>
        <v>Low Balance</v>
      </c>
      <c r="P1754" t="str">
        <f t="shared" si="111"/>
        <v>New</v>
      </c>
    </row>
    <row r="1755" spans="1:16" x14ac:dyDescent="0.25">
      <c r="A1755">
        <v>2025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  <c r="M1755" t="str">
        <f t="shared" si="108"/>
        <v>&lt;30</v>
      </c>
      <c r="N1755" t="str">
        <f t="shared" si="109"/>
        <v>Medium</v>
      </c>
      <c r="O1755" t="str">
        <f t="shared" si="110"/>
        <v>High Balance</v>
      </c>
      <c r="P1755" t="str">
        <f t="shared" si="111"/>
        <v>Long-term</v>
      </c>
    </row>
    <row r="1756" spans="1:16" x14ac:dyDescent="0.25">
      <c r="A1756">
        <v>2025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  <c r="M1756" t="str">
        <f t="shared" si="108"/>
        <v>30-45</v>
      </c>
      <c r="N1756" t="str">
        <f t="shared" si="109"/>
        <v>High</v>
      </c>
      <c r="O1756" t="str">
        <f t="shared" si="110"/>
        <v>High Balance</v>
      </c>
      <c r="P1756" t="str">
        <f t="shared" si="111"/>
        <v>Mid-term</v>
      </c>
    </row>
    <row r="1757" spans="1:16" x14ac:dyDescent="0.25">
      <c r="A1757">
        <v>2025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  <c r="M1757" t="str">
        <f t="shared" si="108"/>
        <v>46-60</v>
      </c>
      <c r="N1757" t="str">
        <f t="shared" si="109"/>
        <v>Medium</v>
      </c>
      <c r="O1757" t="str">
        <f t="shared" si="110"/>
        <v>Zero Balance</v>
      </c>
      <c r="P1757" t="str">
        <f t="shared" si="111"/>
        <v>Mid-term</v>
      </c>
    </row>
    <row r="1758" spans="1:16" x14ac:dyDescent="0.25">
      <c r="A1758">
        <v>2025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  <c r="M1758" t="str">
        <f t="shared" si="108"/>
        <v>30-45</v>
      </c>
      <c r="N1758" t="str">
        <f t="shared" si="109"/>
        <v>Medium</v>
      </c>
      <c r="O1758" t="str">
        <f t="shared" si="110"/>
        <v>High Balance</v>
      </c>
      <c r="P1758" t="str">
        <f t="shared" si="111"/>
        <v>New</v>
      </c>
    </row>
    <row r="1759" spans="1:16" x14ac:dyDescent="0.25">
      <c r="A1759">
        <v>2025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  <c r="M1759" t="str">
        <f t="shared" si="108"/>
        <v>30-45</v>
      </c>
      <c r="N1759" t="str">
        <f t="shared" si="109"/>
        <v>Medium</v>
      </c>
      <c r="O1759" t="str">
        <f t="shared" si="110"/>
        <v>High Balance</v>
      </c>
      <c r="P1759" t="str">
        <f t="shared" si="111"/>
        <v>New</v>
      </c>
    </row>
    <row r="1760" spans="1:16" x14ac:dyDescent="0.25">
      <c r="A1760">
        <v>2025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  <c r="M1760" t="str">
        <f t="shared" si="108"/>
        <v>30-45</v>
      </c>
      <c r="N1760" t="str">
        <f t="shared" si="109"/>
        <v>Medium</v>
      </c>
      <c r="O1760" t="str">
        <f t="shared" si="110"/>
        <v>High Balance</v>
      </c>
      <c r="P1760" t="str">
        <f t="shared" si="111"/>
        <v>Mid-term</v>
      </c>
    </row>
    <row r="1761" spans="1:16" x14ac:dyDescent="0.25">
      <c r="A1761">
        <v>2025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  <c r="M1761" t="str">
        <f t="shared" si="108"/>
        <v>30-45</v>
      </c>
      <c r="N1761" t="str">
        <f t="shared" si="109"/>
        <v>Medium</v>
      </c>
      <c r="O1761" t="str">
        <f t="shared" si="110"/>
        <v>Zero Balance</v>
      </c>
      <c r="P1761" t="str">
        <f t="shared" si="111"/>
        <v>Long-term</v>
      </c>
    </row>
    <row r="1762" spans="1:16" x14ac:dyDescent="0.25">
      <c r="A1762">
        <v>2025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  <c r="M1762" t="str">
        <f t="shared" si="108"/>
        <v>30-45</v>
      </c>
      <c r="N1762" t="str">
        <f t="shared" si="109"/>
        <v>Medium</v>
      </c>
      <c r="O1762" t="str">
        <f t="shared" si="110"/>
        <v>High Balance</v>
      </c>
      <c r="P1762" t="str">
        <f t="shared" si="111"/>
        <v>Mid-term</v>
      </c>
    </row>
    <row r="1763" spans="1:16" x14ac:dyDescent="0.25">
      <c r="A1763">
        <v>2025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  <c r="M1763" t="str">
        <f t="shared" si="108"/>
        <v>30-45</v>
      </c>
      <c r="N1763" t="str">
        <f t="shared" si="109"/>
        <v>Medium</v>
      </c>
      <c r="O1763" t="str">
        <f t="shared" si="110"/>
        <v>High Balance</v>
      </c>
      <c r="P1763" t="str">
        <f t="shared" si="111"/>
        <v>Mid-term</v>
      </c>
    </row>
    <row r="1764" spans="1:16" x14ac:dyDescent="0.25">
      <c r="A1764">
        <v>2025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  <c r="M1764" t="str">
        <f t="shared" si="108"/>
        <v>30-45</v>
      </c>
      <c r="N1764" t="str">
        <f t="shared" si="109"/>
        <v>High</v>
      </c>
      <c r="O1764" t="str">
        <f t="shared" si="110"/>
        <v>High Balance</v>
      </c>
      <c r="P1764" t="str">
        <f t="shared" si="111"/>
        <v>New</v>
      </c>
    </row>
    <row r="1765" spans="1:16" x14ac:dyDescent="0.25">
      <c r="A1765">
        <v>2025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  <c r="M1765" t="str">
        <f t="shared" si="108"/>
        <v>30-45</v>
      </c>
      <c r="N1765" t="str">
        <f t="shared" si="109"/>
        <v>High</v>
      </c>
      <c r="O1765" t="str">
        <f t="shared" si="110"/>
        <v>Low Balance</v>
      </c>
      <c r="P1765" t="str">
        <f t="shared" si="111"/>
        <v>Mid-term</v>
      </c>
    </row>
    <row r="1766" spans="1:16" x14ac:dyDescent="0.25">
      <c r="A1766">
        <v>2025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  <c r="M1766" t="str">
        <f t="shared" si="108"/>
        <v>30-45</v>
      </c>
      <c r="N1766" t="str">
        <f t="shared" si="109"/>
        <v>Medium</v>
      </c>
      <c r="O1766" t="str">
        <f t="shared" si="110"/>
        <v>Zero Balance</v>
      </c>
      <c r="P1766" t="str">
        <f t="shared" si="111"/>
        <v>New</v>
      </c>
    </row>
    <row r="1767" spans="1:16" x14ac:dyDescent="0.25">
      <c r="A1767">
        <v>2025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  <c r="M1767" t="str">
        <f t="shared" si="108"/>
        <v>30-45</v>
      </c>
      <c r="N1767" t="str">
        <f t="shared" si="109"/>
        <v>High</v>
      </c>
      <c r="O1767" t="str">
        <f t="shared" si="110"/>
        <v>High Balance</v>
      </c>
      <c r="P1767" t="str">
        <f t="shared" si="111"/>
        <v>Mid-term</v>
      </c>
    </row>
    <row r="1768" spans="1:16" x14ac:dyDescent="0.25">
      <c r="A1768">
        <v>2025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  <c r="M1768" t="str">
        <f t="shared" si="108"/>
        <v>30-45</v>
      </c>
      <c r="N1768" t="str">
        <f t="shared" si="109"/>
        <v>Medium</v>
      </c>
      <c r="O1768" t="str">
        <f t="shared" si="110"/>
        <v>Zero Balance</v>
      </c>
      <c r="P1768" t="str">
        <f t="shared" si="111"/>
        <v>New</v>
      </c>
    </row>
    <row r="1769" spans="1:16" x14ac:dyDescent="0.25">
      <c r="A1769">
        <v>2025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  <c r="M1769" t="str">
        <f t="shared" si="108"/>
        <v>46-60</v>
      </c>
      <c r="N1769" t="str">
        <f t="shared" si="109"/>
        <v>High</v>
      </c>
      <c r="O1769" t="str">
        <f t="shared" si="110"/>
        <v>Zero Balance</v>
      </c>
      <c r="P1769" t="str">
        <f t="shared" si="111"/>
        <v>Mid-term</v>
      </c>
    </row>
    <row r="1770" spans="1:16" x14ac:dyDescent="0.25">
      <c r="A1770">
        <v>2025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  <c r="M1770" t="str">
        <f t="shared" si="108"/>
        <v>&lt;30</v>
      </c>
      <c r="N1770" t="str">
        <f t="shared" si="109"/>
        <v>High</v>
      </c>
      <c r="O1770" t="str">
        <f t="shared" si="110"/>
        <v>High Balance</v>
      </c>
      <c r="P1770" t="str">
        <f t="shared" si="111"/>
        <v>New</v>
      </c>
    </row>
    <row r="1771" spans="1:16" x14ac:dyDescent="0.25">
      <c r="A1771">
        <v>2025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  <c r="M1771" t="str">
        <f t="shared" si="108"/>
        <v>30-45</v>
      </c>
      <c r="N1771" t="str">
        <f t="shared" si="109"/>
        <v>Medium</v>
      </c>
      <c r="O1771" t="str">
        <f t="shared" si="110"/>
        <v>Low Balance</v>
      </c>
      <c r="P1771" t="str">
        <f t="shared" si="111"/>
        <v>New</v>
      </c>
    </row>
    <row r="1772" spans="1:16" x14ac:dyDescent="0.25">
      <c r="A1772">
        <v>2025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  <c r="M1772" t="str">
        <f t="shared" si="108"/>
        <v>30-45</v>
      </c>
      <c r="N1772" t="str">
        <f t="shared" si="109"/>
        <v>High</v>
      </c>
      <c r="O1772" t="str">
        <f t="shared" si="110"/>
        <v>High Balance</v>
      </c>
      <c r="P1772" t="str">
        <f t="shared" si="111"/>
        <v>Mid-term</v>
      </c>
    </row>
    <row r="1773" spans="1:16" x14ac:dyDescent="0.25">
      <c r="A1773">
        <v>2025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  <c r="M1773" t="str">
        <f t="shared" si="108"/>
        <v>30-45</v>
      </c>
      <c r="N1773" t="str">
        <f t="shared" si="109"/>
        <v>Medium</v>
      </c>
      <c r="O1773" t="str">
        <f t="shared" si="110"/>
        <v>High Balance</v>
      </c>
      <c r="P1773" t="str">
        <f t="shared" si="111"/>
        <v>New</v>
      </c>
    </row>
    <row r="1774" spans="1:16" x14ac:dyDescent="0.25">
      <c r="A1774">
        <v>2025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  <c r="M1774" t="str">
        <f t="shared" si="108"/>
        <v>&lt;30</v>
      </c>
      <c r="N1774" t="str">
        <f t="shared" si="109"/>
        <v>Medium</v>
      </c>
      <c r="O1774" t="str">
        <f t="shared" si="110"/>
        <v>High Balance</v>
      </c>
      <c r="P1774" t="str">
        <f t="shared" si="111"/>
        <v>Mid-term</v>
      </c>
    </row>
    <row r="1775" spans="1:16" x14ac:dyDescent="0.25">
      <c r="A1775">
        <v>2025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  <c r="M1775" t="str">
        <f t="shared" si="108"/>
        <v>30-45</v>
      </c>
      <c r="N1775" t="str">
        <f t="shared" si="109"/>
        <v>Medium</v>
      </c>
      <c r="O1775" t="str">
        <f t="shared" si="110"/>
        <v>High Balance</v>
      </c>
      <c r="P1775" t="str">
        <f t="shared" si="111"/>
        <v>New</v>
      </c>
    </row>
    <row r="1776" spans="1:16" x14ac:dyDescent="0.25">
      <c r="A1776">
        <v>2025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  <c r="M1776" t="str">
        <f t="shared" si="108"/>
        <v>&lt;30</v>
      </c>
      <c r="N1776" t="str">
        <f t="shared" si="109"/>
        <v>Low</v>
      </c>
      <c r="O1776" t="str">
        <f t="shared" si="110"/>
        <v>High Balance</v>
      </c>
      <c r="P1776" t="str">
        <f t="shared" si="111"/>
        <v>Mid-term</v>
      </c>
    </row>
    <row r="1777" spans="1:16" x14ac:dyDescent="0.25">
      <c r="A1777">
        <v>2025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  <c r="M1777" t="str">
        <f t="shared" si="108"/>
        <v>30-45</v>
      </c>
      <c r="N1777" t="str">
        <f t="shared" si="109"/>
        <v>Medium</v>
      </c>
      <c r="O1777" t="str">
        <f t="shared" si="110"/>
        <v>High Balance</v>
      </c>
      <c r="P1777" t="str">
        <f t="shared" si="111"/>
        <v>Long-term</v>
      </c>
    </row>
    <row r="1778" spans="1:16" x14ac:dyDescent="0.25">
      <c r="A1778">
        <v>2025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  <c r="M1778" t="str">
        <f t="shared" si="108"/>
        <v>30-45</v>
      </c>
      <c r="N1778" t="str">
        <f t="shared" si="109"/>
        <v>Medium</v>
      </c>
      <c r="O1778" t="str">
        <f t="shared" si="110"/>
        <v>Zero Balance</v>
      </c>
      <c r="P1778" t="str">
        <f t="shared" si="111"/>
        <v>Mid-term</v>
      </c>
    </row>
    <row r="1779" spans="1:16" x14ac:dyDescent="0.25">
      <c r="A1779">
        <v>2025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  <c r="M1779" t="str">
        <f t="shared" si="108"/>
        <v>30-45</v>
      </c>
      <c r="N1779" t="str">
        <f t="shared" si="109"/>
        <v>High</v>
      </c>
      <c r="O1779" t="str">
        <f t="shared" si="110"/>
        <v>High Balance</v>
      </c>
      <c r="P1779" t="str">
        <f t="shared" si="111"/>
        <v>Mid-term</v>
      </c>
    </row>
    <row r="1780" spans="1:16" x14ac:dyDescent="0.25">
      <c r="A1780">
        <v>2025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  <c r="M1780" t="str">
        <f t="shared" si="108"/>
        <v>30-45</v>
      </c>
      <c r="N1780" t="str">
        <f t="shared" si="109"/>
        <v>Medium</v>
      </c>
      <c r="O1780" t="str">
        <f t="shared" si="110"/>
        <v>Low Balance</v>
      </c>
      <c r="P1780" t="str">
        <f t="shared" si="111"/>
        <v>Mid-term</v>
      </c>
    </row>
    <row r="1781" spans="1:16" x14ac:dyDescent="0.25">
      <c r="A1781">
        <v>2025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  <c r="M1781" t="str">
        <f t="shared" si="108"/>
        <v>30-45</v>
      </c>
      <c r="N1781" t="str">
        <f t="shared" si="109"/>
        <v>High</v>
      </c>
      <c r="O1781" t="str">
        <f t="shared" si="110"/>
        <v>Zero Balance</v>
      </c>
      <c r="P1781" t="str">
        <f t="shared" si="111"/>
        <v>New</v>
      </c>
    </row>
    <row r="1782" spans="1:16" x14ac:dyDescent="0.25">
      <c r="A1782">
        <v>2025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  <c r="M1782" t="str">
        <f t="shared" si="108"/>
        <v>30-45</v>
      </c>
      <c r="N1782" t="str">
        <f t="shared" si="109"/>
        <v>High</v>
      </c>
      <c r="O1782" t="str">
        <f t="shared" si="110"/>
        <v>Zero Balance</v>
      </c>
      <c r="P1782" t="str">
        <f t="shared" si="111"/>
        <v>Long-term</v>
      </c>
    </row>
    <row r="1783" spans="1:16" x14ac:dyDescent="0.25">
      <c r="A1783">
        <v>2025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  <c r="M1783" t="str">
        <f t="shared" si="108"/>
        <v>30-45</v>
      </c>
      <c r="N1783" t="str">
        <f t="shared" si="109"/>
        <v>High</v>
      </c>
      <c r="O1783" t="str">
        <f t="shared" si="110"/>
        <v>Zero Balance</v>
      </c>
      <c r="P1783" t="str">
        <f t="shared" si="111"/>
        <v>New</v>
      </c>
    </row>
    <row r="1784" spans="1:16" x14ac:dyDescent="0.25">
      <c r="A1784">
        <v>2025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  <c r="M1784" t="str">
        <f t="shared" si="108"/>
        <v>30-45</v>
      </c>
      <c r="N1784" t="str">
        <f t="shared" si="109"/>
        <v>Medium</v>
      </c>
      <c r="O1784" t="str">
        <f t="shared" si="110"/>
        <v>High Balance</v>
      </c>
      <c r="P1784" t="str">
        <f t="shared" si="111"/>
        <v>Mid-term</v>
      </c>
    </row>
    <row r="1785" spans="1:16" x14ac:dyDescent="0.25">
      <c r="A1785">
        <v>2025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  <c r="M1785" t="str">
        <f t="shared" si="108"/>
        <v>30-45</v>
      </c>
      <c r="N1785" t="str">
        <f t="shared" si="109"/>
        <v>Medium</v>
      </c>
      <c r="O1785" t="str">
        <f t="shared" si="110"/>
        <v>High Balance</v>
      </c>
      <c r="P1785" t="str">
        <f t="shared" si="111"/>
        <v>New</v>
      </c>
    </row>
    <row r="1786" spans="1:16" x14ac:dyDescent="0.25">
      <c r="A1786">
        <v>2025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  <c r="M1786" t="str">
        <f t="shared" si="108"/>
        <v>30-45</v>
      </c>
      <c r="N1786" t="str">
        <f t="shared" si="109"/>
        <v>Medium</v>
      </c>
      <c r="O1786" t="str">
        <f t="shared" si="110"/>
        <v>High Balance</v>
      </c>
      <c r="P1786" t="str">
        <f t="shared" si="111"/>
        <v>Long-term</v>
      </c>
    </row>
    <row r="1787" spans="1:16" x14ac:dyDescent="0.25">
      <c r="A1787">
        <v>2025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  <c r="M1787" t="str">
        <f t="shared" si="108"/>
        <v>30-45</v>
      </c>
      <c r="N1787" t="str">
        <f t="shared" si="109"/>
        <v>High</v>
      </c>
      <c r="O1787" t="str">
        <f t="shared" si="110"/>
        <v>High Balance</v>
      </c>
      <c r="P1787" t="str">
        <f t="shared" si="111"/>
        <v>New</v>
      </c>
    </row>
    <row r="1788" spans="1:16" x14ac:dyDescent="0.25">
      <c r="A1788">
        <v>2025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  <c r="M1788" t="str">
        <f t="shared" si="108"/>
        <v>30-45</v>
      </c>
      <c r="N1788" t="str">
        <f t="shared" si="109"/>
        <v>High</v>
      </c>
      <c r="O1788" t="str">
        <f t="shared" si="110"/>
        <v>Zero Balance</v>
      </c>
      <c r="P1788" t="str">
        <f t="shared" si="111"/>
        <v>New</v>
      </c>
    </row>
    <row r="1789" spans="1:16" x14ac:dyDescent="0.25">
      <c r="A1789">
        <v>2025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  <c r="M1789" t="str">
        <f t="shared" si="108"/>
        <v>&lt;30</v>
      </c>
      <c r="N1789" t="str">
        <f t="shared" si="109"/>
        <v>Medium</v>
      </c>
      <c r="O1789" t="str">
        <f t="shared" si="110"/>
        <v>High Balance</v>
      </c>
      <c r="P1789" t="str">
        <f t="shared" si="111"/>
        <v>New</v>
      </c>
    </row>
    <row r="1790" spans="1:16" x14ac:dyDescent="0.25">
      <c r="A1790">
        <v>2025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  <c r="M1790" t="str">
        <f t="shared" si="108"/>
        <v>30-45</v>
      </c>
      <c r="N1790" t="str">
        <f t="shared" si="109"/>
        <v>Low</v>
      </c>
      <c r="O1790" t="str">
        <f t="shared" si="110"/>
        <v>Zero Balance</v>
      </c>
      <c r="P1790" t="str">
        <f t="shared" si="111"/>
        <v>Long-term</v>
      </c>
    </row>
    <row r="1791" spans="1:16" x14ac:dyDescent="0.25">
      <c r="A1791">
        <v>2025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  <c r="M1791" t="str">
        <f t="shared" si="108"/>
        <v>30-45</v>
      </c>
      <c r="N1791" t="str">
        <f t="shared" si="109"/>
        <v>High</v>
      </c>
      <c r="O1791" t="str">
        <f t="shared" si="110"/>
        <v>Zero Balance</v>
      </c>
      <c r="P1791" t="str">
        <f t="shared" si="111"/>
        <v>Mid-term</v>
      </c>
    </row>
    <row r="1792" spans="1:16" x14ac:dyDescent="0.25">
      <c r="A1792">
        <v>2025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  <c r="M1792" t="str">
        <f t="shared" si="108"/>
        <v>60+</v>
      </c>
      <c r="N1792" t="str">
        <f t="shared" si="109"/>
        <v>Medium</v>
      </c>
      <c r="O1792" t="str">
        <f t="shared" si="110"/>
        <v>High Balance</v>
      </c>
      <c r="P1792" t="str">
        <f t="shared" si="111"/>
        <v>New</v>
      </c>
    </row>
    <row r="1793" spans="1:16" x14ac:dyDescent="0.25">
      <c r="A1793">
        <v>2025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  <c r="M1793" t="str">
        <f t="shared" si="108"/>
        <v>30-45</v>
      </c>
      <c r="N1793" t="str">
        <f t="shared" si="109"/>
        <v>High</v>
      </c>
      <c r="O1793" t="str">
        <f t="shared" si="110"/>
        <v>Low Balance</v>
      </c>
      <c r="P1793" t="str">
        <f t="shared" si="111"/>
        <v>Long-term</v>
      </c>
    </row>
    <row r="1794" spans="1:16" x14ac:dyDescent="0.25">
      <c r="A1794">
        <v>2025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  <c r="M1794" t="str">
        <f t="shared" si="108"/>
        <v>30-45</v>
      </c>
      <c r="N1794" t="str">
        <f t="shared" si="109"/>
        <v>Medium</v>
      </c>
      <c r="O1794" t="str">
        <f t="shared" si="110"/>
        <v>High Balance</v>
      </c>
      <c r="P1794" t="str">
        <f t="shared" si="111"/>
        <v>Mid-term</v>
      </c>
    </row>
    <row r="1795" spans="1:16" x14ac:dyDescent="0.25">
      <c r="A1795">
        <v>2025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  <c r="M1795" t="str">
        <f t="shared" ref="M1795:M1858" si="112">IF(E1795&lt;30,"&lt;30",IF(E1795&lt;=45,"30-45",IF(E1795&lt;=60,"46-60","60+")))</f>
        <v>30-45</v>
      </c>
      <c r="N1795" t="str">
        <f t="shared" ref="N1795:N1858" si="113">IF(B1795&lt;500,"Low",IF(B1795&lt;700,"Medium","High"))</f>
        <v>Medium</v>
      </c>
      <c r="O1795" t="str">
        <f t="shared" ref="O1795:O1858" si="114">IF(G1795=0,"Zero Balance",IF(G1795&lt;100000,"Low Balance","High Balance"))</f>
        <v>High Balance</v>
      </c>
      <c r="P1795" t="str">
        <f t="shared" ref="P1795:P1858" si="115">IF(F1795&lt;=3,"New",IF(F1795&lt;=7,"Mid-term","Long-term"))</f>
        <v>New</v>
      </c>
    </row>
    <row r="1796" spans="1:16" x14ac:dyDescent="0.25">
      <c r="A1796">
        <v>2025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  <c r="M1796" t="str">
        <f t="shared" si="112"/>
        <v>30-45</v>
      </c>
      <c r="N1796" t="str">
        <f t="shared" si="113"/>
        <v>High</v>
      </c>
      <c r="O1796" t="str">
        <f t="shared" si="114"/>
        <v>Zero Balance</v>
      </c>
      <c r="P1796" t="str">
        <f t="shared" si="115"/>
        <v>New</v>
      </c>
    </row>
    <row r="1797" spans="1:16" x14ac:dyDescent="0.25">
      <c r="A1797">
        <v>2025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  <c r="M1797" t="str">
        <f t="shared" si="112"/>
        <v>30-45</v>
      </c>
      <c r="N1797" t="str">
        <f t="shared" si="113"/>
        <v>Medium</v>
      </c>
      <c r="O1797" t="str">
        <f t="shared" si="114"/>
        <v>Low Balance</v>
      </c>
      <c r="P1797" t="str">
        <f t="shared" si="115"/>
        <v>Mid-term</v>
      </c>
    </row>
    <row r="1798" spans="1:16" x14ac:dyDescent="0.25">
      <c r="A1798">
        <v>2025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  <c r="M1798" t="str">
        <f t="shared" si="112"/>
        <v>30-45</v>
      </c>
      <c r="N1798" t="str">
        <f t="shared" si="113"/>
        <v>Medium</v>
      </c>
      <c r="O1798" t="str">
        <f t="shared" si="114"/>
        <v>High Balance</v>
      </c>
      <c r="P1798" t="str">
        <f t="shared" si="115"/>
        <v>Long-term</v>
      </c>
    </row>
    <row r="1799" spans="1:16" x14ac:dyDescent="0.25">
      <c r="A1799">
        <v>2025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  <c r="M1799" t="str">
        <f t="shared" si="112"/>
        <v>30-45</v>
      </c>
      <c r="N1799" t="str">
        <f t="shared" si="113"/>
        <v>Medium</v>
      </c>
      <c r="O1799" t="str">
        <f t="shared" si="114"/>
        <v>Low Balance</v>
      </c>
      <c r="P1799" t="str">
        <f t="shared" si="115"/>
        <v>Mid-term</v>
      </c>
    </row>
    <row r="1800" spans="1:16" x14ac:dyDescent="0.25">
      <c r="A1800">
        <v>2025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  <c r="M1800" t="str">
        <f t="shared" si="112"/>
        <v>46-60</v>
      </c>
      <c r="N1800" t="str">
        <f t="shared" si="113"/>
        <v>High</v>
      </c>
      <c r="O1800" t="str">
        <f t="shared" si="114"/>
        <v>Low Balance</v>
      </c>
      <c r="P1800" t="str">
        <f t="shared" si="115"/>
        <v>Mid-term</v>
      </c>
    </row>
    <row r="1801" spans="1:16" x14ac:dyDescent="0.25">
      <c r="A1801">
        <v>2025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  <c r="M1801" t="str">
        <f t="shared" si="112"/>
        <v>30-45</v>
      </c>
      <c r="N1801" t="str">
        <f t="shared" si="113"/>
        <v>High</v>
      </c>
      <c r="O1801" t="str">
        <f t="shared" si="114"/>
        <v>Zero Balance</v>
      </c>
      <c r="P1801" t="str">
        <f t="shared" si="115"/>
        <v>Long-term</v>
      </c>
    </row>
    <row r="1802" spans="1:16" x14ac:dyDescent="0.25">
      <c r="A1802">
        <v>2025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  <c r="M1802" t="str">
        <f t="shared" si="112"/>
        <v>46-60</v>
      </c>
      <c r="N1802" t="str">
        <f t="shared" si="113"/>
        <v>High</v>
      </c>
      <c r="O1802" t="str">
        <f t="shared" si="114"/>
        <v>Zero Balance</v>
      </c>
      <c r="P1802" t="str">
        <f t="shared" si="115"/>
        <v>New</v>
      </c>
    </row>
    <row r="1803" spans="1:16" x14ac:dyDescent="0.25">
      <c r="A1803">
        <v>2025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  <c r="M1803" t="str">
        <f t="shared" si="112"/>
        <v>30-45</v>
      </c>
      <c r="N1803" t="str">
        <f t="shared" si="113"/>
        <v>Low</v>
      </c>
      <c r="O1803" t="str">
        <f t="shared" si="114"/>
        <v>High Balance</v>
      </c>
      <c r="P1803" t="str">
        <f t="shared" si="115"/>
        <v>Mid-term</v>
      </c>
    </row>
    <row r="1804" spans="1:16" x14ac:dyDescent="0.25">
      <c r="A1804">
        <v>2025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  <c r="M1804" t="str">
        <f t="shared" si="112"/>
        <v>&lt;30</v>
      </c>
      <c r="N1804" t="str">
        <f t="shared" si="113"/>
        <v>Medium</v>
      </c>
      <c r="O1804" t="str">
        <f t="shared" si="114"/>
        <v>Low Balance</v>
      </c>
      <c r="P1804" t="str">
        <f t="shared" si="115"/>
        <v>Long-term</v>
      </c>
    </row>
    <row r="1805" spans="1:16" x14ac:dyDescent="0.25">
      <c r="A1805">
        <v>2025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  <c r="M1805" t="str">
        <f t="shared" si="112"/>
        <v>&lt;30</v>
      </c>
      <c r="N1805" t="str">
        <f t="shared" si="113"/>
        <v>Medium</v>
      </c>
      <c r="O1805" t="str">
        <f t="shared" si="114"/>
        <v>High Balance</v>
      </c>
      <c r="P1805" t="str">
        <f t="shared" si="115"/>
        <v>New</v>
      </c>
    </row>
    <row r="1806" spans="1:16" x14ac:dyDescent="0.25">
      <c r="A1806">
        <v>2025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  <c r="M1806" t="str">
        <f t="shared" si="112"/>
        <v>30-45</v>
      </c>
      <c r="N1806" t="str">
        <f t="shared" si="113"/>
        <v>Medium</v>
      </c>
      <c r="O1806" t="str">
        <f t="shared" si="114"/>
        <v>High Balance</v>
      </c>
      <c r="P1806" t="str">
        <f t="shared" si="115"/>
        <v>Mid-term</v>
      </c>
    </row>
    <row r="1807" spans="1:16" x14ac:dyDescent="0.25">
      <c r="A1807">
        <v>2025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  <c r="M1807" t="str">
        <f t="shared" si="112"/>
        <v>30-45</v>
      </c>
      <c r="N1807" t="str">
        <f t="shared" si="113"/>
        <v>High</v>
      </c>
      <c r="O1807" t="str">
        <f t="shared" si="114"/>
        <v>High Balance</v>
      </c>
      <c r="P1807" t="str">
        <f t="shared" si="115"/>
        <v>Mid-term</v>
      </c>
    </row>
    <row r="1808" spans="1:16" x14ac:dyDescent="0.25">
      <c r="A1808">
        <v>2025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  <c r="M1808" t="str">
        <f t="shared" si="112"/>
        <v>30-45</v>
      </c>
      <c r="N1808" t="str">
        <f t="shared" si="113"/>
        <v>Medium</v>
      </c>
      <c r="O1808" t="str">
        <f t="shared" si="114"/>
        <v>Zero Balance</v>
      </c>
      <c r="P1808" t="str">
        <f t="shared" si="115"/>
        <v>Mid-term</v>
      </c>
    </row>
    <row r="1809" spans="1:16" x14ac:dyDescent="0.25">
      <c r="A1809">
        <v>2025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  <c r="M1809" t="str">
        <f t="shared" si="112"/>
        <v>46-60</v>
      </c>
      <c r="N1809" t="str">
        <f t="shared" si="113"/>
        <v>High</v>
      </c>
      <c r="O1809" t="str">
        <f t="shared" si="114"/>
        <v>Zero Balance</v>
      </c>
      <c r="P1809" t="str">
        <f t="shared" si="115"/>
        <v>New</v>
      </c>
    </row>
    <row r="1810" spans="1:16" x14ac:dyDescent="0.25">
      <c r="A1810">
        <v>2025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  <c r="M1810" t="str">
        <f t="shared" si="112"/>
        <v>30-45</v>
      </c>
      <c r="N1810" t="str">
        <f t="shared" si="113"/>
        <v>High</v>
      </c>
      <c r="O1810" t="str">
        <f t="shared" si="114"/>
        <v>Zero Balance</v>
      </c>
      <c r="P1810" t="str">
        <f t="shared" si="115"/>
        <v>Mid-term</v>
      </c>
    </row>
    <row r="1811" spans="1:16" x14ac:dyDescent="0.25">
      <c r="A1811">
        <v>2025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  <c r="M1811" t="str">
        <f t="shared" si="112"/>
        <v>46-60</v>
      </c>
      <c r="N1811" t="str">
        <f t="shared" si="113"/>
        <v>Medium</v>
      </c>
      <c r="O1811" t="str">
        <f t="shared" si="114"/>
        <v>High Balance</v>
      </c>
      <c r="P1811" t="str">
        <f t="shared" si="115"/>
        <v>Mid-term</v>
      </c>
    </row>
    <row r="1812" spans="1:16" x14ac:dyDescent="0.25">
      <c r="A1812">
        <v>2025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  <c r="M1812" t="str">
        <f t="shared" si="112"/>
        <v>60+</v>
      </c>
      <c r="N1812" t="str">
        <f t="shared" si="113"/>
        <v>Medium</v>
      </c>
      <c r="O1812" t="str">
        <f t="shared" si="114"/>
        <v>Zero Balance</v>
      </c>
      <c r="P1812" t="str">
        <f t="shared" si="115"/>
        <v>New</v>
      </c>
    </row>
    <row r="1813" spans="1:16" x14ac:dyDescent="0.25">
      <c r="A1813">
        <v>2025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  <c r="M1813" t="str">
        <f t="shared" si="112"/>
        <v>&lt;30</v>
      </c>
      <c r="N1813" t="str">
        <f t="shared" si="113"/>
        <v>High</v>
      </c>
      <c r="O1813" t="str">
        <f t="shared" si="114"/>
        <v>Zero Balance</v>
      </c>
      <c r="P1813" t="str">
        <f t="shared" si="115"/>
        <v>New</v>
      </c>
    </row>
    <row r="1814" spans="1:16" x14ac:dyDescent="0.25">
      <c r="A1814">
        <v>2025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  <c r="M1814" t="str">
        <f t="shared" si="112"/>
        <v>30-45</v>
      </c>
      <c r="N1814" t="str">
        <f t="shared" si="113"/>
        <v>High</v>
      </c>
      <c r="O1814" t="str">
        <f t="shared" si="114"/>
        <v>High Balance</v>
      </c>
      <c r="P1814" t="str">
        <f t="shared" si="115"/>
        <v>Mid-term</v>
      </c>
    </row>
    <row r="1815" spans="1:16" x14ac:dyDescent="0.25">
      <c r="A1815">
        <v>2025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  <c r="M1815" t="str">
        <f t="shared" si="112"/>
        <v>30-45</v>
      </c>
      <c r="N1815" t="str">
        <f t="shared" si="113"/>
        <v>High</v>
      </c>
      <c r="O1815" t="str">
        <f t="shared" si="114"/>
        <v>Zero Balance</v>
      </c>
      <c r="P1815" t="str">
        <f t="shared" si="115"/>
        <v>Long-term</v>
      </c>
    </row>
    <row r="1816" spans="1:16" x14ac:dyDescent="0.25">
      <c r="A1816">
        <v>2025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  <c r="M1816" t="str">
        <f t="shared" si="112"/>
        <v>30-45</v>
      </c>
      <c r="N1816" t="str">
        <f t="shared" si="113"/>
        <v>Medium</v>
      </c>
      <c r="O1816" t="str">
        <f t="shared" si="114"/>
        <v>Low Balance</v>
      </c>
      <c r="P1816" t="str">
        <f t="shared" si="115"/>
        <v>New</v>
      </c>
    </row>
    <row r="1817" spans="1:16" x14ac:dyDescent="0.25">
      <c r="A1817">
        <v>2025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  <c r="M1817" t="str">
        <f t="shared" si="112"/>
        <v>30-45</v>
      </c>
      <c r="N1817" t="str">
        <f t="shared" si="113"/>
        <v>Medium</v>
      </c>
      <c r="O1817" t="str">
        <f t="shared" si="114"/>
        <v>High Balance</v>
      </c>
      <c r="P1817" t="str">
        <f t="shared" si="115"/>
        <v>Long-term</v>
      </c>
    </row>
    <row r="1818" spans="1:16" x14ac:dyDescent="0.25">
      <c r="A1818">
        <v>2025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  <c r="M1818" t="str">
        <f t="shared" si="112"/>
        <v>&lt;30</v>
      </c>
      <c r="N1818" t="str">
        <f t="shared" si="113"/>
        <v>Medium</v>
      </c>
      <c r="O1818" t="str">
        <f t="shared" si="114"/>
        <v>High Balance</v>
      </c>
      <c r="P1818" t="str">
        <f t="shared" si="115"/>
        <v>New</v>
      </c>
    </row>
    <row r="1819" spans="1:16" x14ac:dyDescent="0.25">
      <c r="A1819">
        <v>2025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  <c r="M1819" t="str">
        <f t="shared" si="112"/>
        <v>30-45</v>
      </c>
      <c r="N1819" t="str">
        <f t="shared" si="113"/>
        <v>Medium</v>
      </c>
      <c r="O1819" t="str">
        <f t="shared" si="114"/>
        <v>Low Balance</v>
      </c>
      <c r="P1819" t="str">
        <f t="shared" si="115"/>
        <v>New</v>
      </c>
    </row>
    <row r="1820" spans="1:16" x14ac:dyDescent="0.25">
      <c r="A1820">
        <v>2025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  <c r="M1820" t="str">
        <f t="shared" si="112"/>
        <v>30-45</v>
      </c>
      <c r="N1820" t="str">
        <f t="shared" si="113"/>
        <v>Medium</v>
      </c>
      <c r="O1820" t="str">
        <f t="shared" si="114"/>
        <v>High Balance</v>
      </c>
      <c r="P1820" t="str">
        <f t="shared" si="115"/>
        <v>Mid-term</v>
      </c>
    </row>
    <row r="1821" spans="1:16" x14ac:dyDescent="0.25">
      <c r="A1821">
        <v>2025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  <c r="M1821" t="str">
        <f t="shared" si="112"/>
        <v>30-45</v>
      </c>
      <c r="N1821" t="str">
        <f t="shared" si="113"/>
        <v>High</v>
      </c>
      <c r="O1821" t="str">
        <f t="shared" si="114"/>
        <v>High Balance</v>
      </c>
      <c r="P1821" t="str">
        <f t="shared" si="115"/>
        <v>Long-term</v>
      </c>
    </row>
    <row r="1822" spans="1:16" x14ac:dyDescent="0.25">
      <c r="A1822">
        <v>2025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  <c r="M1822" t="str">
        <f t="shared" si="112"/>
        <v>&lt;30</v>
      </c>
      <c r="N1822" t="str">
        <f t="shared" si="113"/>
        <v>Medium</v>
      </c>
      <c r="O1822" t="str">
        <f t="shared" si="114"/>
        <v>High Balance</v>
      </c>
      <c r="P1822" t="str">
        <f t="shared" si="115"/>
        <v>Long-term</v>
      </c>
    </row>
    <row r="1823" spans="1:16" x14ac:dyDescent="0.25">
      <c r="A1823">
        <v>2025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  <c r="M1823" t="str">
        <f t="shared" si="112"/>
        <v>30-45</v>
      </c>
      <c r="N1823" t="str">
        <f t="shared" si="113"/>
        <v>Medium</v>
      </c>
      <c r="O1823" t="str">
        <f t="shared" si="114"/>
        <v>Zero Balance</v>
      </c>
      <c r="P1823" t="str">
        <f t="shared" si="115"/>
        <v>New</v>
      </c>
    </row>
    <row r="1824" spans="1:16" x14ac:dyDescent="0.25">
      <c r="A1824">
        <v>2025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  <c r="M1824" t="str">
        <f t="shared" si="112"/>
        <v>30-45</v>
      </c>
      <c r="N1824" t="str">
        <f t="shared" si="113"/>
        <v>High</v>
      </c>
      <c r="O1824" t="str">
        <f t="shared" si="114"/>
        <v>Low Balance</v>
      </c>
      <c r="P1824" t="str">
        <f t="shared" si="115"/>
        <v>Mid-term</v>
      </c>
    </row>
    <row r="1825" spans="1:16" x14ac:dyDescent="0.25">
      <c r="A1825">
        <v>2025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  <c r="M1825" t="str">
        <f t="shared" si="112"/>
        <v>46-60</v>
      </c>
      <c r="N1825" t="str">
        <f t="shared" si="113"/>
        <v>High</v>
      </c>
      <c r="O1825" t="str">
        <f t="shared" si="114"/>
        <v>Low Balance</v>
      </c>
      <c r="P1825" t="str">
        <f t="shared" si="115"/>
        <v>Long-term</v>
      </c>
    </row>
    <row r="1826" spans="1:16" x14ac:dyDescent="0.25">
      <c r="A1826">
        <v>2025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  <c r="M1826" t="str">
        <f t="shared" si="112"/>
        <v>30-45</v>
      </c>
      <c r="N1826" t="str">
        <f t="shared" si="113"/>
        <v>High</v>
      </c>
      <c r="O1826" t="str">
        <f t="shared" si="114"/>
        <v>High Balance</v>
      </c>
      <c r="P1826" t="str">
        <f t="shared" si="115"/>
        <v>Mid-term</v>
      </c>
    </row>
    <row r="1827" spans="1:16" x14ac:dyDescent="0.25">
      <c r="A1827">
        <v>2025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  <c r="M1827" t="str">
        <f t="shared" si="112"/>
        <v>30-45</v>
      </c>
      <c r="N1827" t="str">
        <f t="shared" si="113"/>
        <v>High</v>
      </c>
      <c r="O1827" t="str">
        <f t="shared" si="114"/>
        <v>High Balance</v>
      </c>
      <c r="P1827" t="str">
        <f t="shared" si="115"/>
        <v>Mid-term</v>
      </c>
    </row>
    <row r="1828" spans="1:16" x14ac:dyDescent="0.25">
      <c r="A1828">
        <v>2025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  <c r="M1828" t="str">
        <f t="shared" si="112"/>
        <v>&lt;30</v>
      </c>
      <c r="N1828" t="str">
        <f t="shared" si="113"/>
        <v>Medium</v>
      </c>
      <c r="O1828" t="str">
        <f t="shared" si="114"/>
        <v>High Balance</v>
      </c>
      <c r="P1828" t="str">
        <f t="shared" si="115"/>
        <v>Long-term</v>
      </c>
    </row>
    <row r="1829" spans="1:16" x14ac:dyDescent="0.25">
      <c r="A1829">
        <v>2025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  <c r="M1829" t="str">
        <f t="shared" si="112"/>
        <v>&lt;30</v>
      </c>
      <c r="N1829" t="str">
        <f t="shared" si="113"/>
        <v>Low</v>
      </c>
      <c r="O1829" t="str">
        <f t="shared" si="114"/>
        <v>High Balance</v>
      </c>
      <c r="P1829" t="str">
        <f t="shared" si="115"/>
        <v>Mid-term</v>
      </c>
    </row>
    <row r="1830" spans="1:16" x14ac:dyDescent="0.25">
      <c r="A1830">
        <v>2025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  <c r="M1830" t="str">
        <f t="shared" si="112"/>
        <v>30-45</v>
      </c>
      <c r="N1830" t="str">
        <f t="shared" si="113"/>
        <v>Medium</v>
      </c>
      <c r="O1830" t="str">
        <f t="shared" si="114"/>
        <v>Zero Balance</v>
      </c>
      <c r="P1830" t="str">
        <f t="shared" si="115"/>
        <v>Long-term</v>
      </c>
    </row>
    <row r="1831" spans="1:16" x14ac:dyDescent="0.25">
      <c r="A1831">
        <v>2025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  <c r="M1831" t="str">
        <f t="shared" si="112"/>
        <v>30-45</v>
      </c>
      <c r="N1831" t="str">
        <f t="shared" si="113"/>
        <v>High</v>
      </c>
      <c r="O1831" t="str">
        <f t="shared" si="114"/>
        <v>High Balance</v>
      </c>
      <c r="P1831" t="str">
        <f t="shared" si="115"/>
        <v>Long-term</v>
      </c>
    </row>
    <row r="1832" spans="1:16" x14ac:dyDescent="0.25">
      <c r="A1832">
        <v>2025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  <c r="M1832" t="str">
        <f t="shared" si="112"/>
        <v>30-45</v>
      </c>
      <c r="N1832" t="str">
        <f t="shared" si="113"/>
        <v>Medium</v>
      </c>
      <c r="O1832" t="str">
        <f t="shared" si="114"/>
        <v>Zero Balance</v>
      </c>
      <c r="P1832" t="str">
        <f t="shared" si="115"/>
        <v>Mid-term</v>
      </c>
    </row>
    <row r="1833" spans="1:16" x14ac:dyDescent="0.25">
      <c r="A1833">
        <v>2025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  <c r="M1833" t="str">
        <f t="shared" si="112"/>
        <v>30-45</v>
      </c>
      <c r="N1833" t="str">
        <f t="shared" si="113"/>
        <v>Medium</v>
      </c>
      <c r="O1833" t="str">
        <f t="shared" si="114"/>
        <v>Zero Balance</v>
      </c>
      <c r="P1833" t="str">
        <f t="shared" si="115"/>
        <v>Mid-term</v>
      </c>
    </row>
    <row r="1834" spans="1:16" x14ac:dyDescent="0.25">
      <c r="A1834">
        <v>2025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  <c r="M1834" t="str">
        <f t="shared" si="112"/>
        <v>&lt;30</v>
      </c>
      <c r="N1834" t="str">
        <f t="shared" si="113"/>
        <v>Medium</v>
      </c>
      <c r="O1834" t="str">
        <f t="shared" si="114"/>
        <v>Zero Balance</v>
      </c>
      <c r="P1834" t="str">
        <f t="shared" si="115"/>
        <v>New</v>
      </c>
    </row>
    <row r="1835" spans="1:16" x14ac:dyDescent="0.25">
      <c r="A1835">
        <v>2025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  <c r="M1835" t="str">
        <f t="shared" si="112"/>
        <v>30-45</v>
      </c>
      <c r="N1835" t="str">
        <f t="shared" si="113"/>
        <v>Medium</v>
      </c>
      <c r="O1835" t="str">
        <f t="shared" si="114"/>
        <v>High Balance</v>
      </c>
      <c r="P1835" t="str">
        <f t="shared" si="115"/>
        <v>Long-term</v>
      </c>
    </row>
    <row r="1836" spans="1:16" x14ac:dyDescent="0.25">
      <c r="A1836">
        <v>2025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  <c r="M1836" t="str">
        <f t="shared" si="112"/>
        <v>46-60</v>
      </c>
      <c r="N1836" t="str">
        <f t="shared" si="113"/>
        <v>High</v>
      </c>
      <c r="O1836" t="str">
        <f t="shared" si="114"/>
        <v>Low Balance</v>
      </c>
      <c r="P1836" t="str">
        <f t="shared" si="115"/>
        <v>Mid-term</v>
      </c>
    </row>
    <row r="1837" spans="1:16" x14ac:dyDescent="0.25">
      <c r="A1837">
        <v>2025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  <c r="M1837" t="str">
        <f t="shared" si="112"/>
        <v>30-45</v>
      </c>
      <c r="N1837" t="str">
        <f t="shared" si="113"/>
        <v>Medium</v>
      </c>
      <c r="O1837" t="str">
        <f t="shared" si="114"/>
        <v>High Balance</v>
      </c>
      <c r="P1837" t="str">
        <f t="shared" si="115"/>
        <v>Mid-term</v>
      </c>
    </row>
    <row r="1838" spans="1:16" x14ac:dyDescent="0.25">
      <c r="A1838">
        <v>2025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  <c r="M1838" t="str">
        <f t="shared" si="112"/>
        <v>30-45</v>
      </c>
      <c r="N1838" t="str">
        <f t="shared" si="113"/>
        <v>High</v>
      </c>
      <c r="O1838" t="str">
        <f t="shared" si="114"/>
        <v>Zero Balance</v>
      </c>
      <c r="P1838" t="str">
        <f t="shared" si="115"/>
        <v>Mid-term</v>
      </c>
    </row>
    <row r="1839" spans="1:16" x14ac:dyDescent="0.25">
      <c r="A1839">
        <v>2025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  <c r="M1839" t="str">
        <f t="shared" si="112"/>
        <v>46-60</v>
      </c>
      <c r="N1839" t="str">
        <f t="shared" si="113"/>
        <v>Medium</v>
      </c>
      <c r="O1839" t="str">
        <f t="shared" si="114"/>
        <v>High Balance</v>
      </c>
      <c r="P1839" t="str">
        <f t="shared" si="115"/>
        <v>Mid-term</v>
      </c>
    </row>
    <row r="1840" spans="1:16" x14ac:dyDescent="0.25">
      <c r="A1840">
        <v>2025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  <c r="M1840" t="str">
        <f t="shared" si="112"/>
        <v>30-45</v>
      </c>
      <c r="N1840" t="str">
        <f t="shared" si="113"/>
        <v>Low</v>
      </c>
      <c r="O1840" t="str">
        <f t="shared" si="114"/>
        <v>High Balance</v>
      </c>
      <c r="P1840" t="str">
        <f t="shared" si="115"/>
        <v>New</v>
      </c>
    </row>
    <row r="1841" spans="1:16" x14ac:dyDescent="0.25">
      <c r="A1841">
        <v>2025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  <c r="M1841" t="str">
        <f t="shared" si="112"/>
        <v>46-60</v>
      </c>
      <c r="N1841" t="str">
        <f t="shared" si="113"/>
        <v>High</v>
      </c>
      <c r="O1841" t="str">
        <f t="shared" si="114"/>
        <v>High Balance</v>
      </c>
      <c r="P1841" t="str">
        <f t="shared" si="115"/>
        <v>Long-term</v>
      </c>
    </row>
    <row r="1842" spans="1:16" x14ac:dyDescent="0.25">
      <c r="A1842">
        <v>2025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  <c r="M1842" t="str">
        <f t="shared" si="112"/>
        <v>30-45</v>
      </c>
      <c r="N1842" t="str">
        <f t="shared" si="113"/>
        <v>Low</v>
      </c>
      <c r="O1842" t="str">
        <f t="shared" si="114"/>
        <v>Low Balance</v>
      </c>
      <c r="P1842" t="str">
        <f t="shared" si="115"/>
        <v>Mid-term</v>
      </c>
    </row>
    <row r="1843" spans="1:16" x14ac:dyDescent="0.25">
      <c r="A1843">
        <v>2025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  <c r="M1843" t="str">
        <f t="shared" si="112"/>
        <v>30-45</v>
      </c>
      <c r="N1843" t="str">
        <f t="shared" si="113"/>
        <v>Medium</v>
      </c>
      <c r="O1843" t="str">
        <f t="shared" si="114"/>
        <v>High Balance</v>
      </c>
      <c r="P1843" t="str">
        <f t="shared" si="115"/>
        <v>New</v>
      </c>
    </row>
    <row r="1844" spans="1:16" x14ac:dyDescent="0.25">
      <c r="A1844">
        <v>2025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  <c r="M1844" t="str">
        <f t="shared" si="112"/>
        <v>30-45</v>
      </c>
      <c r="N1844" t="str">
        <f t="shared" si="113"/>
        <v>High</v>
      </c>
      <c r="O1844" t="str">
        <f t="shared" si="114"/>
        <v>Zero Balance</v>
      </c>
      <c r="P1844" t="str">
        <f t="shared" si="115"/>
        <v>Long-term</v>
      </c>
    </row>
    <row r="1845" spans="1:16" x14ac:dyDescent="0.25">
      <c r="A1845">
        <v>2025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  <c r="M1845" t="str">
        <f t="shared" si="112"/>
        <v>30-45</v>
      </c>
      <c r="N1845" t="str">
        <f t="shared" si="113"/>
        <v>Medium</v>
      </c>
      <c r="O1845" t="str">
        <f t="shared" si="114"/>
        <v>High Balance</v>
      </c>
      <c r="P1845" t="str">
        <f t="shared" si="115"/>
        <v>New</v>
      </c>
    </row>
    <row r="1846" spans="1:16" x14ac:dyDescent="0.25">
      <c r="A1846">
        <v>2025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  <c r="M1846" t="str">
        <f t="shared" si="112"/>
        <v>46-60</v>
      </c>
      <c r="N1846" t="str">
        <f t="shared" si="113"/>
        <v>Medium</v>
      </c>
      <c r="O1846" t="str">
        <f t="shared" si="114"/>
        <v>Zero Balance</v>
      </c>
      <c r="P1846" t="str">
        <f t="shared" si="115"/>
        <v>New</v>
      </c>
    </row>
    <row r="1847" spans="1:16" x14ac:dyDescent="0.25">
      <c r="A1847">
        <v>2025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  <c r="M1847" t="str">
        <f t="shared" si="112"/>
        <v>30-45</v>
      </c>
      <c r="N1847" t="str">
        <f t="shared" si="113"/>
        <v>High</v>
      </c>
      <c r="O1847" t="str">
        <f t="shared" si="114"/>
        <v>Zero Balance</v>
      </c>
      <c r="P1847" t="str">
        <f t="shared" si="115"/>
        <v>Long-term</v>
      </c>
    </row>
    <row r="1848" spans="1:16" x14ac:dyDescent="0.25">
      <c r="A1848">
        <v>2025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  <c r="M1848" t="str">
        <f t="shared" si="112"/>
        <v>30-45</v>
      </c>
      <c r="N1848" t="str">
        <f t="shared" si="113"/>
        <v>Low</v>
      </c>
      <c r="O1848" t="str">
        <f t="shared" si="114"/>
        <v>Zero Balance</v>
      </c>
      <c r="P1848" t="str">
        <f t="shared" si="115"/>
        <v>Mid-term</v>
      </c>
    </row>
    <row r="1849" spans="1:16" x14ac:dyDescent="0.25">
      <c r="A1849">
        <v>2025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  <c r="M1849" t="str">
        <f t="shared" si="112"/>
        <v>30-45</v>
      </c>
      <c r="N1849" t="str">
        <f t="shared" si="113"/>
        <v>Medium</v>
      </c>
      <c r="O1849" t="str">
        <f t="shared" si="114"/>
        <v>Low Balance</v>
      </c>
      <c r="P1849" t="str">
        <f t="shared" si="115"/>
        <v>New</v>
      </c>
    </row>
    <row r="1850" spans="1:16" x14ac:dyDescent="0.25">
      <c r="A1850">
        <v>2025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  <c r="M1850" t="str">
        <f t="shared" si="112"/>
        <v>30-45</v>
      </c>
      <c r="N1850" t="str">
        <f t="shared" si="113"/>
        <v>Medium</v>
      </c>
      <c r="O1850" t="str">
        <f t="shared" si="114"/>
        <v>High Balance</v>
      </c>
      <c r="P1850" t="str">
        <f t="shared" si="115"/>
        <v>Long-term</v>
      </c>
    </row>
    <row r="1851" spans="1:16" x14ac:dyDescent="0.25">
      <c r="A1851">
        <v>2025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  <c r="M1851" t="str">
        <f t="shared" si="112"/>
        <v>&lt;30</v>
      </c>
      <c r="N1851" t="str">
        <f t="shared" si="113"/>
        <v>Medium</v>
      </c>
      <c r="O1851" t="str">
        <f t="shared" si="114"/>
        <v>Zero Balance</v>
      </c>
      <c r="P1851" t="str">
        <f t="shared" si="115"/>
        <v>Long-term</v>
      </c>
    </row>
    <row r="1852" spans="1:16" x14ac:dyDescent="0.25">
      <c r="A1852">
        <v>2025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  <c r="M1852" t="str">
        <f t="shared" si="112"/>
        <v>30-45</v>
      </c>
      <c r="N1852" t="str">
        <f t="shared" si="113"/>
        <v>High</v>
      </c>
      <c r="O1852" t="str">
        <f t="shared" si="114"/>
        <v>High Balance</v>
      </c>
      <c r="P1852" t="str">
        <f t="shared" si="115"/>
        <v>Mid-term</v>
      </c>
    </row>
    <row r="1853" spans="1:16" x14ac:dyDescent="0.25">
      <c r="A1853">
        <v>2025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  <c r="M1853" t="str">
        <f t="shared" si="112"/>
        <v>46-60</v>
      </c>
      <c r="N1853" t="str">
        <f t="shared" si="113"/>
        <v>High</v>
      </c>
      <c r="O1853" t="str">
        <f t="shared" si="114"/>
        <v>High Balance</v>
      </c>
      <c r="P1853" t="str">
        <f t="shared" si="115"/>
        <v>Mid-term</v>
      </c>
    </row>
    <row r="1854" spans="1:16" x14ac:dyDescent="0.25">
      <c r="A1854">
        <v>2025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  <c r="M1854" t="str">
        <f t="shared" si="112"/>
        <v>30-45</v>
      </c>
      <c r="N1854" t="str">
        <f t="shared" si="113"/>
        <v>Medium</v>
      </c>
      <c r="O1854" t="str">
        <f t="shared" si="114"/>
        <v>Low Balance</v>
      </c>
      <c r="P1854" t="str">
        <f t="shared" si="115"/>
        <v>Long-term</v>
      </c>
    </row>
    <row r="1855" spans="1:16" x14ac:dyDescent="0.25">
      <c r="A1855">
        <v>2025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  <c r="M1855" t="str">
        <f t="shared" si="112"/>
        <v>30-45</v>
      </c>
      <c r="N1855" t="str">
        <f t="shared" si="113"/>
        <v>High</v>
      </c>
      <c r="O1855" t="str">
        <f t="shared" si="114"/>
        <v>High Balance</v>
      </c>
      <c r="P1855" t="str">
        <f t="shared" si="115"/>
        <v>Mid-term</v>
      </c>
    </row>
    <row r="1856" spans="1:16" x14ac:dyDescent="0.25">
      <c r="A1856">
        <v>2025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  <c r="M1856" t="str">
        <f t="shared" si="112"/>
        <v>30-45</v>
      </c>
      <c r="N1856" t="str">
        <f t="shared" si="113"/>
        <v>High</v>
      </c>
      <c r="O1856" t="str">
        <f t="shared" si="114"/>
        <v>High Balance</v>
      </c>
      <c r="P1856" t="str">
        <f t="shared" si="115"/>
        <v>Mid-term</v>
      </c>
    </row>
    <row r="1857" spans="1:16" x14ac:dyDescent="0.25">
      <c r="A1857">
        <v>2025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  <c r="M1857" t="str">
        <f t="shared" si="112"/>
        <v>46-60</v>
      </c>
      <c r="N1857" t="str">
        <f t="shared" si="113"/>
        <v>High</v>
      </c>
      <c r="O1857" t="str">
        <f t="shared" si="114"/>
        <v>High Balance</v>
      </c>
      <c r="P1857" t="str">
        <f t="shared" si="115"/>
        <v>Long-term</v>
      </c>
    </row>
    <row r="1858" spans="1:16" x14ac:dyDescent="0.25">
      <c r="A1858">
        <v>2025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  <c r="M1858" t="str">
        <f t="shared" si="112"/>
        <v>&lt;30</v>
      </c>
      <c r="N1858" t="str">
        <f t="shared" si="113"/>
        <v>Medium</v>
      </c>
      <c r="O1858" t="str">
        <f t="shared" si="114"/>
        <v>Low Balance</v>
      </c>
      <c r="P1858" t="str">
        <f t="shared" si="115"/>
        <v>New</v>
      </c>
    </row>
    <row r="1859" spans="1:16" x14ac:dyDescent="0.25">
      <c r="A1859">
        <v>2025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  <c r="M1859" t="str">
        <f t="shared" ref="M1859:M1922" si="116">IF(E1859&lt;30,"&lt;30",IF(E1859&lt;=45,"30-45",IF(E1859&lt;=60,"46-60","60+")))</f>
        <v>&lt;30</v>
      </c>
      <c r="N1859" t="str">
        <f t="shared" ref="N1859:N1922" si="117">IF(B1859&lt;500,"Low",IF(B1859&lt;700,"Medium","High"))</f>
        <v>Medium</v>
      </c>
      <c r="O1859" t="str">
        <f t="shared" ref="O1859:O1922" si="118">IF(G1859=0,"Zero Balance",IF(G1859&lt;100000,"Low Balance","High Balance"))</f>
        <v>High Balance</v>
      </c>
      <c r="P1859" t="str">
        <f t="shared" ref="P1859:P1922" si="119">IF(F1859&lt;=3,"New",IF(F1859&lt;=7,"Mid-term","Long-term"))</f>
        <v>New</v>
      </c>
    </row>
    <row r="1860" spans="1:16" x14ac:dyDescent="0.25">
      <c r="A1860">
        <v>2025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  <c r="M1860" t="str">
        <f t="shared" si="116"/>
        <v>60+</v>
      </c>
      <c r="N1860" t="str">
        <f t="shared" si="117"/>
        <v>High</v>
      </c>
      <c r="O1860" t="str">
        <f t="shared" si="118"/>
        <v>Zero Balance</v>
      </c>
      <c r="P1860" t="str">
        <f t="shared" si="119"/>
        <v>Mid-term</v>
      </c>
    </row>
    <row r="1861" spans="1:16" x14ac:dyDescent="0.25">
      <c r="A1861">
        <v>2025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  <c r="M1861" t="str">
        <f t="shared" si="116"/>
        <v>30-45</v>
      </c>
      <c r="N1861" t="str">
        <f t="shared" si="117"/>
        <v>Medium</v>
      </c>
      <c r="O1861" t="str">
        <f t="shared" si="118"/>
        <v>Zero Balance</v>
      </c>
      <c r="P1861" t="str">
        <f t="shared" si="119"/>
        <v>Long-term</v>
      </c>
    </row>
    <row r="1862" spans="1:16" x14ac:dyDescent="0.25">
      <c r="A1862">
        <v>2025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  <c r="M1862" t="str">
        <f t="shared" si="116"/>
        <v>&lt;30</v>
      </c>
      <c r="N1862" t="str">
        <f t="shared" si="117"/>
        <v>Medium</v>
      </c>
      <c r="O1862" t="str">
        <f t="shared" si="118"/>
        <v>Low Balance</v>
      </c>
      <c r="P1862" t="str">
        <f t="shared" si="119"/>
        <v>Long-term</v>
      </c>
    </row>
    <row r="1863" spans="1:16" x14ac:dyDescent="0.25">
      <c r="A1863">
        <v>2025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  <c r="M1863" t="str">
        <f t="shared" si="116"/>
        <v>30-45</v>
      </c>
      <c r="N1863" t="str">
        <f t="shared" si="117"/>
        <v>Medium</v>
      </c>
      <c r="O1863" t="str">
        <f t="shared" si="118"/>
        <v>High Balance</v>
      </c>
      <c r="P1863" t="str">
        <f t="shared" si="119"/>
        <v>New</v>
      </c>
    </row>
    <row r="1864" spans="1:16" x14ac:dyDescent="0.25">
      <c r="A1864">
        <v>2025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  <c r="M1864" t="str">
        <f t="shared" si="116"/>
        <v>30-45</v>
      </c>
      <c r="N1864" t="str">
        <f t="shared" si="117"/>
        <v>Low</v>
      </c>
      <c r="O1864" t="str">
        <f t="shared" si="118"/>
        <v>High Balance</v>
      </c>
      <c r="P1864" t="str">
        <f t="shared" si="119"/>
        <v>Long-term</v>
      </c>
    </row>
    <row r="1865" spans="1:16" x14ac:dyDescent="0.25">
      <c r="A1865">
        <v>2025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  <c r="M1865" t="str">
        <f t="shared" si="116"/>
        <v>&lt;30</v>
      </c>
      <c r="N1865" t="str">
        <f t="shared" si="117"/>
        <v>High</v>
      </c>
      <c r="O1865" t="str">
        <f t="shared" si="118"/>
        <v>Low Balance</v>
      </c>
      <c r="P1865" t="str">
        <f t="shared" si="119"/>
        <v>Long-term</v>
      </c>
    </row>
    <row r="1866" spans="1:16" x14ac:dyDescent="0.25">
      <c r="A1866">
        <v>2025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  <c r="M1866" t="str">
        <f t="shared" si="116"/>
        <v>30-45</v>
      </c>
      <c r="N1866" t="str">
        <f t="shared" si="117"/>
        <v>Medium</v>
      </c>
      <c r="O1866" t="str">
        <f t="shared" si="118"/>
        <v>High Balance</v>
      </c>
      <c r="P1866" t="str">
        <f t="shared" si="119"/>
        <v>Mid-term</v>
      </c>
    </row>
    <row r="1867" spans="1:16" x14ac:dyDescent="0.25">
      <c r="A1867">
        <v>2025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  <c r="M1867" t="str">
        <f t="shared" si="116"/>
        <v>30-45</v>
      </c>
      <c r="N1867" t="str">
        <f t="shared" si="117"/>
        <v>High</v>
      </c>
      <c r="O1867" t="str">
        <f t="shared" si="118"/>
        <v>Zero Balance</v>
      </c>
      <c r="P1867" t="str">
        <f t="shared" si="119"/>
        <v>Mid-term</v>
      </c>
    </row>
    <row r="1868" spans="1:16" x14ac:dyDescent="0.25">
      <c r="A1868">
        <v>2025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  <c r="M1868" t="str">
        <f t="shared" si="116"/>
        <v>60+</v>
      </c>
      <c r="N1868" t="str">
        <f t="shared" si="117"/>
        <v>Medium</v>
      </c>
      <c r="O1868" t="str">
        <f t="shared" si="118"/>
        <v>Zero Balance</v>
      </c>
      <c r="P1868" t="str">
        <f t="shared" si="119"/>
        <v>Long-term</v>
      </c>
    </row>
    <row r="1869" spans="1:16" x14ac:dyDescent="0.25">
      <c r="A1869">
        <v>2025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  <c r="M1869" t="str">
        <f t="shared" si="116"/>
        <v>30-45</v>
      </c>
      <c r="N1869" t="str">
        <f t="shared" si="117"/>
        <v>High</v>
      </c>
      <c r="O1869" t="str">
        <f t="shared" si="118"/>
        <v>Low Balance</v>
      </c>
      <c r="P1869" t="str">
        <f t="shared" si="119"/>
        <v>New</v>
      </c>
    </row>
    <row r="1870" spans="1:16" x14ac:dyDescent="0.25">
      <c r="A1870">
        <v>2025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  <c r="M1870" t="str">
        <f t="shared" si="116"/>
        <v>30-45</v>
      </c>
      <c r="N1870" t="str">
        <f t="shared" si="117"/>
        <v>Medium</v>
      </c>
      <c r="O1870" t="str">
        <f t="shared" si="118"/>
        <v>Low Balance</v>
      </c>
      <c r="P1870" t="str">
        <f t="shared" si="119"/>
        <v>Long-term</v>
      </c>
    </row>
    <row r="1871" spans="1:16" x14ac:dyDescent="0.25">
      <c r="A1871">
        <v>2025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  <c r="M1871" t="str">
        <f t="shared" si="116"/>
        <v>30-45</v>
      </c>
      <c r="N1871" t="str">
        <f t="shared" si="117"/>
        <v>Medium</v>
      </c>
      <c r="O1871" t="str">
        <f t="shared" si="118"/>
        <v>High Balance</v>
      </c>
      <c r="P1871" t="str">
        <f t="shared" si="119"/>
        <v>Mid-term</v>
      </c>
    </row>
    <row r="1872" spans="1:16" x14ac:dyDescent="0.25">
      <c r="A1872">
        <v>2025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  <c r="M1872" t="str">
        <f t="shared" si="116"/>
        <v>30-45</v>
      </c>
      <c r="N1872" t="str">
        <f t="shared" si="117"/>
        <v>Medium</v>
      </c>
      <c r="O1872" t="str">
        <f t="shared" si="118"/>
        <v>Zero Balance</v>
      </c>
      <c r="P1872" t="str">
        <f t="shared" si="119"/>
        <v>Mid-term</v>
      </c>
    </row>
    <row r="1873" spans="1:16" x14ac:dyDescent="0.25">
      <c r="A1873">
        <v>2025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  <c r="M1873" t="str">
        <f t="shared" si="116"/>
        <v>30-45</v>
      </c>
      <c r="N1873" t="str">
        <f t="shared" si="117"/>
        <v>Medium</v>
      </c>
      <c r="O1873" t="str">
        <f t="shared" si="118"/>
        <v>Low Balance</v>
      </c>
      <c r="P1873" t="str">
        <f t="shared" si="119"/>
        <v>New</v>
      </c>
    </row>
    <row r="1874" spans="1:16" x14ac:dyDescent="0.25">
      <c r="A1874">
        <v>2025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  <c r="M1874" t="str">
        <f t="shared" si="116"/>
        <v>46-60</v>
      </c>
      <c r="N1874" t="str">
        <f t="shared" si="117"/>
        <v>High</v>
      </c>
      <c r="O1874" t="str">
        <f t="shared" si="118"/>
        <v>Zero Balance</v>
      </c>
      <c r="P1874" t="str">
        <f t="shared" si="119"/>
        <v>Long-term</v>
      </c>
    </row>
    <row r="1875" spans="1:16" x14ac:dyDescent="0.25">
      <c r="A1875">
        <v>2025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  <c r="M1875" t="str">
        <f t="shared" si="116"/>
        <v>30-45</v>
      </c>
      <c r="N1875" t="str">
        <f t="shared" si="117"/>
        <v>Medium</v>
      </c>
      <c r="O1875" t="str">
        <f t="shared" si="118"/>
        <v>High Balance</v>
      </c>
      <c r="P1875" t="str">
        <f t="shared" si="119"/>
        <v>New</v>
      </c>
    </row>
    <row r="1876" spans="1:16" x14ac:dyDescent="0.25">
      <c r="A1876">
        <v>2025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  <c r="M1876" t="str">
        <f t="shared" si="116"/>
        <v>30-45</v>
      </c>
      <c r="N1876" t="str">
        <f t="shared" si="117"/>
        <v>Medium</v>
      </c>
      <c r="O1876" t="str">
        <f t="shared" si="118"/>
        <v>Low Balance</v>
      </c>
      <c r="P1876" t="str">
        <f t="shared" si="119"/>
        <v>Mid-term</v>
      </c>
    </row>
    <row r="1877" spans="1:16" x14ac:dyDescent="0.25">
      <c r="A1877">
        <v>2025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  <c r="M1877" t="str">
        <f t="shared" si="116"/>
        <v>30-45</v>
      </c>
      <c r="N1877" t="str">
        <f t="shared" si="117"/>
        <v>Medium</v>
      </c>
      <c r="O1877" t="str">
        <f t="shared" si="118"/>
        <v>Low Balance</v>
      </c>
      <c r="P1877" t="str">
        <f t="shared" si="119"/>
        <v>Mid-term</v>
      </c>
    </row>
    <row r="1878" spans="1:16" x14ac:dyDescent="0.25">
      <c r="A1878">
        <v>2025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  <c r="M1878" t="str">
        <f t="shared" si="116"/>
        <v>30-45</v>
      </c>
      <c r="N1878" t="str">
        <f t="shared" si="117"/>
        <v>Medium</v>
      </c>
      <c r="O1878" t="str">
        <f t="shared" si="118"/>
        <v>High Balance</v>
      </c>
      <c r="P1878" t="str">
        <f t="shared" si="119"/>
        <v>Long-term</v>
      </c>
    </row>
    <row r="1879" spans="1:16" x14ac:dyDescent="0.25">
      <c r="A1879">
        <v>2025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  <c r="M1879" t="str">
        <f t="shared" si="116"/>
        <v>46-60</v>
      </c>
      <c r="N1879" t="str">
        <f t="shared" si="117"/>
        <v>High</v>
      </c>
      <c r="O1879" t="str">
        <f t="shared" si="118"/>
        <v>Low Balance</v>
      </c>
      <c r="P1879" t="str">
        <f t="shared" si="119"/>
        <v>Long-term</v>
      </c>
    </row>
    <row r="1880" spans="1:16" x14ac:dyDescent="0.25">
      <c r="A1880">
        <v>2025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  <c r="M1880" t="str">
        <f t="shared" si="116"/>
        <v>30-45</v>
      </c>
      <c r="N1880" t="str">
        <f t="shared" si="117"/>
        <v>Medium</v>
      </c>
      <c r="O1880" t="str">
        <f t="shared" si="118"/>
        <v>Zero Balance</v>
      </c>
      <c r="P1880" t="str">
        <f t="shared" si="119"/>
        <v>Mid-term</v>
      </c>
    </row>
    <row r="1881" spans="1:16" x14ac:dyDescent="0.25">
      <c r="A1881">
        <v>2025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  <c r="M1881" t="str">
        <f t="shared" si="116"/>
        <v>30-45</v>
      </c>
      <c r="N1881" t="str">
        <f t="shared" si="117"/>
        <v>Medium</v>
      </c>
      <c r="O1881" t="str">
        <f t="shared" si="118"/>
        <v>Zero Balance</v>
      </c>
      <c r="P1881" t="str">
        <f t="shared" si="119"/>
        <v>Long-term</v>
      </c>
    </row>
    <row r="1882" spans="1:16" x14ac:dyDescent="0.25">
      <c r="A1882">
        <v>2025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  <c r="M1882" t="str">
        <f t="shared" si="116"/>
        <v>30-45</v>
      </c>
      <c r="N1882" t="str">
        <f t="shared" si="117"/>
        <v>Medium</v>
      </c>
      <c r="O1882" t="str">
        <f t="shared" si="118"/>
        <v>High Balance</v>
      </c>
      <c r="P1882" t="str">
        <f t="shared" si="119"/>
        <v>Long-term</v>
      </c>
    </row>
    <row r="1883" spans="1:16" x14ac:dyDescent="0.25">
      <c r="A1883">
        <v>2025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  <c r="M1883" t="str">
        <f t="shared" si="116"/>
        <v>30-45</v>
      </c>
      <c r="N1883" t="str">
        <f t="shared" si="117"/>
        <v>Medium</v>
      </c>
      <c r="O1883" t="str">
        <f t="shared" si="118"/>
        <v>Zero Balance</v>
      </c>
      <c r="P1883" t="str">
        <f t="shared" si="119"/>
        <v>New</v>
      </c>
    </row>
    <row r="1884" spans="1:16" x14ac:dyDescent="0.25">
      <c r="A1884">
        <v>2025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  <c r="M1884" t="str">
        <f t="shared" si="116"/>
        <v>30-45</v>
      </c>
      <c r="N1884" t="str">
        <f t="shared" si="117"/>
        <v>High</v>
      </c>
      <c r="O1884" t="str">
        <f t="shared" si="118"/>
        <v>Zero Balance</v>
      </c>
      <c r="P1884" t="str">
        <f t="shared" si="119"/>
        <v>New</v>
      </c>
    </row>
    <row r="1885" spans="1:16" x14ac:dyDescent="0.25">
      <c r="A1885">
        <v>2025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  <c r="M1885" t="str">
        <f t="shared" si="116"/>
        <v>&lt;30</v>
      </c>
      <c r="N1885" t="str">
        <f t="shared" si="117"/>
        <v>High</v>
      </c>
      <c r="O1885" t="str">
        <f t="shared" si="118"/>
        <v>High Balance</v>
      </c>
      <c r="P1885" t="str">
        <f t="shared" si="119"/>
        <v>Mid-term</v>
      </c>
    </row>
    <row r="1886" spans="1:16" x14ac:dyDescent="0.25">
      <c r="A1886">
        <v>2025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  <c r="M1886" t="str">
        <f t="shared" si="116"/>
        <v>30-45</v>
      </c>
      <c r="N1886" t="str">
        <f t="shared" si="117"/>
        <v>Medium</v>
      </c>
      <c r="O1886" t="str">
        <f t="shared" si="118"/>
        <v>Zero Balance</v>
      </c>
      <c r="P1886" t="str">
        <f t="shared" si="119"/>
        <v>Mid-term</v>
      </c>
    </row>
    <row r="1887" spans="1:16" x14ac:dyDescent="0.25">
      <c r="A1887">
        <v>2025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  <c r="M1887" t="str">
        <f t="shared" si="116"/>
        <v>30-45</v>
      </c>
      <c r="N1887" t="str">
        <f t="shared" si="117"/>
        <v>Medium</v>
      </c>
      <c r="O1887" t="str">
        <f t="shared" si="118"/>
        <v>Zero Balance</v>
      </c>
      <c r="P1887" t="str">
        <f t="shared" si="119"/>
        <v>Mid-term</v>
      </c>
    </row>
    <row r="1888" spans="1:16" x14ac:dyDescent="0.25">
      <c r="A1888">
        <v>2025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  <c r="M1888" t="str">
        <f t="shared" si="116"/>
        <v>30-45</v>
      </c>
      <c r="N1888" t="str">
        <f t="shared" si="117"/>
        <v>Medium</v>
      </c>
      <c r="O1888" t="str">
        <f t="shared" si="118"/>
        <v>High Balance</v>
      </c>
      <c r="P1888" t="str">
        <f t="shared" si="119"/>
        <v>Mid-term</v>
      </c>
    </row>
    <row r="1889" spans="1:16" x14ac:dyDescent="0.25">
      <c r="A1889">
        <v>2025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  <c r="M1889" t="str">
        <f t="shared" si="116"/>
        <v>30-45</v>
      </c>
      <c r="N1889" t="str">
        <f t="shared" si="117"/>
        <v>Medium</v>
      </c>
      <c r="O1889" t="str">
        <f t="shared" si="118"/>
        <v>High Balance</v>
      </c>
      <c r="P1889" t="str">
        <f t="shared" si="119"/>
        <v>Long-term</v>
      </c>
    </row>
    <row r="1890" spans="1:16" x14ac:dyDescent="0.25">
      <c r="A1890">
        <v>2025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  <c r="M1890" t="str">
        <f t="shared" si="116"/>
        <v>46-60</v>
      </c>
      <c r="N1890" t="str">
        <f t="shared" si="117"/>
        <v>Low</v>
      </c>
      <c r="O1890" t="str">
        <f t="shared" si="118"/>
        <v>Zero Balance</v>
      </c>
      <c r="P1890" t="str">
        <f t="shared" si="119"/>
        <v>Mid-term</v>
      </c>
    </row>
    <row r="1891" spans="1:16" x14ac:dyDescent="0.25">
      <c r="A1891">
        <v>2025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  <c r="M1891" t="str">
        <f t="shared" si="116"/>
        <v>&lt;30</v>
      </c>
      <c r="N1891" t="str">
        <f t="shared" si="117"/>
        <v>Medium</v>
      </c>
      <c r="O1891" t="str">
        <f t="shared" si="118"/>
        <v>High Balance</v>
      </c>
      <c r="P1891" t="str">
        <f t="shared" si="119"/>
        <v>Long-term</v>
      </c>
    </row>
    <row r="1892" spans="1:16" x14ac:dyDescent="0.25">
      <c r="A1892">
        <v>2025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  <c r="M1892" t="str">
        <f t="shared" si="116"/>
        <v>30-45</v>
      </c>
      <c r="N1892" t="str">
        <f t="shared" si="117"/>
        <v>High</v>
      </c>
      <c r="O1892" t="str">
        <f t="shared" si="118"/>
        <v>Zero Balance</v>
      </c>
      <c r="P1892" t="str">
        <f t="shared" si="119"/>
        <v>Mid-term</v>
      </c>
    </row>
    <row r="1893" spans="1:16" x14ac:dyDescent="0.25">
      <c r="A1893">
        <v>2025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  <c r="M1893" t="str">
        <f t="shared" si="116"/>
        <v>30-45</v>
      </c>
      <c r="N1893" t="str">
        <f t="shared" si="117"/>
        <v>Medium</v>
      </c>
      <c r="O1893" t="str">
        <f t="shared" si="118"/>
        <v>Zero Balance</v>
      </c>
      <c r="P1893" t="str">
        <f t="shared" si="119"/>
        <v>New</v>
      </c>
    </row>
    <row r="1894" spans="1:16" x14ac:dyDescent="0.25">
      <c r="A1894">
        <v>2025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  <c r="M1894" t="str">
        <f t="shared" si="116"/>
        <v>30-45</v>
      </c>
      <c r="N1894" t="str">
        <f t="shared" si="117"/>
        <v>Medium</v>
      </c>
      <c r="O1894" t="str">
        <f t="shared" si="118"/>
        <v>Low Balance</v>
      </c>
      <c r="P1894" t="str">
        <f t="shared" si="119"/>
        <v>Long-term</v>
      </c>
    </row>
    <row r="1895" spans="1:16" x14ac:dyDescent="0.25">
      <c r="A1895">
        <v>2025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  <c r="M1895" t="str">
        <f t="shared" si="116"/>
        <v>30-45</v>
      </c>
      <c r="N1895" t="str">
        <f t="shared" si="117"/>
        <v>Low</v>
      </c>
      <c r="O1895" t="str">
        <f t="shared" si="118"/>
        <v>Zero Balance</v>
      </c>
      <c r="P1895" t="str">
        <f t="shared" si="119"/>
        <v>New</v>
      </c>
    </row>
    <row r="1896" spans="1:16" x14ac:dyDescent="0.25">
      <c r="A1896">
        <v>2025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  <c r="M1896" t="str">
        <f t="shared" si="116"/>
        <v>46-60</v>
      </c>
      <c r="N1896" t="str">
        <f t="shared" si="117"/>
        <v>Medium</v>
      </c>
      <c r="O1896" t="str">
        <f t="shared" si="118"/>
        <v>High Balance</v>
      </c>
      <c r="P1896" t="str">
        <f t="shared" si="119"/>
        <v>Mid-term</v>
      </c>
    </row>
    <row r="1897" spans="1:16" x14ac:dyDescent="0.25">
      <c r="A1897">
        <v>2025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  <c r="M1897" t="str">
        <f t="shared" si="116"/>
        <v>&lt;30</v>
      </c>
      <c r="N1897" t="str">
        <f t="shared" si="117"/>
        <v>High</v>
      </c>
      <c r="O1897" t="str">
        <f t="shared" si="118"/>
        <v>High Balance</v>
      </c>
      <c r="P1897" t="str">
        <f t="shared" si="119"/>
        <v>Mid-term</v>
      </c>
    </row>
    <row r="1898" spans="1:16" x14ac:dyDescent="0.25">
      <c r="A1898">
        <v>2025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  <c r="M1898" t="str">
        <f t="shared" si="116"/>
        <v>30-45</v>
      </c>
      <c r="N1898" t="str">
        <f t="shared" si="117"/>
        <v>High</v>
      </c>
      <c r="O1898" t="str">
        <f t="shared" si="118"/>
        <v>Zero Balance</v>
      </c>
      <c r="P1898" t="str">
        <f t="shared" si="119"/>
        <v>New</v>
      </c>
    </row>
    <row r="1899" spans="1:16" x14ac:dyDescent="0.25">
      <c r="A1899">
        <v>2025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  <c r="M1899" t="str">
        <f t="shared" si="116"/>
        <v>30-45</v>
      </c>
      <c r="N1899" t="str">
        <f t="shared" si="117"/>
        <v>Medium</v>
      </c>
      <c r="O1899" t="str">
        <f t="shared" si="118"/>
        <v>Zero Balance</v>
      </c>
      <c r="P1899" t="str">
        <f t="shared" si="119"/>
        <v>New</v>
      </c>
    </row>
    <row r="1900" spans="1:16" x14ac:dyDescent="0.25">
      <c r="A1900">
        <v>2025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  <c r="M1900" t="str">
        <f t="shared" si="116"/>
        <v>30-45</v>
      </c>
      <c r="N1900" t="str">
        <f t="shared" si="117"/>
        <v>High</v>
      </c>
      <c r="O1900" t="str">
        <f t="shared" si="118"/>
        <v>High Balance</v>
      </c>
      <c r="P1900" t="str">
        <f t="shared" si="119"/>
        <v>Mid-term</v>
      </c>
    </row>
    <row r="1901" spans="1:16" x14ac:dyDescent="0.25">
      <c r="A1901">
        <v>2025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  <c r="M1901" t="str">
        <f t="shared" si="116"/>
        <v>30-45</v>
      </c>
      <c r="N1901" t="str">
        <f t="shared" si="117"/>
        <v>Medium</v>
      </c>
      <c r="O1901" t="str">
        <f t="shared" si="118"/>
        <v>Zero Balance</v>
      </c>
      <c r="P1901" t="str">
        <f t="shared" si="119"/>
        <v>Mid-term</v>
      </c>
    </row>
    <row r="1902" spans="1:16" x14ac:dyDescent="0.25">
      <c r="A1902">
        <v>2025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  <c r="M1902" t="str">
        <f t="shared" si="116"/>
        <v>30-45</v>
      </c>
      <c r="N1902" t="str">
        <f t="shared" si="117"/>
        <v>Medium</v>
      </c>
      <c r="O1902" t="str">
        <f t="shared" si="118"/>
        <v>Zero Balance</v>
      </c>
      <c r="P1902" t="str">
        <f t="shared" si="119"/>
        <v>Long-term</v>
      </c>
    </row>
    <row r="1903" spans="1:16" x14ac:dyDescent="0.25">
      <c r="A1903">
        <v>2025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  <c r="M1903" t="str">
        <f t="shared" si="116"/>
        <v>60+</v>
      </c>
      <c r="N1903" t="str">
        <f t="shared" si="117"/>
        <v>High</v>
      </c>
      <c r="O1903" t="str">
        <f t="shared" si="118"/>
        <v>Zero Balance</v>
      </c>
      <c r="P1903" t="str">
        <f t="shared" si="119"/>
        <v>Mid-term</v>
      </c>
    </row>
    <row r="1904" spans="1:16" x14ac:dyDescent="0.25">
      <c r="A1904">
        <v>2025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  <c r="M1904" t="str">
        <f t="shared" si="116"/>
        <v>30-45</v>
      </c>
      <c r="N1904" t="str">
        <f t="shared" si="117"/>
        <v>High</v>
      </c>
      <c r="O1904" t="str">
        <f t="shared" si="118"/>
        <v>Zero Balance</v>
      </c>
      <c r="P1904" t="str">
        <f t="shared" si="119"/>
        <v>Long-term</v>
      </c>
    </row>
    <row r="1905" spans="1:16" x14ac:dyDescent="0.25">
      <c r="A1905">
        <v>2025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  <c r="M1905" t="str">
        <f t="shared" si="116"/>
        <v>30-45</v>
      </c>
      <c r="N1905" t="str">
        <f t="shared" si="117"/>
        <v>High</v>
      </c>
      <c r="O1905" t="str">
        <f t="shared" si="118"/>
        <v>Zero Balance</v>
      </c>
      <c r="P1905" t="str">
        <f t="shared" si="119"/>
        <v>New</v>
      </c>
    </row>
    <row r="1906" spans="1:16" x14ac:dyDescent="0.25">
      <c r="A1906">
        <v>2025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  <c r="M1906" t="str">
        <f t="shared" si="116"/>
        <v>60+</v>
      </c>
      <c r="N1906" t="str">
        <f t="shared" si="117"/>
        <v>Medium</v>
      </c>
      <c r="O1906" t="str">
        <f t="shared" si="118"/>
        <v>High Balance</v>
      </c>
      <c r="P1906" t="str">
        <f t="shared" si="119"/>
        <v>New</v>
      </c>
    </row>
    <row r="1907" spans="1:16" x14ac:dyDescent="0.25">
      <c r="A1907">
        <v>2025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  <c r="M1907" t="str">
        <f t="shared" si="116"/>
        <v>&lt;30</v>
      </c>
      <c r="N1907" t="str">
        <f t="shared" si="117"/>
        <v>Medium</v>
      </c>
      <c r="O1907" t="str">
        <f t="shared" si="118"/>
        <v>High Balance</v>
      </c>
      <c r="P1907" t="str">
        <f t="shared" si="119"/>
        <v>Long-term</v>
      </c>
    </row>
    <row r="1908" spans="1:16" x14ac:dyDescent="0.25">
      <c r="A1908">
        <v>2025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  <c r="M1908" t="str">
        <f t="shared" si="116"/>
        <v>&lt;30</v>
      </c>
      <c r="N1908" t="str">
        <f t="shared" si="117"/>
        <v>High</v>
      </c>
      <c r="O1908" t="str">
        <f t="shared" si="118"/>
        <v>Zero Balance</v>
      </c>
      <c r="P1908" t="str">
        <f t="shared" si="119"/>
        <v>Mid-term</v>
      </c>
    </row>
    <row r="1909" spans="1:16" x14ac:dyDescent="0.25">
      <c r="A1909">
        <v>2025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  <c r="M1909" t="str">
        <f t="shared" si="116"/>
        <v>60+</v>
      </c>
      <c r="N1909" t="str">
        <f t="shared" si="117"/>
        <v>Medium</v>
      </c>
      <c r="O1909" t="str">
        <f t="shared" si="118"/>
        <v>Zero Balance</v>
      </c>
      <c r="P1909" t="str">
        <f t="shared" si="119"/>
        <v>New</v>
      </c>
    </row>
    <row r="1910" spans="1:16" x14ac:dyDescent="0.25">
      <c r="A1910">
        <v>2025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  <c r="M1910" t="str">
        <f t="shared" si="116"/>
        <v>46-60</v>
      </c>
      <c r="N1910" t="str">
        <f t="shared" si="117"/>
        <v>Medium</v>
      </c>
      <c r="O1910" t="str">
        <f t="shared" si="118"/>
        <v>Zero Balance</v>
      </c>
      <c r="P1910" t="str">
        <f t="shared" si="119"/>
        <v>Mid-term</v>
      </c>
    </row>
    <row r="1911" spans="1:16" x14ac:dyDescent="0.25">
      <c r="A1911">
        <v>2025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  <c r="M1911" t="str">
        <f t="shared" si="116"/>
        <v>30-45</v>
      </c>
      <c r="N1911" t="str">
        <f t="shared" si="117"/>
        <v>Medium</v>
      </c>
      <c r="O1911" t="str">
        <f t="shared" si="118"/>
        <v>Zero Balance</v>
      </c>
      <c r="P1911" t="str">
        <f t="shared" si="119"/>
        <v>New</v>
      </c>
    </row>
    <row r="1912" spans="1:16" x14ac:dyDescent="0.25">
      <c r="A1912">
        <v>2025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  <c r="M1912" t="str">
        <f t="shared" si="116"/>
        <v>30-45</v>
      </c>
      <c r="N1912" t="str">
        <f t="shared" si="117"/>
        <v>Medium</v>
      </c>
      <c r="O1912" t="str">
        <f t="shared" si="118"/>
        <v>Low Balance</v>
      </c>
      <c r="P1912" t="str">
        <f t="shared" si="119"/>
        <v>New</v>
      </c>
    </row>
    <row r="1913" spans="1:16" x14ac:dyDescent="0.25">
      <c r="A1913">
        <v>2025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  <c r="M1913" t="str">
        <f t="shared" si="116"/>
        <v>30-45</v>
      </c>
      <c r="N1913" t="str">
        <f t="shared" si="117"/>
        <v>Medium</v>
      </c>
      <c r="O1913" t="str">
        <f t="shared" si="118"/>
        <v>Zero Balance</v>
      </c>
      <c r="P1913" t="str">
        <f t="shared" si="119"/>
        <v>Long-term</v>
      </c>
    </row>
    <row r="1914" spans="1:16" x14ac:dyDescent="0.25">
      <c r="A1914">
        <v>2025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  <c r="M1914" t="str">
        <f t="shared" si="116"/>
        <v>&lt;30</v>
      </c>
      <c r="N1914" t="str">
        <f t="shared" si="117"/>
        <v>Medium</v>
      </c>
      <c r="O1914" t="str">
        <f t="shared" si="118"/>
        <v>Low Balance</v>
      </c>
      <c r="P1914" t="str">
        <f t="shared" si="119"/>
        <v>Mid-term</v>
      </c>
    </row>
    <row r="1915" spans="1:16" x14ac:dyDescent="0.25">
      <c r="A1915">
        <v>2025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  <c r="M1915" t="str">
        <f t="shared" si="116"/>
        <v>30-45</v>
      </c>
      <c r="N1915" t="str">
        <f t="shared" si="117"/>
        <v>High</v>
      </c>
      <c r="O1915" t="str">
        <f t="shared" si="118"/>
        <v>High Balance</v>
      </c>
      <c r="P1915" t="str">
        <f t="shared" si="119"/>
        <v>Mid-term</v>
      </c>
    </row>
    <row r="1916" spans="1:16" x14ac:dyDescent="0.25">
      <c r="A1916">
        <v>2025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  <c r="M1916" t="str">
        <f t="shared" si="116"/>
        <v>30-45</v>
      </c>
      <c r="N1916" t="str">
        <f t="shared" si="117"/>
        <v>High</v>
      </c>
      <c r="O1916" t="str">
        <f t="shared" si="118"/>
        <v>High Balance</v>
      </c>
      <c r="P1916" t="str">
        <f t="shared" si="119"/>
        <v>New</v>
      </c>
    </row>
    <row r="1917" spans="1:16" x14ac:dyDescent="0.25">
      <c r="A1917">
        <v>2025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  <c r="M1917" t="str">
        <f t="shared" si="116"/>
        <v>&lt;30</v>
      </c>
      <c r="N1917" t="str">
        <f t="shared" si="117"/>
        <v>Medium</v>
      </c>
      <c r="O1917" t="str">
        <f t="shared" si="118"/>
        <v>Zero Balance</v>
      </c>
      <c r="P1917" t="str">
        <f t="shared" si="119"/>
        <v>Mid-term</v>
      </c>
    </row>
    <row r="1918" spans="1:16" x14ac:dyDescent="0.25">
      <c r="A1918">
        <v>2025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  <c r="M1918" t="str">
        <f t="shared" si="116"/>
        <v>46-60</v>
      </c>
      <c r="N1918" t="str">
        <f t="shared" si="117"/>
        <v>Medium</v>
      </c>
      <c r="O1918" t="str">
        <f t="shared" si="118"/>
        <v>High Balance</v>
      </c>
      <c r="P1918" t="str">
        <f t="shared" si="119"/>
        <v>New</v>
      </c>
    </row>
    <row r="1919" spans="1:16" x14ac:dyDescent="0.25">
      <c r="A1919">
        <v>2025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  <c r="M1919" t="str">
        <f t="shared" si="116"/>
        <v>30-45</v>
      </c>
      <c r="N1919" t="str">
        <f t="shared" si="117"/>
        <v>Low</v>
      </c>
      <c r="O1919" t="str">
        <f t="shared" si="118"/>
        <v>High Balance</v>
      </c>
      <c r="P1919" t="str">
        <f t="shared" si="119"/>
        <v>New</v>
      </c>
    </row>
    <row r="1920" spans="1:16" x14ac:dyDescent="0.25">
      <c r="A1920">
        <v>2025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  <c r="M1920" t="str">
        <f t="shared" si="116"/>
        <v>&lt;30</v>
      </c>
      <c r="N1920" t="str">
        <f t="shared" si="117"/>
        <v>High</v>
      </c>
      <c r="O1920" t="str">
        <f t="shared" si="118"/>
        <v>High Balance</v>
      </c>
      <c r="P1920" t="str">
        <f t="shared" si="119"/>
        <v>New</v>
      </c>
    </row>
    <row r="1921" spans="1:16" x14ac:dyDescent="0.25">
      <c r="A1921">
        <v>2025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  <c r="M1921" t="str">
        <f t="shared" si="116"/>
        <v>46-60</v>
      </c>
      <c r="N1921" t="str">
        <f t="shared" si="117"/>
        <v>Medium</v>
      </c>
      <c r="O1921" t="str">
        <f t="shared" si="118"/>
        <v>Zero Balance</v>
      </c>
      <c r="P1921" t="str">
        <f t="shared" si="119"/>
        <v>Mid-term</v>
      </c>
    </row>
    <row r="1922" spans="1:16" x14ac:dyDescent="0.25">
      <c r="A1922">
        <v>2025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  <c r="M1922" t="str">
        <f t="shared" si="116"/>
        <v>30-45</v>
      </c>
      <c r="N1922" t="str">
        <f t="shared" si="117"/>
        <v>Medium</v>
      </c>
      <c r="O1922" t="str">
        <f t="shared" si="118"/>
        <v>Zero Balance</v>
      </c>
      <c r="P1922" t="str">
        <f t="shared" si="119"/>
        <v>Mid-term</v>
      </c>
    </row>
    <row r="1923" spans="1:16" x14ac:dyDescent="0.25">
      <c r="A1923">
        <v>2025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  <c r="M1923" t="str">
        <f t="shared" ref="M1923:M1986" si="120">IF(E1923&lt;30,"&lt;30",IF(E1923&lt;=45,"30-45",IF(E1923&lt;=60,"46-60","60+")))</f>
        <v>30-45</v>
      </c>
      <c r="N1923" t="str">
        <f t="shared" ref="N1923:N1986" si="121">IF(B1923&lt;500,"Low",IF(B1923&lt;700,"Medium","High"))</f>
        <v>Medium</v>
      </c>
      <c r="O1923" t="str">
        <f t="shared" ref="O1923:O1986" si="122">IF(G1923=0,"Zero Balance",IF(G1923&lt;100000,"Low Balance","High Balance"))</f>
        <v>High Balance</v>
      </c>
      <c r="P1923" t="str">
        <f t="shared" ref="P1923:P1986" si="123">IF(F1923&lt;=3,"New",IF(F1923&lt;=7,"Mid-term","Long-term"))</f>
        <v>Mid-term</v>
      </c>
    </row>
    <row r="1924" spans="1:16" x14ac:dyDescent="0.25">
      <c r="A1924">
        <v>2025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  <c r="M1924" t="str">
        <f t="shared" si="120"/>
        <v>30-45</v>
      </c>
      <c r="N1924" t="str">
        <f t="shared" si="121"/>
        <v>Medium</v>
      </c>
      <c r="O1924" t="str">
        <f t="shared" si="122"/>
        <v>High Balance</v>
      </c>
      <c r="P1924" t="str">
        <f t="shared" si="123"/>
        <v>Long-term</v>
      </c>
    </row>
    <row r="1925" spans="1:16" x14ac:dyDescent="0.25">
      <c r="A1925">
        <v>2025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  <c r="M1925" t="str">
        <f t="shared" si="120"/>
        <v>30-45</v>
      </c>
      <c r="N1925" t="str">
        <f t="shared" si="121"/>
        <v>High</v>
      </c>
      <c r="O1925" t="str">
        <f t="shared" si="122"/>
        <v>High Balance</v>
      </c>
      <c r="P1925" t="str">
        <f t="shared" si="123"/>
        <v>New</v>
      </c>
    </row>
    <row r="1926" spans="1:16" x14ac:dyDescent="0.25">
      <c r="A1926">
        <v>2025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  <c r="M1926" t="str">
        <f t="shared" si="120"/>
        <v>30-45</v>
      </c>
      <c r="N1926" t="str">
        <f t="shared" si="121"/>
        <v>Medium</v>
      </c>
      <c r="O1926" t="str">
        <f t="shared" si="122"/>
        <v>High Balance</v>
      </c>
      <c r="P1926" t="str">
        <f t="shared" si="123"/>
        <v>Long-term</v>
      </c>
    </row>
    <row r="1927" spans="1:16" x14ac:dyDescent="0.25">
      <c r="A1927">
        <v>2025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  <c r="M1927" t="str">
        <f t="shared" si="120"/>
        <v>&lt;30</v>
      </c>
      <c r="N1927" t="str">
        <f t="shared" si="121"/>
        <v>High</v>
      </c>
      <c r="O1927" t="str">
        <f t="shared" si="122"/>
        <v>Zero Balance</v>
      </c>
      <c r="P1927" t="str">
        <f t="shared" si="123"/>
        <v>New</v>
      </c>
    </row>
    <row r="1928" spans="1:16" x14ac:dyDescent="0.25">
      <c r="A1928">
        <v>2025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  <c r="M1928" t="str">
        <f t="shared" si="120"/>
        <v>30-45</v>
      </c>
      <c r="N1928" t="str">
        <f t="shared" si="121"/>
        <v>Medium</v>
      </c>
      <c r="O1928" t="str">
        <f t="shared" si="122"/>
        <v>Zero Balance</v>
      </c>
      <c r="P1928" t="str">
        <f t="shared" si="123"/>
        <v>New</v>
      </c>
    </row>
    <row r="1929" spans="1:16" x14ac:dyDescent="0.25">
      <c r="A1929">
        <v>2025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  <c r="M1929" t="str">
        <f t="shared" si="120"/>
        <v>30-45</v>
      </c>
      <c r="N1929" t="str">
        <f t="shared" si="121"/>
        <v>High</v>
      </c>
      <c r="O1929" t="str">
        <f t="shared" si="122"/>
        <v>High Balance</v>
      </c>
      <c r="P1929" t="str">
        <f t="shared" si="123"/>
        <v>Long-term</v>
      </c>
    </row>
    <row r="1930" spans="1:16" x14ac:dyDescent="0.25">
      <c r="A1930">
        <v>2025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  <c r="M1930" t="str">
        <f t="shared" si="120"/>
        <v>46-60</v>
      </c>
      <c r="N1930" t="str">
        <f t="shared" si="121"/>
        <v>Low</v>
      </c>
      <c r="O1930" t="str">
        <f t="shared" si="122"/>
        <v>High Balance</v>
      </c>
      <c r="P1930" t="str">
        <f t="shared" si="123"/>
        <v>New</v>
      </c>
    </row>
    <row r="1931" spans="1:16" x14ac:dyDescent="0.25">
      <c r="A1931">
        <v>2025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  <c r="M1931" t="str">
        <f t="shared" si="120"/>
        <v>30-45</v>
      </c>
      <c r="N1931" t="str">
        <f t="shared" si="121"/>
        <v>Medium</v>
      </c>
      <c r="O1931" t="str">
        <f t="shared" si="122"/>
        <v>High Balance</v>
      </c>
      <c r="P1931" t="str">
        <f t="shared" si="123"/>
        <v>New</v>
      </c>
    </row>
    <row r="1932" spans="1:16" x14ac:dyDescent="0.25">
      <c r="A1932">
        <v>2025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  <c r="M1932" t="str">
        <f t="shared" si="120"/>
        <v>&lt;30</v>
      </c>
      <c r="N1932" t="str">
        <f t="shared" si="121"/>
        <v>Medium</v>
      </c>
      <c r="O1932" t="str">
        <f t="shared" si="122"/>
        <v>Low Balance</v>
      </c>
      <c r="P1932" t="str">
        <f t="shared" si="123"/>
        <v>Mid-term</v>
      </c>
    </row>
    <row r="1933" spans="1:16" x14ac:dyDescent="0.25">
      <c r="A1933">
        <v>2025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  <c r="M1933" t="str">
        <f t="shared" si="120"/>
        <v>&lt;30</v>
      </c>
      <c r="N1933" t="str">
        <f t="shared" si="121"/>
        <v>Medium</v>
      </c>
      <c r="O1933" t="str">
        <f t="shared" si="122"/>
        <v>High Balance</v>
      </c>
      <c r="P1933" t="str">
        <f t="shared" si="123"/>
        <v>Mid-term</v>
      </c>
    </row>
    <row r="1934" spans="1:16" x14ac:dyDescent="0.25">
      <c r="A1934">
        <v>2025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  <c r="M1934" t="str">
        <f t="shared" si="120"/>
        <v>46-60</v>
      </c>
      <c r="N1934" t="str">
        <f t="shared" si="121"/>
        <v>Medium</v>
      </c>
      <c r="O1934" t="str">
        <f t="shared" si="122"/>
        <v>Zero Balance</v>
      </c>
      <c r="P1934" t="str">
        <f t="shared" si="123"/>
        <v>Mid-term</v>
      </c>
    </row>
    <row r="1935" spans="1:16" x14ac:dyDescent="0.25">
      <c r="A1935">
        <v>2025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  <c r="M1935" t="str">
        <f t="shared" si="120"/>
        <v>60+</v>
      </c>
      <c r="N1935" t="str">
        <f t="shared" si="121"/>
        <v>Medium</v>
      </c>
      <c r="O1935" t="str">
        <f t="shared" si="122"/>
        <v>High Balance</v>
      </c>
      <c r="P1935" t="str">
        <f t="shared" si="123"/>
        <v>Mid-term</v>
      </c>
    </row>
    <row r="1936" spans="1:16" x14ac:dyDescent="0.25">
      <c r="A1936">
        <v>2025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  <c r="M1936" t="str">
        <f t="shared" si="120"/>
        <v>30-45</v>
      </c>
      <c r="N1936" t="str">
        <f t="shared" si="121"/>
        <v>High</v>
      </c>
      <c r="O1936" t="str">
        <f t="shared" si="122"/>
        <v>High Balance</v>
      </c>
      <c r="P1936" t="str">
        <f t="shared" si="123"/>
        <v>Mid-term</v>
      </c>
    </row>
    <row r="1937" spans="1:16" x14ac:dyDescent="0.25">
      <c r="A1937">
        <v>2025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  <c r="M1937" t="str">
        <f t="shared" si="120"/>
        <v>30-45</v>
      </c>
      <c r="N1937" t="str">
        <f t="shared" si="121"/>
        <v>Medium</v>
      </c>
      <c r="O1937" t="str">
        <f t="shared" si="122"/>
        <v>Zero Balance</v>
      </c>
      <c r="P1937" t="str">
        <f t="shared" si="123"/>
        <v>New</v>
      </c>
    </row>
    <row r="1938" spans="1:16" x14ac:dyDescent="0.25">
      <c r="A1938">
        <v>2025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  <c r="M1938" t="str">
        <f t="shared" si="120"/>
        <v>30-45</v>
      </c>
      <c r="N1938" t="str">
        <f t="shared" si="121"/>
        <v>High</v>
      </c>
      <c r="O1938" t="str">
        <f t="shared" si="122"/>
        <v>High Balance</v>
      </c>
      <c r="P1938" t="str">
        <f t="shared" si="123"/>
        <v>Long-term</v>
      </c>
    </row>
    <row r="1939" spans="1:16" x14ac:dyDescent="0.25">
      <c r="A1939">
        <v>2025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  <c r="M1939" t="str">
        <f t="shared" si="120"/>
        <v>30-45</v>
      </c>
      <c r="N1939" t="str">
        <f t="shared" si="121"/>
        <v>High</v>
      </c>
      <c r="O1939" t="str">
        <f t="shared" si="122"/>
        <v>High Balance</v>
      </c>
      <c r="P1939" t="str">
        <f t="shared" si="123"/>
        <v>New</v>
      </c>
    </row>
    <row r="1940" spans="1:16" x14ac:dyDescent="0.25">
      <c r="A1940">
        <v>2025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  <c r="M1940" t="str">
        <f t="shared" si="120"/>
        <v>30-45</v>
      </c>
      <c r="N1940" t="str">
        <f t="shared" si="121"/>
        <v>Medium</v>
      </c>
      <c r="O1940" t="str">
        <f t="shared" si="122"/>
        <v>Low Balance</v>
      </c>
      <c r="P1940" t="str">
        <f t="shared" si="123"/>
        <v>New</v>
      </c>
    </row>
    <row r="1941" spans="1:16" x14ac:dyDescent="0.25">
      <c r="A1941">
        <v>2025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  <c r="M1941" t="str">
        <f t="shared" si="120"/>
        <v>30-45</v>
      </c>
      <c r="N1941" t="str">
        <f t="shared" si="121"/>
        <v>High</v>
      </c>
      <c r="O1941" t="str">
        <f t="shared" si="122"/>
        <v>High Balance</v>
      </c>
      <c r="P1941" t="str">
        <f t="shared" si="123"/>
        <v>Mid-term</v>
      </c>
    </row>
    <row r="1942" spans="1:16" x14ac:dyDescent="0.25">
      <c r="A1942">
        <v>2025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  <c r="M1942" t="str">
        <f t="shared" si="120"/>
        <v>30-45</v>
      </c>
      <c r="N1942" t="str">
        <f t="shared" si="121"/>
        <v>Medium</v>
      </c>
      <c r="O1942" t="str">
        <f t="shared" si="122"/>
        <v>High Balance</v>
      </c>
      <c r="P1942" t="str">
        <f t="shared" si="123"/>
        <v>Mid-term</v>
      </c>
    </row>
    <row r="1943" spans="1:16" x14ac:dyDescent="0.25">
      <c r="A1943">
        <v>2025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  <c r="M1943" t="str">
        <f t="shared" si="120"/>
        <v>30-45</v>
      </c>
      <c r="N1943" t="str">
        <f t="shared" si="121"/>
        <v>Low</v>
      </c>
      <c r="O1943" t="str">
        <f t="shared" si="122"/>
        <v>Low Balance</v>
      </c>
      <c r="P1943" t="str">
        <f t="shared" si="123"/>
        <v>New</v>
      </c>
    </row>
    <row r="1944" spans="1:16" x14ac:dyDescent="0.25">
      <c r="A1944">
        <v>2025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  <c r="M1944" t="str">
        <f t="shared" si="120"/>
        <v>30-45</v>
      </c>
      <c r="N1944" t="str">
        <f t="shared" si="121"/>
        <v>Medium</v>
      </c>
      <c r="O1944" t="str">
        <f t="shared" si="122"/>
        <v>High Balance</v>
      </c>
      <c r="P1944" t="str">
        <f t="shared" si="123"/>
        <v>Mid-term</v>
      </c>
    </row>
    <row r="1945" spans="1:16" x14ac:dyDescent="0.25">
      <c r="A1945">
        <v>2025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  <c r="M1945" t="str">
        <f t="shared" si="120"/>
        <v>30-45</v>
      </c>
      <c r="N1945" t="str">
        <f t="shared" si="121"/>
        <v>High</v>
      </c>
      <c r="O1945" t="str">
        <f t="shared" si="122"/>
        <v>High Balance</v>
      </c>
      <c r="P1945" t="str">
        <f t="shared" si="123"/>
        <v>Mid-term</v>
      </c>
    </row>
    <row r="1946" spans="1:16" x14ac:dyDescent="0.25">
      <c r="A1946">
        <v>2025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  <c r="M1946" t="str">
        <f t="shared" si="120"/>
        <v>30-45</v>
      </c>
      <c r="N1946" t="str">
        <f t="shared" si="121"/>
        <v>High</v>
      </c>
      <c r="O1946" t="str">
        <f t="shared" si="122"/>
        <v>Zero Balance</v>
      </c>
      <c r="P1946" t="str">
        <f t="shared" si="123"/>
        <v>Long-term</v>
      </c>
    </row>
    <row r="1947" spans="1:16" x14ac:dyDescent="0.25">
      <c r="A1947">
        <v>2025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  <c r="M1947" t="str">
        <f t="shared" si="120"/>
        <v>&lt;30</v>
      </c>
      <c r="N1947" t="str">
        <f t="shared" si="121"/>
        <v>High</v>
      </c>
      <c r="O1947" t="str">
        <f t="shared" si="122"/>
        <v>High Balance</v>
      </c>
      <c r="P1947" t="str">
        <f t="shared" si="123"/>
        <v>Mid-term</v>
      </c>
    </row>
    <row r="1948" spans="1:16" x14ac:dyDescent="0.25">
      <c r="A1948">
        <v>2025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  <c r="M1948" t="str">
        <f t="shared" si="120"/>
        <v>30-45</v>
      </c>
      <c r="N1948" t="str">
        <f t="shared" si="121"/>
        <v>Medium</v>
      </c>
      <c r="O1948" t="str">
        <f t="shared" si="122"/>
        <v>Low Balance</v>
      </c>
      <c r="P1948" t="str">
        <f t="shared" si="123"/>
        <v>New</v>
      </c>
    </row>
    <row r="1949" spans="1:16" x14ac:dyDescent="0.25">
      <c r="A1949">
        <v>2025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  <c r="M1949" t="str">
        <f t="shared" si="120"/>
        <v>46-60</v>
      </c>
      <c r="N1949" t="str">
        <f t="shared" si="121"/>
        <v>Medium</v>
      </c>
      <c r="O1949" t="str">
        <f t="shared" si="122"/>
        <v>Zero Balance</v>
      </c>
      <c r="P1949" t="str">
        <f t="shared" si="123"/>
        <v>New</v>
      </c>
    </row>
    <row r="1950" spans="1:16" x14ac:dyDescent="0.25">
      <c r="A1950">
        <v>2025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  <c r="M1950" t="str">
        <f t="shared" si="120"/>
        <v>30-45</v>
      </c>
      <c r="N1950" t="str">
        <f t="shared" si="121"/>
        <v>Medium</v>
      </c>
      <c r="O1950" t="str">
        <f t="shared" si="122"/>
        <v>Zero Balance</v>
      </c>
      <c r="P1950" t="str">
        <f t="shared" si="123"/>
        <v>Long-term</v>
      </c>
    </row>
    <row r="1951" spans="1:16" x14ac:dyDescent="0.25">
      <c r="A1951">
        <v>2025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  <c r="M1951" t="str">
        <f t="shared" si="120"/>
        <v>30-45</v>
      </c>
      <c r="N1951" t="str">
        <f t="shared" si="121"/>
        <v>Medium</v>
      </c>
      <c r="O1951" t="str">
        <f t="shared" si="122"/>
        <v>High Balance</v>
      </c>
      <c r="P1951" t="str">
        <f t="shared" si="123"/>
        <v>New</v>
      </c>
    </row>
    <row r="1952" spans="1:16" x14ac:dyDescent="0.25">
      <c r="A1952">
        <v>2025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  <c r="M1952" t="str">
        <f t="shared" si="120"/>
        <v>30-45</v>
      </c>
      <c r="N1952" t="str">
        <f t="shared" si="121"/>
        <v>Medium</v>
      </c>
      <c r="O1952" t="str">
        <f t="shared" si="122"/>
        <v>High Balance</v>
      </c>
      <c r="P1952" t="str">
        <f t="shared" si="123"/>
        <v>Long-term</v>
      </c>
    </row>
    <row r="1953" spans="1:16" x14ac:dyDescent="0.25">
      <c r="A1953">
        <v>2025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  <c r="M1953" t="str">
        <f t="shared" si="120"/>
        <v>46-60</v>
      </c>
      <c r="N1953" t="str">
        <f t="shared" si="121"/>
        <v>Medium</v>
      </c>
      <c r="O1953" t="str">
        <f t="shared" si="122"/>
        <v>High Balance</v>
      </c>
      <c r="P1953" t="str">
        <f t="shared" si="123"/>
        <v>Long-term</v>
      </c>
    </row>
    <row r="1954" spans="1:16" x14ac:dyDescent="0.25">
      <c r="A1954">
        <v>2025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  <c r="M1954" t="str">
        <f t="shared" si="120"/>
        <v>&lt;30</v>
      </c>
      <c r="N1954" t="str">
        <f t="shared" si="121"/>
        <v>Medium</v>
      </c>
      <c r="O1954" t="str">
        <f t="shared" si="122"/>
        <v>Low Balance</v>
      </c>
      <c r="P1954" t="str">
        <f t="shared" si="123"/>
        <v>Long-term</v>
      </c>
    </row>
    <row r="1955" spans="1:16" x14ac:dyDescent="0.25">
      <c r="A1955">
        <v>2025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  <c r="M1955" t="str">
        <f t="shared" si="120"/>
        <v>&lt;30</v>
      </c>
      <c r="N1955" t="str">
        <f t="shared" si="121"/>
        <v>Medium</v>
      </c>
      <c r="O1955" t="str">
        <f t="shared" si="122"/>
        <v>Zero Balance</v>
      </c>
      <c r="P1955" t="str">
        <f t="shared" si="123"/>
        <v>Long-term</v>
      </c>
    </row>
    <row r="1956" spans="1:16" x14ac:dyDescent="0.25">
      <c r="A1956">
        <v>2025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  <c r="M1956" t="str">
        <f t="shared" si="120"/>
        <v>46-60</v>
      </c>
      <c r="N1956" t="str">
        <f t="shared" si="121"/>
        <v>Medium</v>
      </c>
      <c r="O1956" t="str">
        <f t="shared" si="122"/>
        <v>High Balance</v>
      </c>
      <c r="P1956" t="str">
        <f t="shared" si="123"/>
        <v>Mid-term</v>
      </c>
    </row>
    <row r="1957" spans="1:16" x14ac:dyDescent="0.25">
      <c r="A1957">
        <v>2025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  <c r="M1957" t="str">
        <f t="shared" si="120"/>
        <v>46-60</v>
      </c>
      <c r="N1957" t="str">
        <f t="shared" si="121"/>
        <v>Medium</v>
      </c>
      <c r="O1957" t="str">
        <f t="shared" si="122"/>
        <v>High Balance</v>
      </c>
      <c r="P1957" t="str">
        <f t="shared" si="123"/>
        <v>New</v>
      </c>
    </row>
    <row r="1958" spans="1:16" x14ac:dyDescent="0.25">
      <c r="A1958">
        <v>2025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  <c r="M1958" t="str">
        <f t="shared" si="120"/>
        <v>46-60</v>
      </c>
      <c r="N1958" t="str">
        <f t="shared" si="121"/>
        <v>Medium</v>
      </c>
      <c r="O1958" t="str">
        <f t="shared" si="122"/>
        <v>High Balance</v>
      </c>
      <c r="P1958" t="str">
        <f t="shared" si="123"/>
        <v>Mid-term</v>
      </c>
    </row>
    <row r="1959" spans="1:16" x14ac:dyDescent="0.25">
      <c r="A1959">
        <v>2025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  <c r="M1959" t="str">
        <f t="shared" si="120"/>
        <v>46-60</v>
      </c>
      <c r="N1959" t="str">
        <f t="shared" si="121"/>
        <v>High</v>
      </c>
      <c r="O1959" t="str">
        <f t="shared" si="122"/>
        <v>High Balance</v>
      </c>
      <c r="P1959" t="str">
        <f t="shared" si="123"/>
        <v>Mid-term</v>
      </c>
    </row>
    <row r="1960" spans="1:16" x14ac:dyDescent="0.25">
      <c r="A1960">
        <v>2025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  <c r="M1960" t="str">
        <f t="shared" si="120"/>
        <v>30-45</v>
      </c>
      <c r="N1960" t="str">
        <f t="shared" si="121"/>
        <v>Medium</v>
      </c>
      <c r="O1960" t="str">
        <f t="shared" si="122"/>
        <v>Zero Balance</v>
      </c>
      <c r="P1960" t="str">
        <f t="shared" si="123"/>
        <v>Mid-term</v>
      </c>
    </row>
    <row r="1961" spans="1:16" x14ac:dyDescent="0.25">
      <c r="A1961">
        <v>2025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  <c r="M1961" t="str">
        <f t="shared" si="120"/>
        <v>30-45</v>
      </c>
      <c r="N1961" t="str">
        <f t="shared" si="121"/>
        <v>High</v>
      </c>
      <c r="O1961" t="str">
        <f t="shared" si="122"/>
        <v>High Balance</v>
      </c>
      <c r="P1961" t="str">
        <f t="shared" si="123"/>
        <v>Long-term</v>
      </c>
    </row>
    <row r="1962" spans="1:16" x14ac:dyDescent="0.25">
      <c r="A1962">
        <v>2025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  <c r="M1962" t="str">
        <f t="shared" si="120"/>
        <v>30-45</v>
      </c>
      <c r="N1962" t="str">
        <f t="shared" si="121"/>
        <v>Medium</v>
      </c>
      <c r="O1962" t="str">
        <f t="shared" si="122"/>
        <v>High Balance</v>
      </c>
      <c r="P1962" t="str">
        <f t="shared" si="123"/>
        <v>New</v>
      </c>
    </row>
    <row r="1963" spans="1:16" x14ac:dyDescent="0.25">
      <c r="A1963">
        <v>2025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  <c r="M1963" t="str">
        <f t="shared" si="120"/>
        <v>&lt;30</v>
      </c>
      <c r="N1963" t="str">
        <f t="shared" si="121"/>
        <v>High</v>
      </c>
      <c r="O1963" t="str">
        <f t="shared" si="122"/>
        <v>High Balance</v>
      </c>
      <c r="P1963" t="str">
        <f t="shared" si="123"/>
        <v>Mid-term</v>
      </c>
    </row>
    <row r="1964" spans="1:16" x14ac:dyDescent="0.25">
      <c r="A1964">
        <v>2025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  <c r="M1964" t="str">
        <f t="shared" si="120"/>
        <v>46-60</v>
      </c>
      <c r="N1964" t="str">
        <f t="shared" si="121"/>
        <v>Low</v>
      </c>
      <c r="O1964" t="str">
        <f t="shared" si="122"/>
        <v>High Balance</v>
      </c>
      <c r="P1964" t="str">
        <f t="shared" si="123"/>
        <v>Long-term</v>
      </c>
    </row>
    <row r="1965" spans="1:16" x14ac:dyDescent="0.25">
      <c r="A1965">
        <v>2025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  <c r="M1965" t="str">
        <f t="shared" si="120"/>
        <v>30-45</v>
      </c>
      <c r="N1965" t="str">
        <f t="shared" si="121"/>
        <v>Medium</v>
      </c>
      <c r="O1965" t="str">
        <f t="shared" si="122"/>
        <v>High Balance</v>
      </c>
      <c r="P1965" t="str">
        <f t="shared" si="123"/>
        <v>Long-term</v>
      </c>
    </row>
    <row r="1966" spans="1:16" x14ac:dyDescent="0.25">
      <c r="A1966">
        <v>2025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  <c r="M1966" t="str">
        <f t="shared" si="120"/>
        <v>30-45</v>
      </c>
      <c r="N1966" t="str">
        <f t="shared" si="121"/>
        <v>High</v>
      </c>
      <c r="O1966" t="str">
        <f t="shared" si="122"/>
        <v>Low Balance</v>
      </c>
      <c r="P1966" t="str">
        <f t="shared" si="123"/>
        <v>Mid-term</v>
      </c>
    </row>
    <row r="1967" spans="1:16" x14ac:dyDescent="0.25">
      <c r="A1967">
        <v>2025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  <c r="M1967" t="str">
        <f t="shared" si="120"/>
        <v>30-45</v>
      </c>
      <c r="N1967" t="str">
        <f t="shared" si="121"/>
        <v>Medium</v>
      </c>
      <c r="O1967" t="str">
        <f t="shared" si="122"/>
        <v>Zero Balance</v>
      </c>
      <c r="P1967" t="str">
        <f t="shared" si="123"/>
        <v>Long-term</v>
      </c>
    </row>
    <row r="1968" spans="1:16" x14ac:dyDescent="0.25">
      <c r="A1968">
        <v>2025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  <c r="M1968" t="str">
        <f t="shared" si="120"/>
        <v>46-60</v>
      </c>
      <c r="N1968" t="str">
        <f t="shared" si="121"/>
        <v>Medium</v>
      </c>
      <c r="O1968" t="str">
        <f t="shared" si="122"/>
        <v>High Balance</v>
      </c>
      <c r="P1968" t="str">
        <f t="shared" si="123"/>
        <v>Long-term</v>
      </c>
    </row>
    <row r="1969" spans="1:16" x14ac:dyDescent="0.25">
      <c r="A1969">
        <v>2025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  <c r="M1969" t="str">
        <f t="shared" si="120"/>
        <v>&lt;30</v>
      </c>
      <c r="N1969" t="str">
        <f t="shared" si="121"/>
        <v>Medium</v>
      </c>
      <c r="O1969" t="str">
        <f t="shared" si="122"/>
        <v>Zero Balance</v>
      </c>
      <c r="P1969" t="str">
        <f t="shared" si="123"/>
        <v>Mid-term</v>
      </c>
    </row>
    <row r="1970" spans="1:16" x14ac:dyDescent="0.25">
      <c r="A1970">
        <v>2025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  <c r="M1970" t="str">
        <f t="shared" si="120"/>
        <v>30-45</v>
      </c>
      <c r="N1970" t="str">
        <f t="shared" si="121"/>
        <v>Low</v>
      </c>
      <c r="O1970" t="str">
        <f t="shared" si="122"/>
        <v>High Balance</v>
      </c>
      <c r="P1970" t="str">
        <f t="shared" si="123"/>
        <v>Long-term</v>
      </c>
    </row>
    <row r="1971" spans="1:16" x14ac:dyDescent="0.25">
      <c r="A1971">
        <v>2025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  <c r="M1971" t="str">
        <f t="shared" si="120"/>
        <v>30-45</v>
      </c>
      <c r="N1971" t="str">
        <f t="shared" si="121"/>
        <v>High</v>
      </c>
      <c r="O1971" t="str">
        <f t="shared" si="122"/>
        <v>Zero Balance</v>
      </c>
      <c r="P1971" t="str">
        <f t="shared" si="123"/>
        <v>Mid-term</v>
      </c>
    </row>
    <row r="1972" spans="1:16" x14ac:dyDescent="0.25">
      <c r="A1972">
        <v>2025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  <c r="M1972" t="str">
        <f t="shared" si="120"/>
        <v>30-45</v>
      </c>
      <c r="N1972" t="str">
        <f t="shared" si="121"/>
        <v>Medium</v>
      </c>
      <c r="O1972" t="str">
        <f t="shared" si="122"/>
        <v>High Balance</v>
      </c>
      <c r="P1972" t="str">
        <f t="shared" si="123"/>
        <v>Long-term</v>
      </c>
    </row>
    <row r="1973" spans="1:16" x14ac:dyDescent="0.25">
      <c r="A1973">
        <v>2025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  <c r="M1973" t="str">
        <f t="shared" si="120"/>
        <v>&lt;30</v>
      </c>
      <c r="N1973" t="str">
        <f t="shared" si="121"/>
        <v>Medium</v>
      </c>
      <c r="O1973" t="str">
        <f t="shared" si="122"/>
        <v>Low Balance</v>
      </c>
      <c r="P1973" t="str">
        <f t="shared" si="123"/>
        <v>Mid-term</v>
      </c>
    </row>
    <row r="1974" spans="1:16" x14ac:dyDescent="0.25">
      <c r="A1974">
        <v>2025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  <c r="M1974" t="str">
        <f t="shared" si="120"/>
        <v>30-45</v>
      </c>
      <c r="N1974" t="str">
        <f t="shared" si="121"/>
        <v>High</v>
      </c>
      <c r="O1974" t="str">
        <f t="shared" si="122"/>
        <v>Low Balance</v>
      </c>
      <c r="P1974" t="str">
        <f t="shared" si="123"/>
        <v>New</v>
      </c>
    </row>
    <row r="1975" spans="1:16" x14ac:dyDescent="0.25">
      <c r="A1975">
        <v>2025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  <c r="M1975" t="str">
        <f t="shared" si="120"/>
        <v>30-45</v>
      </c>
      <c r="N1975" t="str">
        <f t="shared" si="121"/>
        <v>Medium</v>
      </c>
      <c r="O1975" t="str">
        <f t="shared" si="122"/>
        <v>Zero Balance</v>
      </c>
      <c r="P1975" t="str">
        <f t="shared" si="123"/>
        <v>Mid-term</v>
      </c>
    </row>
    <row r="1976" spans="1:16" x14ac:dyDescent="0.25">
      <c r="A1976">
        <v>2025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  <c r="M1976" t="str">
        <f t="shared" si="120"/>
        <v>30-45</v>
      </c>
      <c r="N1976" t="str">
        <f t="shared" si="121"/>
        <v>Medium</v>
      </c>
      <c r="O1976" t="str">
        <f t="shared" si="122"/>
        <v>High Balance</v>
      </c>
      <c r="P1976" t="str">
        <f t="shared" si="123"/>
        <v>Mid-term</v>
      </c>
    </row>
    <row r="1977" spans="1:16" x14ac:dyDescent="0.25">
      <c r="A1977">
        <v>2025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  <c r="M1977" t="str">
        <f t="shared" si="120"/>
        <v>30-45</v>
      </c>
      <c r="N1977" t="str">
        <f t="shared" si="121"/>
        <v>Medium</v>
      </c>
      <c r="O1977" t="str">
        <f t="shared" si="122"/>
        <v>Zero Balance</v>
      </c>
      <c r="P1977" t="str">
        <f t="shared" si="123"/>
        <v>Mid-term</v>
      </c>
    </row>
    <row r="1978" spans="1:16" x14ac:dyDescent="0.25">
      <c r="A1978">
        <v>2025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  <c r="M1978" t="str">
        <f t="shared" si="120"/>
        <v>30-45</v>
      </c>
      <c r="N1978" t="str">
        <f t="shared" si="121"/>
        <v>Medium</v>
      </c>
      <c r="O1978" t="str">
        <f t="shared" si="122"/>
        <v>Zero Balance</v>
      </c>
      <c r="P1978" t="str">
        <f t="shared" si="123"/>
        <v>Mid-term</v>
      </c>
    </row>
    <row r="1979" spans="1:16" x14ac:dyDescent="0.25">
      <c r="A1979">
        <v>2025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  <c r="M1979" t="str">
        <f t="shared" si="120"/>
        <v>30-45</v>
      </c>
      <c r="N1979" t="str">
        <f t="shared" si="121"/>
        <v>High</v>
      </c>
      <c r="O1979" t="str">
        <f t="shared" si="122"/>
        <v>Zero Balance</v>
      </c>
      <c r="P1979" t="str">
        <f t="shared" si="123"/>
        <v>New</v>
      </c>
    </row>
    <row r="1980" spans="1:16" x14ac:dyDescent="0.25">
      <c r="A1980">
        <v>2025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  <c r="M1980" t="str">
        <f t="shared" si="120"/>
        <v>30-45</v>
      </c>
      <c r="N1980" t="str">
        <f t="shared" si="121"/>
        <v>Low</v>
      </c>
      <c r="O1980" t="str">
        <f t="shared" si="122"/>
        <v>High Balance</v>
      </c>
      <c r="P1980" t="str">
        <f t="shared" si="123"/>
        <v>Mid-term</v>
      </c>
    </row>
    <row r="1981" spans="1:16" x14ac:dyDescent="0.25">
      <c r="A1981">
        <v>2025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  <c r="M1981" t="str">
        <f t="shared" si="120"/>
        <v>30-45</v>
      </c>
      <c r="N1981" t="str">
        <f t="shared" si="121"/>
        <v>Medium</v>
      </c>
      <c r="O1981" t="str">
        <f t="shared" si="122"/>
        <v>Zero Balance</v>
      </c>
      <c r="P1981" t="str">
        <f t="shared" si="123"/>
        <v>Long-term</v>
      </c>
    </row>
    <row r="1982" spans="1:16" x14ac:dyDescent="0.25">
      <c r="A1982">
        <v>2025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  <c r="M1982" t="str">
        <f t="shared" si="120"/>
        <v>30-45</v>
      </c>
      <c r="N1982" t="str">
        <f t="shared" si="121"/>
        <v>Medium</v>
      </c>
      <c r="O1982" t="str">
        <f t="shared" si="122"/>
        <v>Zero Balance</v>
      </c>
      <c r="P1982" t="str">
        <f t="shared" si="123"/>
        <v>Long-term</v>
      </c>
    </row>
    <row r="1983" spans="1:16" x14ac:dyDescent="0.25">
      <c r="A1983">
        <v>2025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  <c r="M1983" t="str">
        <f t="shared" si="120"/>
        <v>60+</v>
      </c>
      <c r="N1983" t="str">
        <f t="shared" si="121"/>
        <v>Low</v>
      </c>
      <c r="O1983" t="str">
        <f t="shared" si="122"/>
        <v>High Balance</v>
      </c>
      <c r="P1983" t="str">
        <f t="shared" si="123"/>
        <v>New</v>
      </c>
    </row>
    <row r="1984" spans="1:16" x14ac:dyDescent="0.25">
      <c r="A1984">
        <v>2025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  <c r="M1984" t="str">
        <f t="shared" si="120"/>
        <v>&lt;30</v>
      </c>
      <c r="N1984" t="str">
        <f t="shared" si="121"/>
        <v>Medium</v>
      </c>
      <c r="O1984" t="str">
        <f t="shared" si="122"/>
        <v>High Balance</v>
      </c>
      <c r="P1984" t="str">
        <f t="shared" si="123"/>
        <v>Mid-term</v>
      </c>
    </row>
    <row r="1985" spans="1:16" x14ac:dyDescent="0.25">
      <c r="A1985">
        <v>2025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  <c r="M1985" t="str">
        <f t="shared" si="120"/>
        <v>30-45</v>
      </c>
      <c r="N1985" t="str">
        <f t="shared" si="121"/>
        <v>High</v>
      </c>
      <c r="O1985" t="str">
        <f t="shared" si="122"/>
        <v>Zero Balance</v>
      </c>
      <c r="P1985" t="str">
        <f t="shared" si="123"/>
        <v>Mid-term</v>
      </c>
    </row>
    <row r="1986" spans="1:16" x14ac:dyDescent="0.25">
      <c r="A1986">
        <v>2025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  <c r="M1986" t="str">
        <f t="shared" si="120"/>
        <v>30-45</v>
      </c>
      <c r="N1986" t="str">
        <f t="shared" si="121"/>
        <v>Medium</v>
      </c>
      <c r="O1986" t="str">
        <f t="shared" si="122"/>
        <v>High Balance</v>
      </c>
      <c r="P1986" t="str">
        <f t="shared" si="123"/>
        <v>New</v>
      </c>
    </row>
    <row r="1987" spans="1:16" x14ac:dyDescent="0.25">
      <c r="A1987">
        <v>2025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  <c r="M1987" t="str">
        <f t="shared" ref="M1987:M2050" si="124">IF(E1987&lt;30,"&lt;30",IF(E1987&lt;=45,"30-45",IF(E1987&lt;=60,"46-60","60+")))</f>
        <v>46-60</v>
      </c>
      <c r="N1987" t="str">
        <f t="shared" ref="N1987:N2050" si="125">IF(B1987&lt;500,"Low",IF(B1987&lt;700,"Medium","High"))</f>
        <v>High</v>
      </c>
      <c r="O1987" t="str">
        <f t="shared" ref="O1987:O2050" si="126">IF(G1987=0,"Zero Balance",IF(G1987&lt;100000,"Low Balance","High Balance"))</f>
        <v>High Balance</v>
      </c>
      <c r="P1987" t="str">
        <f t="shared" ref="P1987:P2050" si="127">IF(F1987&lt;=3,"New",IF(F1987&lt;=7,"Mid-term","Long-term"))</f>
        <v>Long-term</v>
      </c>
    </row>
    <row r="1988" spans="1:16" x14ac:dyDescent="0.25">
      <c r="A1988">
        <v>2025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  <c r="M1988" t="str">
        <f t="shared" si="124"/>
        <v>30-45</v>
      </c>
      <c r="N1988" t="str">
        <f t="shared" si="125"/>
        <v>High</v>
      </c>
      <c r="O1988" t="str">
        <f t="shared" si="126"/>
        <v>Low Balance</v>
      </c>
      <c r="P1988" t="str">
        <f t="shared" si="127"/>
        <v>New</v>
      </c>
    </row>
    <row r="1989" spans="1:16" x14ac:dyDescent="0.25">
      <c r="A1989">
        <v>2025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  <c r="M1989" t="str">
        <f t="shared" si="124"/>
        <v>46-60</v>
      </c>
      <c r="N1989" t="str">
        <f t="shared" si="125"/>
        <v>High</v>
      </c>
      <c r="O1989" t="str">
        <f t="shared" si="126"/>
        <v>Zero Balance</v>
      </c>
      <c r="P1989" t="str">
        <f t="shared" si="127"/>
        <v>Mid-term</v>
      </c>
    </row>
    <row r="1990" spans="1:16" x14ac:dyDescent="0.25">
      <c r="A1990">
        <v>2025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  <c r="M1990" t="str">
        <f t="shared" si="124"/>
        <v>46-60</v>
      </c>
      <c r="N1990" t="str">
        <f t="shared" si="125"/>
        <v>Medium</v>
      </c>
      <c r="O1990" t="str">
        <f t="shared" si="126"/>
        <v>High Balance</v>
      </c>
      <c r="P1990" t="str">
        <f t="shared" si="127"/>
        <v>Long-term</v>
      </c>
    </row>
    <row r="1991" spans="1:16" x14ac:dyDescent="0.25">
      <c r="A1991">
        <v>2025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  <c r="M1991" t="str">
        <f t="shared" si="124"/>
        <v>&lt;30</v>
      </c>
      <c r="N1991" t="str">
        <f t="shared" si="125"/>
        <v>Medium</v>
      </c>
      <c r="O1991" t="str">
        <f t="shared" si="126"/>
        <v>Low Balance</v>
      </c>
      <c r="P1991" t="str">
        <f t="shared" si="127"/>
        <v>New</v>
      </c>
    </row>
    <row r="1992" spans="1:16" x14ac:dyDescent="0.25">
      <c r="A1992">
        <v>2025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  <c r="M1992" t="str">
        <f t="shared" si="124"/>
        <v>30-45</v>
      </c>
      <c r="N1992" t="str">
        <f t="shared" si="125"/>
        <v>High</v>
      </c>
      <c r="O1992" t="str">
        <f t="shared" si="126"/>
        <v>Zero Balance</v>
      </c>
      <c r="P1992" t="str">
        <f t="shared" si="127"/>
        <v>New</v>
      </c>
    </row>
    <row r="1993" spans="1:16" x14ac:dyDescent="0.25">
      <c r="A1993">
        <v>2025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  <c r="M1993" t="str">
        <f t="shared" si="124"/>
        <v>30-45</v>
      </c>
      <c r="N1993" t="str">
        <f t="shared" si="125"/>
        <v>Medium</v>
      </c>
      <c r="O1993" t="str">
        <f t="shared" si="126"/>
        <v>High Balance</v>
      </c>
      <c r="P1993" t="str">
        <f t="shared" si="127"/>
        <v>New</v>
      </c>
    </row>
    <row r="1994" spans="1:16" x14ac:dyDescent="0.25">
      <c r="A1994">
        <v>2025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  <c r="M1994" t="str">
        <f t="shared" si="124"/>
        <v>&lt;30</v>
      </c>
      <c r="N1994" t="str">
        <f t="shared" si="125"/>
        <v>Medium</v>
      </c>
      <c r="O1994" t="str">
        <f t="shared" si="126"/>
        <v>High Balance</v>
      </c>
      <c r="P1994" t="str">
        <f t="shared" si="127"/>
        <v>Mid-term</v>
      </c>
    </row>
    <row r="1995" spans="1:16" x14ac:dyDescent="0.25">
      <c r="A1995">
        <v>2025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  <c r="M1995" t="str">
        <f t="shared" si="124"/>
        <v>46-60</v>
      </c>
      <c r="N1995" t="str">
        <f t="shared" si="125"/>
        <v>High</v>
      </c>
      <c r="O1995" t="str">
        <f t="shared" si="126"/>
        <v>High Balance</v>
      </c>
      <c r="P1995" t="str">
        <f t="shared" si="127"/>
        <v>Long-term</v>
      </c>
    </row>
    <row r="1996" spans="1:16" x14ac:dyDescent="0.25">
      <c r="A1996">
        <v>2025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  <c r="M1996" t="str">
        <f t="shared" si="124"/>
        <v>46-60</v>
      </c>
      <c r="N1996" t="str">
        <f t="shared" si="125"/>
        <v>High</v>
      </c>
      <c r="O1996" t="str">
        <f t="shared" si="126"/>
        <v>Zero Balance</v>
      </c>
      <c r="P1996" t="str">
        <f t="shared" si="127"/>
        <v>Mid-term</v>
      </c>
    </row>
    <row r="1997" spans="1:16" x14ac:dyDescent="0.25">
      <c r="A1997">
        <v>2025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  <c r="M1997" t="str">
        <f t="shared" si="124"/>
        <v>30-45</v>
      </c>
      <c r="N1997" t="str">
        <f t="shared" si="125"/>
        <v>Medium</v>
      </c>
      <c r="O1997" t="str">
        <f t="shared" si="126"/>
        <v>Low Balance</v>
      </c>
      <c r="P1997" t="str">
        <f t="shared" si="127"/>
        <v>Mid-term</v>
      </c>
    </row>
    <row r="1998" spans="1:16" x14ac:dyDescent="0.25">
      <c r="A1998">
        <v>2025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  <c r="M1998" t="str">
        <f t="shared" si="124"/>
        <v>60+</v>
      </c>
      <c r="N1998" t="str">
        <f t="shared" si="125"/>
        <v>Medium</v>
      </c>
      <c r="O1998" t="str">
        <f t="shared" si="126"/>
        <v>Zero Balance</v>
      </c>
      <c r="P1998" t="str">
        <f t="shared" si="127"/>
        <v>New</v>
      </c>
    </row>
    <row r="1999" spans="1:16" x14ac:dyDescent="0.25">
      <c r="A1999">
        <v>2025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  <c r="M1999" t="str">
        <f t="shared" si="124"/>
        <v>30-45</v>
      </c>
      <c r="N1999" t="str">
        <f t="shared" si="125"/>
        <v>Medium</v>
      </c>
      <c r="O1999" t="str">
        <f t="shared" si="126"/>
        <v>High Balance</v>
      </c>
      <c r="P1999" t="str">
        <f t="shared" si="127"/>
        <v>New</v>
      </c>
    </row>
    <row r="2000" spans="1:16" x14ac:dyDescent="0.25">
      <c r="A2000">
        <v>2025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  <c r="M2000" t="str">
        <f t="shared" si="124"/>
        <v>30-45</v>
      </c>
      <c r="N2000" t="str">
        <f t="shared" si="125"/>
        <v>Medium</v>
      </c>
      <c r="O2000" t="str">
        <f t="shared" si="126"/>
        <v>High Balance</v>
      </c>
      <c r="P2000" t="str">
        <f t="shared" si="127"/>
        <v>Mid-term</v>
      </c>
    </row>
    <row r="2001" spans="1:16" x14ac:dyDescent="0.25">
      <c r="A2001">
        <v>2025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  <c r="M2001" t="str">
        <f t="shared" si="124"/>
        <v>30-45</v>
      </c>
      <c r="N2001" t="str">
        <f t="shared" si="125"/>
        <v>Medium</v>
      </c>
      <c r="O2001" t="str">
        <f t="shared" si="126"/>
        <v>High Balance</v>
      </c>
      <c r="P2001" t="str">
        <f t="shared" si="127"/>
        <v>New</v>
      </c>
    </row>
    <row r="2002" spans="1:16" x14ac:dyDescent="0.25">
      <c r="A2002">
        <v>2025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  <c r="M2002" t="str">
        <f t="shared" si="124"/>
        <v>46-60</v>
      </c>
      <c r="N2002" t="str">
        <f t="shared" si="125"/>
        <v>High</v>
      </c>
      <c r="O2002" t="str">
        <f t="shared" si="126"/>
        <v>Low Balance</v>
      </c>
      <c r="P2002" t="str">
        <f t="shared" si="127"/>
        <v>New</v>
      </c>
    </row>
    <row r="2003" spans="1:16" x14ac:dyDescent="0.25">
      <c r="A2003">
        <v>2025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  <c r="M2003" t="str">
        <f t="shared" si="124"/>
        <v>&lt;30</v>
      </c>
      <c r="N2003" t="str">
        <f t="shared" si="125"/>
        <v>Medium</v>
      </c>
      <c r="O2003" t="str">
        <f t="shared" si="126"/>
        <v>Zero Balance</v>
      </c>
      <c r="P2003" t="str">
        <f t="shared" si="127"/>
        <v>New</v>
      </c>
    </row>
    <row r="2004" spans="1:16" x14ac:dyDescent="0.25">
      <c r="A2004">
        <v>2025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  <c r="M2004" t="str">
        <f t="shared" si="124"/>
        <v>60+</v>
      </c>
      <c r="N2004" t="str">
        <f t="shared" si="125"/>
        <v>Medium</v>
      </c>
      <c r="O2004" t="str">
        <f t="shared" si="126"/>
        <v>Zero Balance</v>
      </c>
      <c r="P2004" t="str">
        <f t="shared" si="127"/>
        <v>New</v>
      </c>
    </row>
    <row r="2005" spans="1:16" x14ac:dyDescent="0.25">
      <c r="A2005">
        <v>2025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  <c r="M2005" t="str">
        <f t="shared" si="124"/>
        <v>30-45</v>
      </c>
      <c r="N2005" t="str">
        <f t="shared" si="125"/>
        <v>Medium</v>
      </c>
      <c r="O2005" t="str">
        <f t="shared" si="126"/>
        <v>High Balance</v>
      </c>
      <c r="P2005" t="str">
        <f t="shared" si="127"/>
        <v>New</v>
      </c>
    </row>
    <row r="2006" spans="1:16" x14ac:dyDescent="0.25">
      <c r="A2006">
        <v>2025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  <c r="M2006" t="str">
        <f t="shared" si="124"/>
        <v>&lt;30</v>
      </c>
      <c r="N2006" t="str">
        <f t="shared" si="125"/>
        <v>Medium</v>
      </c>
      <c r="O2006" t="str">
        <f t="shared" si="126"/>
        <v>High Balance</v>
      </c>
      <c r="P2006" t="str">
        <f t="shared" si="127"/>
        <v>Long-term</v>
      </c>
    </row>
    <row r="2007" spans="1:16" x14ac:dyDescent="0.25">
      <c r="A2007">
        <v>2025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  <c r="M2007" t="str">
        <f t="shared" si="124"/>
        <v>30-45</v>
      </c>
      <c r="N2007" t="str">
        <f t="shared" si="125"/>
        <v>High</v>
      </c>
      <c r="O2007" t="str">
        <f t="shared" si="126"/>
        <v>High Balance</v>
      </c>
      <c r="P2007" t="str">
        <f t="shared" si="127"/>
        <v>New</v>
      </c>
    </row>
    <row r="2008" spans="1:16" x14ac:dyDescent="0.25">
      <c r="A2008">
        <v>2025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  <c r="M2008" t="str">
        <f t="shared" si="124"/>
        <v>30-45</v>
      </c>
      <c r="N2008" t="str">
        <f t="shared" si="125"/>
        <v>Medium</v>
      </c>
      <c r="O2008" t="str">
        <f t="shared" si="126"/>
        <v>Zero Balance</v>
      </c>
      <c r="P2008" t="str">
        <f t="shared" si="127"/>
        <v>Mid-term</v>
      </c>
    </row>
    <row r="2009" spans="1:16" x14ac:dyDescent="0.25">
      <c r="A2009">
        <v>2025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  <c r="M2009" t="str">
        <f t="shared" si="124"/>
        <v>30-45</v>
      </c>
      <c r="N2009" t="str">
        <f t="shared" si="125"/>
        <v>High</v>
      </c>
      <c r="O2009" t="str">
        <f t="shared" si="126"/>
        <v>High Balance</v>
      </c>
      <c r="P2009" t="str">
        <f t="shared" si="127"/>
        <v>Long-term</v>
      </c>
    </row>
    <row r="2010" spans="1:16" x14ac:dyDescent="0.25">
      <c r="A2010">
        <v>2025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  <c r="M2010" t="str">
        <f t="shared" si="124"/>
        <v>30-45</v>
      </c>
      <c r="N2010" t="str">
        <f t="shared" si="125"/>
        <v>Medium</v>
      </c>
      <c r="O2010" t="str">
        <f t="shared" si="126"/>
        <v>Low Balance</v>
      </c>
      <c r="P2010" t="str">
        <f t="shared" si="127"/>
        <v>Mid-term</v>
      </c>
    </row>
    <row r="2011" spans="1:16" x14ac:dyDescent="0.25">
      <c r="A2011">
        <v>2025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  <c r="M2011" t="str">
        <f t="shared" si="124"/>
        <v>46-60</v>
      </c>
      <c r="N2011" t="str">
        <f t="shared" si="125"/>
        <v>High</v>
      </c>
      <c r="O2011" t="str">
        <f t="shared" si="126"/>
        <v>High Balance</v>
      </c>
      <c r="P2011" t="str">
        <f t="shared" si="127"/>
        <v>Mid-term</v>
      </c>
    </row>
    <row r="2012" spans="1:16" x14ac:dyDescent="0.25">
      <c r="A2012">
        <v>2025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  <c r="M2012" t="str">
        <f t="shared" si="124"/>
        <v>46-60</v>
      </c>
      <c r="N2012" t="str">
        <f t="shared" si="125"/>
        <v>Medium</v>
      </c>
      <c r="O2012" t="str">
        <f t="shared" si="126"/>
        <v>High Balance</v>
      </c>
      <c r="P2012" t="str">
        <f t="shared" si="127"/>
        <v>Long-term</v>
      </c>
    </row>
    <row r="2013" spans="1:16" x14ac:dyDescent="0.25">
      <c r="A2013">
        <v>2025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  <c r="M2013" t="str">
        <f t="shared" si="124"/>
        <v>30-45</v>
      </c>
      <c r="N2013" t="str">
        <f t="shared" si="125"/>
        <v>Medium</v>
      </c>
      <c r="O2013" t="str">
        <f t="shared" si="126"/>
        <v>High Balance</v>
      </c>
      <c r="P2013" t="str">
        <f t="shared" si="127"/>
        <v>Long-term</v>
      </c>
    </row>
    <row r="2014" spans="1:16" x14ac:dyDescent="0.25">
      <c r="A2014">
        <v>2025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  <c r="M2014" t="str">
        <f t="shared" si="124"/>
        <v>60+</v>
      </c>
      <c r="N2014" t="str">
        <f t="shared" si="125"/>
        <v>High</v>
      </c>
      <c r="O2014" t="str">
        <f t="shared" si="126"/>
        <v>High Balance</v>
      </c>
      <c r="P2014" t="str">
        <f t="shared" si="127"/>
        <v>Long-term</v>
      </c>
    </row>
    <row r="2015" spans="1:16" x14ac:dyDescent="0.25">
      <c r="A2015">
        <v>2025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  <c r="M2015" t="str">
        <f t="shared" si="124"/>
        <v>30-45</v>
      </c>
      <c r="N2015" t="str">
        <f t="shared" si="125"/>
        <v>High</v>
      </c>
      <c r="O2015" t="str">
        <f t="shared" si="126"/>
        <v>High Balance</v>
      </c>
      <c r="P2015" t="str">
        <f t="shared" si="127"/>
        <v>Mid-term</v>
      </c>
    </row>
    <row r="2016" spans="1:16" x14ac:dyDescent="0.25">
      <c r="A2016">
        <v>2025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  <c r="M2016" t="str">
        <f t="shared" si="124"/>
        <v>30-45</v>
      </c>
      <c r="N2016" t="str">
        <f t="shared" si="125"/>
        <v>Medium</v>
      </c>
      <c r="O2016" t="str">
        <f t="shared" si="126"/>
        <v>High Balance</v>
      </c>
      <c r="P2016" t="str">
        <f t="shared" si="127"/>
        <v>New</v>
      </c>
    </row>
    <row r="2017" spans="1:16" x14ac:dyDescent="0.25">
      <c r="A2017">
        <v>2025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  <c r="M2017" t="str">
        <f t="shared" si="124"/>
        <v>30-45</v>
      </c>
      <c r="N2017" t="str">
        <f t="shared" si="125"/>
        <v>High</v>
      </c>
      <c r="O2017" t="str">
        <f t="shared" si="126"/>
        <v>Low Balance</v>
      </c>
      <c r="P2017" t="str">
        <f t="shared" si="127"/>
        <v>New</v>
      </c>
    </row>
    <row r="2018" spans="1:16" x14ac:dyDescent="0.25">
      <c r="A2018">
        <v>2025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  <c r="M2018" t="str">
        <f t="shared" si="124"/>
        <v>&lt;30</v>
      </c>
      <c r="N2018" t="str">
        <f t="shared" si="125"/>
        <v>Medium</v>
      </c>
      <c r="O2018" t="str">
        <f t="shared" si="126"/>
        <v>High Balance</v>
      </c>
      <c r="P2018" t="str">
        <f t="shared" si="127"/>
        <v>Mid-term</v>
      </c>
    </row>
    <row r="2019" spans="1:16" x14ac:dyDescent="0.25">
      <c r="A2019">
        <v>2025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  <c r="M2019" t="str">
        <f t="shared" si="124"/>
        <v>30-45</v>
      </c>
      <c r="N2019" t="str">
        <f t="shared" si="125"/>
        <v>High</v>
      </c>
      <c r="O2019" t="str">
        <f t="shared" si="126"/>
        <v>Zero Balance</v>
      </c>
      <c r="P2019" t="str">
        <f t="shared" si="127"/>
        <v>Mid-term</v>
      </c>
    </row>
    <row r="2020" spans="1:16" x14ac:dyDescent="0.25">
      <c r="A2020">
        <v>2025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  <c r="M2020" t="str">
        <f t="shared" si="124"/>
        <v>&lt;30</v>
      </c>
      <c r="N2020" t="str">
        <f t="shared" si="125"/>
        <v>Medium</v>
      </c>
      <c r="O2020" t="str">
        <f t="shared" si="126"/>
        <v>High Balance</v>
      </c>
      <c r="P2020" t="str">
        <f t="shared" si="127"/>
        <v>New</v>
      </c>
    </row>
    <row r="2021" spans="1:16" x14ac:dyDescent="0.25">
      <c r="A2021">
        <v>2025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  <c r="M2021" t="str">
        <f t="shared" si="124"/>
        <v>30-45</v>
      </c>
      <c r="N2021" t="str">
        <f t="shared" si="125"/>
        <v>High</v>
      </c>
      <c r="O2021" t="str">
        <f t="shared" si="126"/>
        <v>Low Balance</v>
      </c>
      <c r="P2021" t="str">
        <f t="shared" si="127"/>
        <v>New</v>
      </c>
    </row>
    <row r="2022" spans="1:16" x14ac:dyDescent="0.25">
      <c r="A2022">
        <v>2025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  <c r="M2022" t="str">
        <f t="shared" si="124"/>
        <v>30-45</v>
      </c>
      <c r="N2022" t="str">
        <f t="shared" si="125"/>
        <v>Medium</v>
      </c>
      <c r="O2022" t="str">
        <f t="shared" si="126"/>
        <v>Low Balance</v>
      </c>
      <c r="P2022" t="str">
        <f t="shared" si="127"/>
        <v>Mid-term</v>
      </c>
    </row>
    <row r="2023" spans="1:16" x14ac:dyDescent="0.25">
      <c r="A2023">
        <v>2025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  <c r="M2023" t="str">
        <f t="shared" si="124"/>
        <v>&lt;30</v>
      </c>
      <c r="N2023" t="str">
        <f t="shared" si="125"/>
        <v>High</v>
      </c>
      <c r="O2023" t="str">
        <f t="shared" si="126"/>
        <v>High Balance</v>
      </c>
      <c r="P2023" t="str">
        <f t="shared" si="127"/>
        <v>New</v>
      </c>
    </row>
    <row r="2024" spans="1:16" x14ac:dyDescent="0.25">
      <c r="A2024">
        <v>2025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  <c r="M2024" t="str">
        <f t="shared" si="124"/>
        <v>&lt;30</v>
      </c>
      <c r="N2024" t="str">
        <f t="shared" si="125"/>
        <v>Medium</v>
      </c>
      <c r="O2024" t="str">
        <f t="shared" si="126"/>
        <v>High Balance</v>
      </c>
      <c r="P2024" t="str">
        <f t="shared" si="127"/>
        <v>Mid-term</v>
      </c>
    </row>
    <row r="2025" spans="1:16" x14ac:dyDescent="0.25">
      <c r="A2025">
        <v>2025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  <c r="M2025" t="str">
        <f t="shared" si="124"/>
        <v>30-45</v>
      </c>
      <c r="N2025" t="str">
        <f t="shared" si="125"/>
        <v>Medium</v>
      </c>
      <c r="O2025" t="str">
        <f t="shared" si="126"/>
        <v>High Balance</v>
      </c>
      <c r="P2025" t="str">
        <f t="shared" si="127"/>
        <v>New</v>
      </c>
    </row>
    <row r="2026" spans="1:16" x14ac:dyDescent="0.25">
      <c r="A2026">
        <v>2025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  <c r="M2026" t="str">
        <f t="shared" si="124"/>
        <v>30-45</v>
      </c>
      <c r="N2026" t="str">
        <f t="shared" si="125"/>
        <v>Medium</v>
      </c>
      <c r="O2026" t="str">
        <f t="shared" si="126"/>
        <v>Zero Balance</v>
      </c>
      <c r="P2026" t="str">
        <f t="shared" si="127"/>
        <v>Mid-term</v>
      </c>
    </row>
    <row r="2027" spans="1:16" x14ac:dyDescent="0.25">
      <c r="A2027">
        <v>2025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  <c r="M2027" t="str">
        <f t="shared" si="124"/>
        <v>30-45</v>
      </c>
      <c r="N2027" t="str">
        <f t="shared" si="125"/>
        <v>Medium</v>
      </c>
      <c r="O2027" t="str">
        <f t="shared" si="126"/>
        <v>Zero Balance</v>
      </c>
      <c r="P2027" t="str">
        <f t="shared" si="127"/>
        <v>Long-term</v>
      </c>
    </row>
    <row r="2028" spans="1:16" x14ac:dyDescent="0.25">
      <c r="A2028">
        <v>2025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  <c r="M2028" t="str">
        <f t="shared" si="124"/>
        <v>&lt;30</v>
      </c>
      <c r="N2028" t="str">
        <f t="shared" si="125"/>
        <v>Low</v>
      </c>
      <c r="O2028" t="str">
        <f t="shared" si="126"/>
        <v>Zero Balance</v>
      </c>
      <c r="P2028" t="str">
        <f t="shared" si="127"/>
        <v>Long-term</v>
      </c>
    </row>
    <row r="2029" spans="1:16" x14ac:dyDescent="0.25">
      <c r="A2029">
        <v>2025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  <c r="M2029" t="str">
        <f t="shared" si="124"/>
        <v>46-60</v>
      </c>
      <c r="N2029" t="str">
        <f t="shared" si="125"/>
        <v>Medium</v>
      </c>
      <c r="O2029" t="str">
        <f t="shared" si="126"/>
        <v>Zero Balance</v>
      </c>
      <c r="P2029" t="str">
        <f t="shared" si="127"/>
        <v>Mid-term</v>
      </c>
    </row>
    <row r="2030" spans="1:16" x14ac:dyDescent="0.25">
      <c r="A2030">
        <v>2025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  <c r="M2030" t="str">
        <f t="shared" si="124"/>
        <v>30-45</v>
      </c>
      <c r="N2030" t="str">
        <f t="shared" si="125"/>
        <v>Low</v>
      </c>
      <c r="O2030" t="str">
        <f t="shared" si="126"/>
        <v>Zero Balance</v>
      </c>
      <c r="P2030" t="str">
        <f t="shared" si="127"/>
        <v>Long-term</v>
      </c>
    </row>
    <row r="2031" spans="1:16" x14ac:dyDescent="0.25">
      <c r="A2031">
        <v>2025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  <c r="M2031" t="str">
        <f t="shared" si="124"/>
        <v>30-45</v>
      </c>
      <c r="N2031" t="str">
        <f t="shared" si="125"/>
        <v>Medium</v>
      </c>
      <c r="O2031" t="str">
        <f t="shared" si="126"/>
        <v>High Balance</v>
      </c>
      <c r="P2031" t="str">
        <f t="shared" si="127"/>
        <v>Mid-term</v>
      </c>
    </row>
    <row r="2032" spans="1:16" x14ac:dyDescent="0.25">
      <c r="A2032">
        <v>2025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  <c r="M2032" t="str">
        <f t="shared" si="124"/>
        <v>&lt;30</v>
      </c>
      <c r="N2032" t="str">
        <f t="shared" si="125"/>
        <v>Medium</v>
      </c>
      <c r="O2032" t="str">
        <f t="shared" si="126"/>
        <v>Zero Balance</v>
      </c>
      <c r="P2032" t="str">
        <f t="shared" si="127"/>
        <v>New</v>
      </c>
    </row>
    <row r="2033" spans="1:16" x14ac:dyDescent="0.25">
      <c r="A2033">
        <v>2025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  <c r="M2033" t="str">
        <f t="shared" si="124"/>
        <v>46-60</v>
      </c>
      <c r="N2033" t="str">
        <f t="shared" si="125"/>
        <v>High</v>
      </c>
      <c r="O2033" t="str">
        <f t="shared" si="126"/>
        <v>High Balance</v>
      </c>
      <c r="P2033" t="str">
        <f t="shared" si="127"/>
        <v>New</v>
      </c>
    </row>
    <row r="2034" spans="1:16" x14ac:dyDescent="0.25">
      <c r="A2034">
        <v>2025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  <c r="M2034" t="str">
        <f t="shared" si="124"/>
        <v>30-45</v>
      </c>
      <c r="N2034" t="str">
        <f t="shared" si="125"/>
        <v>Medium</v>
      </c>
      <c r="O2034" t="str">
        <f t="shared" si="126"/>
        <v>Low Balance</v>
      </c>
      <c r="P2034" t="str">
        <f t="shared" si="127"/>
        <v>Mid-term</v>
      </c>
    </row>
    <row r="2035" spans="1:16" x14ac:dyDescent="0.25">
      <c r="A2035">
        <v>2025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  <c r="M2035" t="str">
        <f t="shared" si="124"/>
        <v>30-45</v>
      </c>
      <c r="N2035" t="str">
        <f t="shared" si="125"/>
        <v>Medium</v>
      </c>
      <c r="O2035" t="str">
        <f t="shared" si="126"/>
        <v>Zero Balance</v>
      </c>
      <c r="P2035" t="str">
        <f t="shared" si="127"/>
        <v>Long-term</v>
      </c>
    </row>
    <row r="2036" spans="1:16" x14ac:dyDescent="0.25">
      <c r="A2036">
        <v>2025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  <c r="M2036" t="str">
        <f t="shared" si="124"/>
        <v>30-45</v>
      </c>
      <c r="N2036" t="str">
        <f t="shared" si="125"/>
        <v>High</v>
      </c>
      <c r="O2036" t="str">
        <f t="shared" si="126"/>
        <v>High Balance</v>
      </c>
      <c r="P2036" t="str">
        <f t="shared" si="127"/>
        <v>Mid-term</v>
      </c>
    </row>
    <row r="2037" spans="1:16" x14ac:dyDescent="0.25">
      <c r="A2037">
        <v>2025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  <c r="M2037" t="str">
        <f t="shared" si="124"/>
        <v>30-45</v>
      </c>
      <c r="N2037" t="str">
        <f t="shared" si="125"/>
        <v>Medium</v>
      </c>
      <c r="O2037" t="str">
        <f t="shared" si="126"/>
        <v>Zero Balance</v>
      </c>
      <c r="P2037" t="str">
        <f t="shared" si="127"/>
        <v>Long-term</v>
      </c>
    </row>
    <row r="2038" spans="1:16" x14ac:dyDescent="0.25">
      <c r="A2038">
        <v>2025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  <c r="M2038" t="str">
        <f t="shared" si="124"/>
        <v>30-45</v>
      </c>
      <c r="N2038" t="str">
        <f t="shared" si="125"/>
        <v>High</v>
      </c>
      <c r="O2038" t="str">
        <f t="shared" si="126"/>
        <v>High Balance</v>
      </c>
      <c r="P2038" t="str">
        <f t="shared" si="127"/>
        <v>Mid-term</v>
      </c>
    </row>
    <row r="2039" spans="1:16" x14ac:dyDescent="0.25">
      <c r="A2039">
        <v>2025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  <c r="M2039" t="str">
        <f t="shared" si="124"/>
        <v>&lt;30</v>
      </c>
      <c r="N2039" t="str">
        <f t="shared" si="125"/>
        <v>Medium</v>
      </c>
      <c r="O2039" t="str">
        <f t="shared" si="126"/>
        <v>High Balance</v>
      </c>
      <c r="P2039" t="str">
        <f t="shared" si="127"/>
        <v>Mid-term</v>
      </c>
    </row>
    <row r="2040" spans="1:16" x14ac:dyDescent="0.25">
      <c r="A2040">
        <v>2025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  <c r="M2040" t="str">
        <f t="shared" si="124"/>
        <v>46-60</v>
      </c>
      <c r="N2040" t="str">
        <f t="shared" si="125"/>
        <v>Medium</v>
      </c>
      <c r="O2040" t="str">
        <f t="shared" si="126"/>
        <v>Zero Balance</v>
      </c>
      <c r="P2040" t="str">
        <f t="shared" si="127"/>
        <v>New</v>
      </c>
    </row>
    <row r="2041" spans="1:16" x14ac:dyDescent="0.25">
      <c r="A2041">
        <v>2025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  <c r="M2041" t="str">
        <f t="shared" si="124"/>
        <v>60+</v>
      </c>
      <c r="N2041" t="str">
        <f t="shared" si="125"/>
        <v>Medium</v>
      </c>
      <c r="O2041" t="str">
        <f t="shared" si="126"/>
        <v>High Balance</v>
      </c>
      <c r="P2041" t="str">
        <f t="shared" si="127"/>
        <v>Mid-term</v>
      </c>
    </row>
    <row r="2042" spans="1:16" x14ac:dyDescent="0.25">
      <c r="A2042">
        <v>2025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  <c r="M2042" t="str">
        <f t="shared" si="124"/>
        <v>30-45</v>
      </c>
      <c r="N2042" t="str">
        <f t="shared" si="125"/>
        <v>Medium</v>
      </c>
      <c r="O2042" t="str">
        <f t="shared" si="126"/>
        <v>High Balance</v>
      </c>
      <c r="P2042" t="str">
        <f t="shared" si="127"/>
        <v>Mid-term</v>
      </c>
    </row>
    <row r="2043" spans="1:16" x14ac:dyDescent="0.25">
      <c r="A2043">
        <v>2025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  <c r="M2043" t="str">
        <f t="shared" si="124"/>
        <v>30-45</v>
      </c>
      <c r="N2043" t="str">
        <f t="shared" si="125"/>
        <v>High</v>
      </c>
      <c r="O2043" t="str">
        <f t="shared" si="126"/>
        <v>Low Balance</v>
      </c>
      <c r="P2043" t="str">
        <f t="shared" si="127"/>
        <v>New</v>
      </c>
    </row>
    <row r="2044" spans="1:16" x14ac:dyDescent="0.25">
      <c r="A2044">
        <v>2025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  <c r="M2044" t="str">
        <f t="shared" si="124"/>
        <v>&lt;30</v>
      </c>
      <c r="N2044" t="str">
        <f t="shared" si="125"/>
        <v>Medium</v>
      </c>
      <c r="O2044" t="str">
        <f t="shared" si="126"/>
        <v>High Balance</v>
      </c>
      <c r="P2044" t="str">
        <f t="shared" si="127"/>
        <v>New</v>
      </c>
    </row>
    <row r="2045" spans="1:16" x14ac:dyDescent="0.25">
      <c r="A2045">
        <v>2025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  <c r="M2045" t="str">
        <f t="shared" si="124"/>
        <v>30-45</v>
      </c>
      <c r="N2045" t="str">
        <f t="shared" si="125"/>
        <v>High</v>
      </c>
      <c r="O2045" t="str">
        <f t="shared" si="126"/>
        <v>Zero Balance</v>
      </c>
      <c r="P2045" t="str">
        <f t="shared" si="127"/>
        <v>Mid-term</v>
      </c>
    </row>
    <row r="2046" spans="1:16" x14ac:dyDescent="0.25">
      <c r="A2046">
        <v>2025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  <c r="M2046" t="str">
        <f t="shared" si="124"/>
        <v>30-45</v>
      </c>
      <c r="N2046" t="str">
        <f t="shared" si="125"/>
        <v>Low</v>
      </c>
      <c r="O2046" t="str">
        <f t="shared" si="126"/>
        <v>Zero Balance</v>
      </c>
      <c r="P2046" t="str">
        <f t="shared" si="127"/>
        <v>New</v>
      </c>
    </row>
    <row r="2047" spans="1:16" x14ac:dyDescent="0.25">
      <c r="A2047">
        <v>2025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  <c r="M2047" t="str">
        <f t="shared" si="124"/>
        <v>30-45</v>
      </c>
      <c r="N2047" t="str">
        <f t="shared" si="125"/>
        <v>Medium</v>
      </c>
      <c r="O2047" t="str">
        <f t="shared" si="126"/>
        <v>Zero Balance</v>
      </c>
      <c r="P2047" t="str">
        <f t="shared" si="127"/>
        <v>Long-term</v>
      </c>
    </row>
    <row r="2048" spans="1:16" x14ac:dyDescent="0.25">
      <c r="A2048">
        <v>2025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  <c r="M2048" t="str">
        <f t="shared" si="124"/>
        <v>30-45</v>
      </c>
      <c r="N2048" t="str">
        <f t="shared" si="125"/>
        <v>Medium</v>
      </c>
      <c r="O2048" t="str">
        <f t="shared" si="126"/>
        <v>High Balance</v>
      </c>
      <c r="P2048" t="str">
        <f t="shared" si="127"/>
        <v>Long-term</v>
      </c>
    </row>
    <row r="2049" spans="1:16" x14ac:dyDescent="0.25">
      <c r="A2049">
        <v>2025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  <c r="M2049" t="str">
        <f t="shared" si="124"/>
        <v>30-45</v>
      </c>
      <c r="N2049" t="str">
        <f t="shared" si="125"/>
        <v>Medium</v>
      </c>
      <c r="O2049" t="str">
        <f t="shared" si="126"/>
        <v>High Balance</v>
      </c>
      <c r="P2049" t="str">
        <f t="shared" si="127"/>
        <v>New</v>
      </c>
    </row>
    <row r="2050" spans="1:16" x14ac:dyDescent="0.25">
      <c r="A2050">
        <v>2025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  <c r="M2050" t="str">
        <f t="shared" si="124"/>
        <v>30-45</v>
      </c>
      <c r="N2050" t="str">
        <f t="shared" si="125"/>
        <v>Medium</v>
      </c>
      <c r="O2050" t="str">
        <f t="shared" si="126"/>
        <v>High Balance</v>
      </c>
      <c r="P2050" t="str">
        <f t="shared" si="127"/>
        <v>Mid-term</v>
      </c>
    </row>
    <row r="2051" spans="1:16" x14ac:dyDescent="0.25">
      <c r="A2051">
        <v>2025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  <c r="M2051" t="str">
        <f t="shared" ref="M2051:M2114" si="128">IF(E2051&lt;30,"&lt;30",IF(E2051&lt;=45,"30-45",IF(E2051&lt;=60,"46-60","60+")))</f>
        <v>30-45</v>
      </c>
      <c r="N2051" t="str">
        <f t="shared" ref="N2051:N2114" si="129">IF(B2051&lt;500,"Low",IF(B2051&lt;700,"Medium","High"))</f>
        <v>High</v>
      </c>
      <c r="O2051" t="str">
        <f t="shared" ref="O2051:O2114" si="130">IF(G2051=0,"Zero Balance",IF(G2051&lt;100000,"Low Balance","High Balance"))</f>
        <v>High Balance</v>
      </c>
      <c r="P2051" t="str">
        <f t="shared" ref="P2051:P2114" si="131">IF(F2051&lt;=3,"New",IF(F2051&lt;=7,"Mid-term","Long-term"))</f>
        <v>New</v>
      </c>
    </row>
    <row r="2052" spans="1:16" x14ac:dyDescent="0.25">
      <c r="A2052">
        <v>2025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  <c r="M2052" t="str">
        <f t="shared" si="128"/>
        <v>46-60</v>
      </c>
      <c r="N2052" t="str">
        <f t="shared" si="129"/>
        <v>Low</v>
      </c>
      <c r="O2052" t="str">
        <f t="shared" si="130"/>
        <v>Zero Balance</v>
      </c>
      <c r="P2052" t="str">
        <f t="shared" si="131"/>
        <v>Long-term</v>
      </c>
    </row>
    <row r="2053" spans="1:16" x14ac:dyDescent="0.25">
      <c r="A2053">
        <v>2025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  <c r="M2053" t="str">
        <f t="shared" si="128"/>
        <v>30-45</v>
      </c>
      <c r="N2053" t="str">
        <f t="shared" si="129"/>
        <v>High</v>
      </c>
      <c r="O2053" t="str">
        <f t="shared" si="130"/>
        <v>High Balance</v>
      </c>
      <c r="P2053" t="str">
        <f t="shared" si="131"/>
        <v>New</v>
      </c>
    </row>
    <row r="2054" spans="1:16" x14ac:dyDescent="0.25">
      <c r="A2054">
        <v>2025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  <c r="M2054" t="str">
        <f t="shared" si="128"/>
        <v>&lt;30</v>
      </c>
      <c r="N2054" t="str">
        <f t="shared" si="129"/>
        <v>Medium</v>
      </c>
      <c r="O2054" t="str">
        <f t="shared" si="130"/>
        <v>High Balance</v>
      </c>
      <c r="P2054" t="str">
        <f t="shared" si="131"/>
        <v>Mid-term</v>
      </c>
    </row>
    <row r="2055" spans="1:16" x14ac:dyDescent="0.25">
      <c r="A2055">
        <v>2025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  <c r="M2055" t="str">
        <f t="shared" si="128"/>
        <v>60+</v>
      </c>
      <c r="N2055" t="str">
        <f t="shared" si="129"/>
        <v>High</v>
      </c>
      <c r="O2055" t="str">
        <f t="shared" si="130"/>
        <v>High Balance</v>
      </c>
      <c r="P2055" t="str">
        <f t="shared" si="131"/>
        <v>Long-term</v>
      </c>
    </row>
    <row r="2056" spans="1:16" x14ac:dyDescent="0.25">
      <c r="A2056">
        <v>2025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  <c r="M2056" t="str">
        <f t="shared" si="128"/>
        <v>30-45</v>
      </c>
      <c r="N2056" t="str">
        <f t="shared" si="129"/>
        <v>High</v>
      </c>
      <c r="O2056" t="str">
        <f t="shared" si="130"/>
        <v>Zero Balance</v>
      </c>
      <c r="P2056" t="str">
        <f t="shared" si="131"/>
        <v>Mid-term</v>
      </c>
    </row>
    <row r="2057" spans="1:16" x14ac:dyDescent="0.25">
      <c r="A2057">
        <v>2025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  <c r="M2057" t="str">
        <f t="shared" si="128"/>
        <v>30-45</v>
      </c>
      <c r="N2057" t="str">
        <f t="shared" si="129"/>
        <v>Low</v>
      </c>
      <c r="O2057" t="str">
        <f t="shared" si="130"/>
        <v>High Balance</v>
      </c>
      <c r="P2057" t="str">
        <f t="shared" si="131"/>
        <v>Long-term</v>
      </c>
    </row>
    <row r="2058" spans="1:16" x14ac:dyDescent="0.25">
      <c r="A2058">
        <v>2025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  <c r="M2058" t="str">
        <f t="shared" si="128"/>
        <v>30-45</v>
      </c>
      <c r="N2058" t="str">
        <f t="shared" si="129"/>
        <v>Medium</v>
      </c>
      <c r="O2058" t="str">
        <f t="shared" si="130"/>
        <v>Zero Balance</v>
      </c>
      <c r="P2058" t="str">
        <f t="shared" si="131"/>
        <v>Mid-term</v>
      </c>
    </row>
    <row r="2059" spans="1:16" x14ac:dyDescent="0.25">
      <c r="A2059">
        <v>2025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  <c r="M2059" t="str">
        <f t="shared" si="128"/>
        <v>30-45</v>
      </c>
      <c r="N2059" t="str">
        <f t="shared" si="129"/>
        <v>High</v>
      </c>
      <c r="O2059" t="str">
        <f t="shared" si="130"/>
        <v>Zero Balance</v>
      </c>
      <c r="P2059" t="str">
        <f t="shared" si="131"/>
        <v>Long-term</v>
      </c>
    </row>
    <row r="2060" spans="1:16" x14ac:dyDescent="0.25">
      <c r="A2060">
        <v>2025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  <c r="M2060" t="str">
        <f t="shared" si="128"/>
        <v>46-60</v>
      </c>
      <c r="N2060" t="str">
        <f t="shared" si="129"/>
        <v>High</v>
      </c>
      <c r="O2060" t="str">
        <f t="shared" si="130"/>
        <v>Zero Balance</v>
      </c>
      <c r="P2060" t="str">
        <f t="shared" si="131"/>
        <v>New</v>
      </c>
    </row>
    <row r="2061" spans="1:16" x14ac:dyDescent="0.25">
      <c r="A2061">
        <v>2025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  <c r="M2061" t="str">
        <f t="shared" si="128"/>
        <v>46-60</v>
      </c>
      <c r="N2061" t="str">
        <f t="shared" si="129"/>
        <v>Medium</v>
      </c>
      <c r="O2061" t="str">
        <f t="shared" si="130"/>
        <v>Zero Balance</v>
      </c>
      <c r="P2061" t="str">
        <f t="shared" si="131"/>
        <v>Mid-term</v>
      </c>
    </row>
    <row r="2062" spans="1:16" x14ac:dyDescent="0.25">
      <c r="A2062">
        <v>2025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  <c r="M2062" t="str">
        <f t="shared" si="128"/>
        <v>30-45</v>
      </c>
      <c r="N2062" t="str">
        <f t="shared" si="129"/>
        <v>High</v>
      </c>
      <c r="O2062" t="str">
        <f t="shared" si="130"/>
        <v>High Balance</v>
      </c>
      <c r="P2062" t="str">
        <f t="shared" si="131"/>
        <v>Mid-term</v>
      </c>
    </row>
    <row r="2063" spans="1:16" x14ac:dyDescent="0.25">
      <c r="A2063">
        <v>2025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  <c r="M2063" t="str">
        <f t="shared" si="128"/>
        <v>30-45</v>
      </c>
      <c r="N2063" t="str">
        <f t="shared" si="129"/>
        <v>Low</v>
      </c>
      <c r="O2063" t="str">
        <f t="shared" si="130"/>
        <v>High Balance</v>
      </c>
      <c r="P2063" t="str">
        <f t="shared" si="131"/>
        <v>Mid-term</v>
      </c>
    </row>
    <row r="2064" spans="1:16" x14ac:dyDescent="0.25">
      <c r="A2064">
        <v>2025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  <c r="M2064" t="str">
        <f t="shared" si="128"/>
        <v>&lt;30</v>
      </c>
      <c r="N2064" t="str">
        <f t="shared" si="129"/>
        <v>High</v>
      </c>
      <c r="O2064" t="str">
        <f t="shared" si="130"/>
        <v>High Balance</v>
      </c>
      <c r="P2064" t="str">
        <f t="shared" si="131"/>
        <v>New</v>
      </c>
    </row>
    <row r="2065" spans="1:16" x14ac:dyDescent="0.25">
      <c r="A2065">
        <v>2025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  <c r="M2065" t="str">
        <f t="shared" si="128"/>
        <v>30-45</v>
      </c>
      <c r="N2065" t="str">
        <f t="shared" si="129"/>
        <v>Medium</v>
      </c>
      <c r="O2065" t="str">
        <f t="shared" si="130"/>
        <v>High Balance</v>
      </c>
      <c r="P2065" t="str">
        <f t="shared" si="131"/>
        <v>New</v>
      </c>
    </row>
    <row r="2066" spans="1:16" x14ac:dyDescent="0.25">
      <c r="A2066">
        <v>2025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  <c r="M2066" t="str">
        <f t="shared" si="128"/>
        <v>30-45</v>
      </c>
      <c r="N2066" t="str">
        <f t="shared" si="129"/>
        <v>High</v>
      </c>
      <c r="O2066" t="str">
        <f t="shared" si="130"/>
        <v>Zero Balance</v>
      </c>
      <c r="P2066" t="str">
        <f t="shared" si="131"/>
        <v>Mid-term</v>
      </c>
    </row>
    <row r="2067" spans="1:16" x14ac:dyDescent="0.25">
      <c r="A2067">
        <v>2025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  <c r="M2067" t="str">
        <f t="shared" si="128"/>
        <v>30-45</v>
      </c>
      <c r="N2067" t="str">
        <f t="shared" si="129"/>
        <v>Medium</v>
      </c>
      <c r="O2067" t="str">
        <f t="shared" si="130"/>
        <v>Zero Balance</v>
      </c>
      <c r="P2067" t="str">
        <f t="shared" si="131"/>
        <v>Long-term</v>
      </c>
    </row>
    <row r="2068" spans="1:16" x14ac:dyDescent="0.25">
      <c r="A2068">
        <v>2025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  <c r="M2068" t="str">
        <f t="shared" si="128"/>
        <v>30-45</v>
      </c>
      <c r="N2068" t="str">
        <f t="shared" si="129"/>
        <v>Medium</v>
      </c>
      <c r="O2068" t="str">
        <f t="shared" si="130"/>
        <v>High Balance</v>
      </c>
      <c r="P2068" t="str">
        <f t="shared" si="131"/>
        <v>Long-term</v>
      </c>
    </row>
    <row r="2069" spans="1:16" x14ac:dyDescent="0.25">
      <c r="A2069">
        <v>2025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  <c r="M2069" t="str">
        <f t="shared" si="128"/>
        <v>30-45</v>
      </c>
      <c r="N2069" t="str">
        <f t="shared" si="129"/>
        <v>High</v>
      </c>
      <c r="O2069" t="str">
        <f t="shared" si="130"/>
        <v>High Balance</v>
      </c>
      <c r="P2069" t="str">
        <f t="shared" si="131"/>
        <v>Long-term</v>
      </c>
    </row>
    <row r="2070" spans="1:16" x14ac:dyDescent="0.25">
      <c r="A2070">
        <v>2025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  <c r="M2070" t="str">
        <f t="shared" si="128"/>
        <v>30-45</v>
      </c>
      <c r="N2070" t="str">
        <f t="shared" si="129"/>
        <v>Medium</v>
      </c>
      <c r="O2070" t="str">
        <f t="shared" si="130"/>
        <v>Low Balance</v>
      </c>
      <c r="P2070" t="str">
        <f t="shared" si="131"/>
        <v>New</v>
      </c>
    </row>
    <row r="2071" spans="1:16" x14ac:dyDescent="0.25">
      <c r="A2071">
        <v>2025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  <c r="M2071" t="str">
        <f t="shared" si="128"/>
        <v>&lt;30</v>
      </c>
      <c r="N2071" t="str">
        <f t="shared" si="129"/>
        <v>Medium</v>
      </c>
      <c r="O2071" t="str">
        <f t="shared" si="130"/>
        <v>High Balance</v>
      </c>
      <c r="P2071" t="str">
        <f t="shared" si="131"/>
        <v>Long-term</v>
      </c>
    </row>
    <row r="2072" spans="1:16" x14ac:dyDescent="0.25">
      <c r="A2072">
        <v>2025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  <c r="M2072" t="str">
        <f t="shared" si="128"/>
        <v>30-45</v>
      </c>
      <c r="N2072" t="str">
        <f t="shared" si="129"/>
        <v>High</v>
      </c>
      <c r="O2072" t="str">
        <f t="shared" si="130"/>
        <v>Zero Balance</v>
      </c>
      <c r="P2072" t="str">
        <f t="shared" si="131"/>
        <v>Mid-term</v>
      </c>
    </row>
    <row r="2073" spans="1:16" x14ac:dyDescent="0.25">
      <c r="A2073">
        <v>2025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  <c r="M2073" t="str">
        <f t="shared" si="128"/>
        <v>30-45</v>
      </c>
      <c r="N2073" t="str">
        <f t="shared" si="129"/>
        <v>Medium</v>
      </c>
      <c r="O2073" t="str">
        <f t="shared" si="130"/>
        <v>Zero Balance</v>
      </c>
      <c r="P2073" t="str">
        <f t="shared" si="131"/>
        <v>Mid-term</v>
      </c>
    </row>
    <row r="2074" spans="1:16" x14ac:dyDescent="0.25">
      <c r="A2074">
        <v>2025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  <c r="M2074" t="str">
        <f t="shared" si="128"/>
        <v>30-45</v>
      </c>
      <c r="N2074" t="str">
        <f t="shared" si="129"/>
        <v>High</v>
      </c>
      <c r="O2074" t="str">
        <f t="shared" si="130"/>
        <v>Zero Balance</v>
      </c>
      <c r="P2074" t="str">
        <f t="shared" si="131"/>
        <v>Mid-term</v>
      </c>
    </row>
    <row r="2075" spans="1:16" x14ac:dyDescent="0.25">
      <c r="A2075">
        <v>2025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  <c r="M2075" t="str">
        <f t="shared" si="128"/>
        <v>46-60</v>
      </c>
      <c r="N2075" t="str">
        <f t="shared" si="129"/>
        <v>Medium</v>
      </c>
      <c r="O2075" t="str">
        <f t="shared" si="130"/>
        <v>Zero Balance</v>
      </c>
      <c r="P2075" t="str">
        <f t="shared" si="131"/>
        <v>New</v>
      </c>
    </row>
    <row r="2076" spans="1:16" x14ac:dyDescent="0.25">
      <c r="A2076">
        <v>2025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  <c r="M2076" t="str">
        <f t="shared" si="128"/>
        <v>30-45</v>
      </c>
      <c r="N2076" t="str">
        <f t="shared" si="129"/>
        <v>Medium</v>
      </c>
      <c r="O2076" t="str">
        <f t="shared" si="130"/>
        <v>High Balance</v>
      </c>
      <c r="P2076" t="str">
        <f t="shared" si="131"/>
        <v>New</v>
      </c>
    </row>
    <row r="2077" spans="1:16" x14ac:dyDescent="0.25">
      <c r="A2077">
        <v>2025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  <c r="M2077" t="str">
        <f t="shared" si="128"/>
        <v>30-45</v>
      </c>
      <c r="N2077" t="str">
        <f t="shared" si="129"/>
        <v>High</v>
      </c>
      <c r="O2077" t="str">
        <f t="shared" si="130"/>
        <v>High Balance</v>
      </c>
      <c r="P2077" t="str">
        <f t="shared" si="131"/>
        <v>Long-term</v>
      </c>
    </row>
    <row r="2078" spans="1:16" x14ac:dyDescent="0.25">
      <c r="A2078">
        <v>2025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  <c r="M2078" t="str">
        <f t="shared" si="128"/>
        <v>30-45</v>
      </c>
      <c r="N2078" t="str">
        <f t="shared" si="129"/>
        <v>Medium</v>
      </c>
      <c r="O2078" t="str">
        <f t="shared" si="130"/>
        <v>Zero Balance</v>
      </c>
      <c r="P2078" t="str">
        <f t="shared" si="131"/>
        <v>Mid-term</v>
      </c>
    </row>
    <row r="2079" spans="1:16" x14ac:dyDescent="0.25">
      <c r="A2079">
        <v>2025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  <c r="M2079" t="str">
        <f t="shared" si="128"/>
        <v>30-45</v>
      </c>
      <c r="N2079" t="str">
        <f t="shared" si="129"/>
        <v>Medium</v>
      </c>
      <c r="O2079" t="str">
        <f t="shared" si="130"/>
        <v>High Balance</v>
      </c>
      <c r="P2079" t="str">
        <f t="shared" si="131"/>
        <v>Mid-term</v>
      </c>
    </row>
    <row r="2080" spans="1:16" x14ac:dyDescent="0.25">
      <c r="A2080">
        <v>2025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  <c r="M2080" t="str">
        <f t="shared" si="128"/>
        <v>60+</v>
      </c>
      <c r="N2080" t="str">
        <f t="shared" si="129"/>
        <v>Medium</v>
      </c>
      <c r="O2080" t="str">
        <f t="shared" si="130"/>
        <v>Low Balance</v>
      </c>
      <c r="P2080" t="str">
        <f t="shared" si="131"/>
        <v>New</v>
      </c>
    </row>
    <row r="2081" spans="1:16" x14ac:dyDescent="0.25">
      <c r="A2081">
        <v>2025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  <c r="M2081" t="str">
        <f t="shared" si="128"/>
        <v>30-45</v>
      </c>
      <c r="N2081" t="str">
        <f t="shared" si="129"/>
        <v>Medium</v>
      </c>
      <c r="O2081" t="str">
        <f t="shared" si="130"/>
        <v>High Balance</v>
      </c>
      <c r="P2081" t="str">
        <f t="shared" si="131"/>
        <v>Mid-term</v>
      </c>
    </row>
    <row r="2082" spans="1:16" x14ac:dyDescent="0.25">
      <c r="A2082">
        <v>2025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  <c r="M2082" t="str">
        <f t="shared" si="128"/>
        <v>46-60</v>
      </c>
      <c r="N2082" t="str">
        <f t="shared" si="129"/>
        <v>High</v>
      </c>
      <c r="O2082" t="str">
        <f t="shared" si="130"/>
        <v>Low Balance</v>
      </c>
      <c r="P2082" t="str">
        <f t="shared" si="131"/>
        <v>New</v>
      </c>
    </row>
    <row r="2083" spans="1:16" x14ac:dyDescent="0.25">
      <c r="A2083">
        <v>2025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  <c r="M2083" t="str">
        <f t="shared" si="128"/>
        <v>30-45</v>
      </c>
      <c r="N2083" t="str">
        <f t="shared" si="129"/>
        <v>Low</v>
      </c>
      <c r="O2083" t="str">
        <f t="shared" si="130"/>
        <v>High Balance</v>
      </c>
      <c r="P2083" t="str">
        <f t="shared" si="131"/>
        <v>Long-term</v>
      </c>
    </row>
    <row r="2084" spans="1:16" x14ac:dyDescent="0.25">
      <c r="A2084">
        <v>2025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  <c r="M2084" t="str">
        <f t="shared" si="128"/>
        <v>30-45</v>
      </c>
      <c r="N2084" t="str">
        <f t="shared" si="129"/>
        <v>High</v>
      </c>
      <c r="O2084" t="str">
        <f t="shared" si="130"/>
        <v>Zero Balance</v>
      </c>
      <c r="P2084" t="str">
        <f t="shared" si="131"/>
        <v>Mid-term</v>
      </c>
    </row>
    <row r="2085" spans="1:16" x14ac:dyDescent="0.25">
      <c r="A2085">
        <v>2025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  <c r="M2085" t="str">
        <f t="shared" si="128"/>
        <v>&lt;30</v>
      </c>
      <c r="N2085" t="str">
        <f t="shared" si="129"/>
        <v>Medium</v>
      </c>
      <c r="O2085" t="str">
        <f t="shared" si="130"/>
        <v>Zero Balance</v>
      </c>
      <c r="P2085" t="str">
        <f t="shared" si="131"/>
        <v>New</v>
      </c>
    </row>
    <row r="2086" spans="1:16" x14ac:dyDescent="0.25">
      <c r="A2086">
        <v>2025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  <c r="M2086" t="str">
        <f t="shared" si="128"/>
        <v>30-45</v>
      </c>
      <c r="N2086" t="str">
        <f t="shared" si="129"/>
        <v>Low</v>
      </c>
      <c r="O2086" t="str">
        <f t="shared" si="130"/>
        <v>Low Balance</v>
      </c>
      <c r="P2086" t="str">
        <f t="shared" si="131"/>
        <v>Mid-term</v>
      </c>
    </row>
    <row r="2087" spans="1:16" x14ac:dyDescent="0.25">
      <c r="A2087">
        <v>2025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  <c r="M2087" t="str">
        <f t="shared" si="128"/>
        <v>&lt;30</v>
      </c>
      <c r="N2087" t="str">
        <f t="shared" si="129"/>
        <v>Medium</v>
      </c>
      <c r="O2087" t="str">
        <f t="shared" si="130"/>
        <v>High Balance</v>
      </c>
      <c r="P2087" t="str">
        <f t="shared" si="131"/>
        <v>Mid-term</v>
      </c>
    </row>
    <row r="2088" spans="1:16" x14ac:dyDescent="0.25">
      <c r="A2088">
        <v>2025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  <c r="M2088" t="str">
        <f t="shared" si="128"/>
        <v>30-45</v>
      </c>
      <c r="N2088" t="str">
        <f t="shared" si="129"/>
        <v>High</v>
      </c>
      <c r="O2088" t="str">
        <f t="shared" si="130"/>
        <v>Zero Balance</v>
      </c>
      <c r="P2088" t="str">
        <f t="shared" si="131"/>
        <v>New</v>
      </c>
    </row>
    <row r="2089" spans="1:16" x14ac:dyDescent="0.25">
      <c r="A2089">
        <v>2025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  <c r="M2089" t="str">
        <f t="shared" si="128"/>
        <v>46-60</v>
      </c>
      <c r="N2089" t="str">
        <f t="shared" si="129"/>
        <v>High</v>
      </c>
      <c r="O2089" t="str">
        <f t="shared" si="130"/>
        <v>Low Balance</v>
      </c>
      <c r="P2089" t="str">
        <f t="shared" si="131"/>
        <v>Mid-term</v>
      </c>
    </row>
    <row r="2090" spans="1:16" x14ac:dyDescent="0.25">
      <c r="A2090">
        <v>2025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  <c r="M2090" t="str">
        <f t="shared" si="128"/>
        <v>30-45</v>
      </c>
      <c r="N2090" t="str">
        <f t="shared" si="129"/>
        <v>Medium</v>
      </c>
      <c r="O2090" t="str">
        <f t="shared" si="130"/>
        <v>High Balance</v>
      </c>
      <c r="P2090" t="str">
        <f t="shared" si="131"/>
        <v>Long-term</v>
      </c>
    </row>
    <row r="2091" spans="1:16" x14ac:dyDescent="0.25">
      <c r="A2091">
        <v>2025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  <c r="M2091" t="str">
        <f t="shared" si="128"/>
        <v>30-45</v>
      </c>
      <c r="N2091" t="str">
        <f t="shared" si="129"/>
        <v>Medium</v>
      </c>
      <c r="O2091" t="str">
        <f t="shared" si="130"/>
        <v>Zero Balance</v>
      </c>
      <c r="P2091" t="str">
        <f t="shared" si="131"/>
        <v>New</v>
      </c>
    </row>
    <row r="2092" spans="1:16" x14ac:dyDescent="0.25">
      <c r="A2092">
        <v>2025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  <c r="M2092" t="str">
        <f t="shared" si="128"/>
        <v>30-45</v>
      </c>
      <c r="N2092" t="str">
        <f t="shared" si="129"/>
        <v>Medium</v>
      </c>
      <c r="O2092" t="str">
        <f t="shared" si="130"/>
        <v>Zero Balance</v>
      </c>
      <c r="P2092" t="str">
        <f t="shared" si="131"/>
        <v>Long-term</v>
      </c>
    </row>
    <row r="2093" spans="1:16" x14ac:dyDescent="0.25">
      <c r="A2093">
        <v>2025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  <c r="M2093" t="str">
        <f t="shared" si="128"/>
        <v>30-45</v>
      </c>
      <c r="N2093" t="str">
        <f t="shared" si="129"/>
        <v>Medium</v>
      </c>
      <c r="O2093" t="str">
        <f t="shared" si="130"/>
        <v>High Balance</v>
      </c>
      <c r="P2093" t="str">
        <f t="shared" si="131"/>
        <v>Mid-term</v>
      </c>
    </row>
    <row r="2094" spans="1:16" x14ac:dyDescent="0.25">
      <c r="A2094">
        <v>2025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  <c r="M2094" t="str">
        <f t="shared" si="128"/>
        <v>30-45</v>
      </c>
      <c r="N2094" t="str">
        <f t="shared" si="129"/>
        <v>Medium</v>
      </c>
      <c r="O2094" t="str">
        <f t="shared" si="130"/>
        <v>High Balance</v>
      </c>
      <c r="P2094" t="str">
        <f t="shared" si="131"/>
        <v>New</v>
      </c>
    </row>
    <row r="2095" spans="1:16" x14ac:dyDescent="0.25">
      <c r="A2095">
        <v>2025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  <c r="M2095" t="str">
        <f t="shared" si="128"/>
        <v>46-60</v>
      </c>
      <c r="N2095" t="str">
        <f t="shared" si="129"/>
        <v>Medium</v>
      </c>
      <c r="O2095" t="str">
        <f t="shared" si="130"/>
        <v>High Balance</v>
      </c>
      <c r="P2095" t="str">
        <f t="shared" si="131"/>
        <v>Mid-term</v>
      </c>
    </row>
    <row r="2096" spans="1:16" x14ac:dyDescent="0.25">
      <c r="A2096">
        <v>2025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  <c r="M2096" t="str">
        <f t="shared" si="128"/>
        <v>60+</v>
      </c>
      <c r="N2096" t="str">
        <f t="shared" si="129"/>
        <v>Medium</v>
      </c>
      <c r="O2096" t="str">
        <f t="shared" si="130"/>
        <v>Zero Balance</v>
      </c>
      <c r="P2096" t="str">
        <f t="shared" si="131"/>
        <v>New</v>
      </c>
    </row>
    <row r="2097" spans="1:16" x14ac:dyDescent="0.25">
      <c r="A2097">
        <v>2025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  <c r="M2097" t="str">
        <f t="shared" si="128"/>
        <v>30-45</v>
      </c>
      <c r="N2097" t="str">
        <f t="shared" si="129"/>
        <v>Medium</v>
      </c>
      <c r="O2097" t="str">
        <f t="shared" si="130"/>
        <v>High Balance</v>
      </c>
      <c r="P2097" t="str">
        <f t="shared" si="131"/>
        <v>Mid-term</v>
      </c>
    </row>
    <row r="2098" spans="1:16" x14ac:dyDescent="0.25">
      <c r="A2098">
        <v>2025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  <c r="M2098" t="str">
        <f t="shared" si="128"/>
        <v>30-45</v>
      </c>
      <c r="N2098" t="str">
        <f t="shared" si="129"/>
        <v>Medium</v>
      </c>
      <c r="O2098" t="str">
        <f t="shared" si="130"/>
        <v>Zero Balance</v>
      </c>
      <c r="P2098" t="str">
        <f t="shared" si="131"/>
        <v>Long-term</v>
      </c>
    </row>
    <row r="2099" spans="1:16" x14ac:dyDescent="0.25">
      <c r="A2099">
        <v>2025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  <c r="M2099" t="str">
        <f t="shared" si="128"/>
        <v>30-45</v>
      </c>
      <c r="N2099" t="str">
        <f t="shared" si="129"/>
        <v>Medium</v>
      </c>
      <c r="O2099" t="str">
        <f t="shared" si="130"/>
        <v>High Balance</v>
      </c>
      <c r="P2099" t="str">
        <f t="shared" si="131"/>
        <v>New</v>
      </c>
    </row>
    <row r="2100" spans="1:16" x14ac:dyDescent="0.25">
      <c r="A2100">
        <v>2025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  <c r="M2100" t="str">
        <f t="shared" si="128"/>
        <v>30-45</v>
      </c>
      <c r="N2100" t="str">
        <f t="shared" si="129"/>
        <v>Medium</v>
      </c>
      <c r="O2100" t="str">
        <f t="shared" si="130"/>
        <v>Zero Balance</v>
      </c>
      <c r="P2100" t="str">
        <f t="shared" si="131"/>
        <v>New</v>
      </c>
    </row>
    <row r="2101" spans="1:16" x14ac:dyDescent="0.25">
      <c r="A2101">
        <v>2025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  <c r="M2101" t="str">
        <f t="shared" si="128"/>
        <v>46-60</v>
      </c>
      <c r="N2101" t="str">
        <f t="shared" si="129"/>
        <v>Medium</v>
      </c>
      <c r="O2101" t="str">
        <f t="shared" si="130"/>
        <v>Low Balance</v>
      </c>
      <c r="P2101" t="str">
        <f t="shared" si="131"/>
        <v>Mid-term</v>
      </c>
    </row>
    <row r="2102" spans="1:16" x14ac:dyDescent="0.25">
      <c r="A2102">
        <v>2025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  <c r="M2102" t="str">
        <f t="shared" si="128"/>
        <v>30-45</v>
      </c>
      <c r="N2102" t="str">
        <f t="shared" si="129"/>
        <v>High</v>
      </c>
      <c r="O2102" t="str">
        <f t="shared" si="130"/>
        <v>Zero Balance</v>
      </c>
      <c r="P2102" t="str">
        <f t="shared" si="131"/>
        <v>Mid-term</v>
      </c>
    </row>
    <row r="2103" spans="1:16" x14ac:dyDescent="0.25">
      <c r="A2103">
        <v>2025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  <c r="M2103" t="str">
        <f t="shared" si="128"/>
        <v>46-60</v>
      </c>
      <c r="N2103" t="str">
        <f t="shared" si="129"/>
        <v>Medium</v>
      </c>
      <c r="O2103" t="str">
        <f t="shared" si="130"/>
        <v>Zero Balance</v>
      </c>
      <c r="P2103" t="str">
        <f t="shared" si="131"/>
        <v>Long-term</v>
      </c>
    </row>
    <row r="2104" spans="1:16" x14ac:dyDescent="0.25">
      <c r="A2104">
        <v>2025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  <c r="M2104" t="str">
        <f t="shared" si="128"/>
        <v>30-45</v>
      </c>
      <c r="N2104" t="str">
        <f t="shared" si="129"/>
        <v>High</v>
      </c>
      <c r="O2104" t="str">
        <f t="shared" si="130"/>
        <v>Low Balance</v>
      </c>
      <c r="P2104" t="str">
        <f t="shared" si="131"/>
        <v>Mid-term</v>
      </c>
    </row>
    <row r="2105" spans="1:16" x14ac:dyDescent="0.25">
      <c r="A2105">
        <v>2025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  <c r="M2105" t="str">
        <f t="shared" si="128"/>
        <v>60+</v>
      </c>
      <c r="N2105" t="str">
        <f t="shared" si="129"/>
        <v>Medium</v>
      </c>
      <c r="O2105" t="str">
        <f t="shared" si="130"/>
        <v>Low Balance</v>
      </c>
      <c r="P2105" t="str">
        <f t="shared" si="131"/>
        <v>New</v>
      </c>
    </row>
    <row r="2106" spans="1:16" x14ac:dyDescent="0.25">
      <c r="A2106">
        <v>2025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  <c r="M2106" t="str">
        <f t="shared" si="128"/>
        <v>30-45</v>
      </c>
      <c r="N2106" t="str">
        <f t="shared" si="129"/>
        <v>High</v>
      </c>
      <c r="O2106" t="str">
        <f t="shared" si="130"/>
        <v>Zero Balance</v>
      </c>
      <c r="P2106" t="str">
        <f t="shared" si="131"/>
        <v>Mid-term</v>
      </c>
    </row>
    <row r="2107" spans="1:16" x14ac:dyDescent="0.25">
      <c r="A2107">
        <v>2025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  <c r="M2107" t="str">
        <f t="shared" si="128"/>
        <v>30-45</v>
      </c>
      <c r="N2107" t="str">
        <f t="shared" si="129"/>
        <v>Low</v>
      </c>
      <c r="O2107" t="str">
        <f t="shared" si="130"/>
        <v>Zero Balance</v>
      </c>
      <c r="P2107" t="str">
        <f t="shared" si="131"/>
        <v>Mid-term</v>
      </c>
    </row>
    <row r="2108" spans="1:16" x14ac:dyDescent="0.25">
      <c r="A2108">
        <v>2025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  <c r="M2108" t="str">
        <f t="shared" si="128"/>
        <v>46-60</v>
      </c>
      <c r="N2108" t="str">
        <f t="shared" si="129"/>
        <v>Medium</v>
      </c>
      <c r="O2108" t="str">
        <f t="shared" si="130"/>
        <v>High Balance</v>
      </c>
      <c r="P2108" t="str">
        <f t="shared" si="131"/>
        <v>New</v>
      </c>
    </row>
    <row r="2109" spans="1:16" x14ac:dyDescent="0.25">
      <c r="A2109">
        <v>2025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  <c r="M2109" t="str">
        <f t="shared" si="128"/>
        <v>30-45</v>
      </c>
      <c r="N2109" t="str">
        <f t="shared" si="129"/>
        <v>Medium</v>
      </c>
      <c r="O2109" t="str">
        <f t="shared" si="130"/>
        <v>Low Balance</v>
      </c>
      <c r="P2109" t="str">
        <f t="shared" si="131"/>
        <v>New</v>
      </c>
    </row>
    <row r="2110" spans="1:16" x14ac:dyDescent="0.25">
      <c r="A2110">
        <v>2025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  <c r="M2110" t="str">
        <f t="shared" si="128"/>
        <v>60+</v>
      </c>
      <c r="N2110" t="str">
        <f t="shared" si="129"/>
        <v>Medium</v>
      </c>
      <c r="O2110" t="str">
        <f t="shared" si="130"/>
        <v>High Balance</v>
      </c>
      <c r="P2110" t="str">
        <f t="shared" si="131"/>
        <v>Mid-term</v>
      </c>
    </row>
    <row r="2111" spans="1:16" x14ac:dyDescent="0.25">
      <c r="A2111">
        <v>2025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  <c r="M2111" t="str">
        <f t="shared" si="128"/>
        <v>30-45</v>
      </c>
      <c r="N2111" t="str">
        <f t="shared" si="129"/>
        <v>Medium</v>
      </c>
      <c r="O2111" t="str">
        <f t="shared" si="130"/>
        <v>Zero Balance</v>
      </c>
      <c r="P2111" t="str">
        <f t="shared" si="131"/>
        <v>Mid-term</v>
      </c>
    </row>
    <row r="2112" spans="1:16" x14ac:dyDescent="0.25">
      <c r="A2112">
        <v>2025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  <c r="M2112" t="str">
        <f t="shared" si="128"/>
        <v>46-60</v>
      </c>
      <c r="N2112" t="str">
        <f t="shared" si="129"/>
        <v>High</v>
      </c>
      <c r="O2112" t="str">
        <f t="shared" si="130"/>
        <v>High Balance</v>
      </c>
      <c r="P2112" t="str">
        <f t="shared" si="131"/>
        <v>Long-term</v>
      </c>
    </row>
    <row r="2113" spans="1:16" x14ac:dyDescent="0.25">
      <c r="A2113">
        <v>2025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  <c r="M2113" t="str">
        <f t="shared" si="128"/>
        <v>&lt;30</v>
      </c>
      <c r="N2113" t="str">
        <f t="shared" si="129"/>
        <v>Medium</v>
      </c>
      <c r="O2113" t="str">
        <f t="shared" si="130"/>
        <v>Zero Balance</v>
      </c>
      <c r="P2113" t="str">
        <f t="shared" si="131"/>
        <v>Mid-term</v>
      </c>
    </row>
    <row r="2114" spans="1:16" x14ac:dyDescent="0.25">
      <c r="A2114">
        <v>2025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  <c r="M2114" t="str">
        <f t="shared" si="128"/>
        <v>&lt;30</v>
      </c>
      <c r="N2114" t="str">
        <f t="shared" si="129"/>
        <v>Low</v>
      </c>
      <c r="O2114" t="str">
        <f t="shared" si="130"/>
        <v>Zero Balance</v>
      </c>
      <c r="P2114" t="str">
        <f t="shared" si="131"/>
        <v>Mid-term</v>
      </c>
    </row>
    <row r="2115" spans="1:16" x14ac:dyDescent="0.25">
      <c r="A2115">
        <v>2025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  <c r="M2115" t="str">
        <f t="shared" ref="M2115:M2178" si="132">IF(E2115&lt;30,"&lt;30",IF(E2115&lt;=45,"30-45",IF(E2115&lt;=60,"46-60","60+")))</f>
        <v>30-45</v>
      </c>
      <c r="N2115" t="str">
        <f t="shared" ref="N2115:N2178" si="133">IF(B2115&lt;500,"Low",IF(B2115&lt;700,"Medium","High"))</f>
        <v>High</v>
      </c>
      <c r="O2115" t="str">
        <f t="shared" ref="O2115:O2178" si="134">IF(G2115=0,"Zero Balance",IF(G2115&lt;100000,"Low Balance","High Balance"))</f>
        <v>High Balance</v>
      </c>
      <c r="P2115" t="str">
        <f t="shared" ref="P2115:P2178" si="135">IF(F2115&lt;=3,"New",IF(F2115&lt;=7,"Mid-term","Long-term"))</f>
        <v>Mid-term</v>
      </c>
    </row>
    <row r="2116" spans="1:16" x14ac:dyDescent="0.25">
      <c r="A2116">
        <v>2025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  <c r="M2116" t="str">
        <f t="shared" si="132"/>
        <v>30-45</v>
      </c>
      <c r="N2116" t="str">
        <f t="shared" si="133"/>
        <v>High</v>
      </c>
      <c r="O2116" t="str">
        <f t="shared" si="134"/>
        <v>Zero Balance</v>
      </c>
      <c r="P2116" t="str">
        <f t="shared" si="135"/>
        <v>Long-term</v>
      </c>
    </row>
    <row r="2117" spans="1:16" x14ac:dyDescent="0.25">
      <c r="A2117">
        <v>2025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  <c r="M2117" t="str">
        <f t="shared" si="132"/>
        <v>46-60</v>
      </c>
      <c r="N2117" t="str">
        <f t="shared" si="133"/>
        <v>Low</v>
      </c>
      <c r="O2117" t="str">
        <f t="shared" si="134"/>
        <v>High Balance</v>
      </c>
      <c r="P2117" t="str">
        <f t="shared" si="135"/>
        <v>Mid-term</v>
      </c>
    </row>
    <row r="2118" spans="1:16" x14ac:dyDescent="0.25">
      <c r="A2118">
        <v>2025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  <c r="M2118" t="str">
        <f t="shared" si="132"/>
        <v>30-45</v>
      </c>
      <c r="N2118" t="str">
        <f t="shared" si="133"/>
        <v>High</v>
      </c>
      <c r="O2118" t="str">
        <f t="shared" si="134"/>
        <v>Zero Balance</v>
      </c>
      <c r="P2118" t="str">
        <f t="shared" si="135"/>
        <v>Mid-term</v>
      </c>
    </row>
    <row r="2119" spans="1:16" x14ac:dyDescent="0.25">
      <c r="A2119">
        <v>2025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  <c r="M2119" t="str">
        <f t="shared" si="132"/>
        <v>30-45</v>
      </c>
      <c r="N2119" t="str">
        <f t="shared" si="133"/>
        <v>Medium</v>
      </c>
      <c r="O2119" t="str">
        <f t="shared" si="134"/>
        <v>Zero Balance</v>
      </c>
      <c r="P2119" t="str">
        <f t="shared" si="135"/>
        <v>New</v>
      </c>
    </row>
    <row r="2120" spans="1:16" x14ac:dyDescent="0.25">
      <c r="A2120">
        <v>2025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  <c r="M2120" t="str">
        <f t="shared" si="132"/>
        <v>&lt;30</v>
      </c>
      <c r="N2120" t="str">
        <f t="shared" si="133"/>
        <v>Low</v>
      </c>
      <c r="O2120" t="str">
        <f t="shared" si="134"/>
        <v>Zero Balance</v>
      </c>
      <c r="P2120" t="str">
        <f t="shared" si="135"/>
        <v>Mid-term</v>
      </c>
    </row>
    <row r="2121" spans="1:16" x14ac:dyDescent="0.25">
      <c r="A2121">
        <v>2025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  <c r="M2121" t="str">
        <f t="shared" si="132"/>
        <v>&lt;30</v>
      </c>
      <c r="N2121" t="str">
        <f t="shared" si="133"/>
        <v>Medium</v>
      </c>
      <c r="O2121" t="str">
        <f t="shared" si="134"/>
        <v>Zero Balance</v>
      </c>
      <c r="P2121" t="str">
        <f t="shared" si="135"/>
        <v>Mid-term</v>
      </c>
    </row>
    <row r="2122" spans="1:16" x14ac:dyDescent="0.25">
      <c r="A2122">
        <v>2025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  <c r="M2122" t="str">
        <f t="shared" si="132"/>
        <v>46-60</v>
      </c>
      <c r="N2122" t="str">
        <f t="shared" si="133"/>
        <v>Medium</v>
      </c>
      <c r="O2122" t="str">
        <f t="shared" si="134"/>
        <v>High Balance</v>
      </c>
      <c r="P2122" t="str">
        <f t="shared" si="135"/>
        <v>Mid-term</v>
      </c>
    </row>
    <row r="2123" spans="1:16" x14ac:dyDescent="0.25">
      <c r="A2123">
        <v>2025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  <c r="M2123" t="str">
        <f t="shared" si="132"/>
        <v>30-45</v>
      </c>
      <c r="N2123" t="str">
        <f t="shared" si="133"/>
        <v>Medium</v>
      </c>
      <c r="O2123" t="str">
        <f t="shared" si="134"/>
        <v>Zero Balance</v>
      </c>
      <c r="P2123" t="str">
        <f t="shared" si="135"/>
        <v>New</v>
      </c>
    </row>
    <row r="2124" spans="1:16" x14ac:dyDescent="0.25">
      <c r="A2124">
        <v>2025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  <c r="M2124" t="str">
        <f t="shared" si="132"/>
        <v>30-45</v>
      </c>
      <c r="N2124" t="str">
        <f t="shared" si="133"/>
        <v>High</v>
      </c>
      <c r="O2124" t="str">
        <f t="shared" si="134"/>
        <v>High Balance</v>
      </c>
      <c r="P2124" t="str">
        <f t="shared" si="135"/>
        <v>Long-term</v>
      </c>
    </row>
    <row r="2125" spans="1:16" x14ac:dyDescent="0.25">
      <c r="A2125">
        <v>2025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  <c r="M2125" t="str">
        <f t="shared" si="132"/>
        <v>&lt;30</v>
      </c>
      <c r="N2125" t="str">
        <f t="shared" si="133"/>
        <v>Medium</v>
      </c>
      <c r="O2125" t="str">
        <f t="shared" si="134"/>
        <v>High Balance</v>
      </c>
      <c r="P2125" t="str">
        <f t="shared" si="135"/>
        <v>New</v>
      </c>
    </row>
    <row r="2126" spans="1:16" x14ac:dyDescent="0.25">
      <c r="A2126">
        <v>2025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  <c r="M2126" t="str">
        <f t="shared" si="132"/>
        <v>30-45</v>
      </c>
      <c r="N2126" t="str">
        <f t="shared" si="133"/>
        <v>High</v>
      </c>
      <c r="O2126" t="str">
        <f t="shared" si="134"/>
        <v>High Balance</v>
      </c>
      <c r="P2126" t="str">
        <f t="shared" si="135"/>
        <v>Mid-term</v>
      </c>
    </row>
    <row r="2127" spans="1:16" x14ac:dyDescent="0.25">
      <c r="A2127">
        <v>2025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  <c r="M2127" t="str">
        <f t="shared" si="132"/>
        <v>30-45</v>
      </c>
      <c r="N2127" t="str">
        <f t="shared" si="133"/>
        <v>Medium</v>
      </c>
      <c r="O2127" t="str">
        <f t="shared" si="134"/>
        <v>Zero Balance</v>
      </c>
      <c r="P2127" t="str">
        <f t="shared" si="135"/>
        <v>Mid-term</v>
      </c>
    </row>
    <row r="2128" spans="1:16" x14ac:dyDescent="0.25">
      <c r="A2128">
        <v>2025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  <c r="M2128" t="str">
        <f t="shared" si="132"/>
        <v>30-45</v>
      </c>
      <c r="N2128" t="str">
        <f t="shared" si="133"/>
        <v>High</v>
      </c>
      <c r="O2128" t="str">
        <f t="shared" si="134"/>
        <v>Zero Balance</v>
      </c>
      <c r="P2128" t="str">
        <f t="shared" si="135"/>
        <v>Long-term</v>
      </c>
    </row>
    <row r="2129" spans="1:16" x14ac:dyDescent="0.25">
      <c r="A2129">
        <v>2025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  <c r="M2129" t="str">
        <f t="shared" si="132"/>
        <v>30-45</v>
      </c>
      <c r="N2129" t="str">
        <f t="shared" si="133"/>
        <v>High</v>
      </c>
      <c r="O2129" t="str">
        <f t="shared" si="134"/>
        <v>High Balance</v>
      </c>
      <c r="P2129" t="str">
        <f t="shared" si="135"/>
        <v>Long-term</v>
      </c>
    </row>
    <row r="2130" spans="1:16" x14ac:dyDescent="0.25">
      <c r="A2130">
        <v>2025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  <c r="M2130" t="str">
        <f t="shared" si="132"/>
        <v>30-45</v>
      </c>
      <c r="N2130" t="str">
        <f t="shared" si="133"/>
        <v>High</v>
      </c>
      <c r="O2130" t="str">
        <f t="shared" si="134"/>
        <v>Low Balance</v>
      </c>
      <c r="P2130" t="str">
        <f t="shared" si="135"/>
        <v>Long-term</v>
      </c>
    </row>
    <row r="2131" spans="1:16" x14ac:dyDescent="0.25">
      <c r="A2131">
        <v>2025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  <c r="M2131" t="str">
        <f t="shared" si="132"/>
        <v>30-45</v>
      </c>
      <c r="N2131" t="str">
        <f t="shared" si="133"/>
        <v>High</v>
      </c>
      <c r="O2131" t="str">
        <f t="shared" si="134"/>
        <v>High Balance</v>
      </c>
      <c r="P2131" t="str">
        <f t="shared" si="135"/>
        <v>Mid-term</v>
      </c>
    </row>
    <row r="2132" spans="1:16" x14ac:dyDescent="0.25">
      <c r="A2132">
        <v>2025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  <c r="M2132" t="str">
        <f t="shared" si="132"/>
        <v>30-45</v>
      </c>
      <c r="N2132" t="str">
        <f t="shared" si="133"/>
        <v>High</v>
      </c>
      <c r="O2132" t="str">
        <f t="shared" si="134"/>
        <v>Zero Balance</v>
      </c>
      <c r="P2132" t="str">
        <f t="shared" si="135"/>
        <v>Mid-term</v>
      </c>
    </row>
    <row r="2133" spans="1:16" x14ac:dyDescent="0.25">
      <c r="A2133">
        <v>2025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  <c r="M2133" t="str">
        <f t="shared" si="132"/>
        <v>30-45</v>
      </c>
      <c r="N2133" t="str">
        <f t="shared" si="133"/>
        <v>Medium</v>
      </c>
      <c r="O2133" t="str">
        <f t="shared" si="134"/>
        <v>High Balance</v>
      </c>
      <c r="P2133" t="str">
        <f t="shared" si="135"/>
        <v>New</v>
      </c>
    </row>
    <row r="2134" spans="1:16" x14ac:dyDescent="0.25">
      <c r="A2134">
        <v>2025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  <c r="M2134" t="str">
        <f t="shared" si="132"/>
        <v>30-45</v>
      </c>
      <c r="N2134" t="str">
        <f t="shared" si="133"/>
        <v>Medium</v>
      </c>
      <c r="O2134" t="str">
        <f t="shared" si="134"/>
        <v>Low Balance</v>
      </c>
      <c r="P2134" t="str">
        <f t="shared" si="135"/>
        <v>Mid-term</v>
      </c>
    </row>
    <row r="2135" spans="1:16" x14ac:dyDescent="0.25">
      <c r="A2135">
        <v>2025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  <c r="M2135" t="str">
        <f t="shared" si="132"/>
        <v>30-45</v>
      </c>
      <c r="N2135" t="str">
        <f t="shared" si="133"/>
        <v>Medium</v>
      </c>
      <c r="O2135" t="str">
        <f t="shared" si="134"/>
        <v>High Balance</v>
      </c>
      <c r="P2135" t="str">
        <f t="shared" si="135"/>
        <v>Mid-term</v>
      </c>
    </row>
    <row r="2136" spans="1:16" x14ac:dyDescent="0.25">
      <c r="A2136">
        <v>2025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  <c r="M2136" t="str">
        <f t="shared" si="132"/>
        <v>30-45</v>
      </c>
      <c r="N2136" t="str">
        <f t="shared" si="133"/>
        <v>High</v>
      </c>
      <c r="O2136" t="str">
        <f t="shared" si="134"/>
        <v>Low Balance</v>
      </c>
      <c r="P2136" t="str">
        <f t="shared" si="135"/>
        <v>New</v>
      </c>
    </row>
    <row r="2137" spans="1:16" x14ac:dyDescent="0.25">
      <c r="A2137">
        <v>2025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  <c r="M2137" t="str">
        <f t="shared" si="132"/>
        <v>46-60</v>
      </c>
      <c r="N2137" t="str">
        <f t="shared" si="133"/>
        <v>High</v>
      </c>
      <c r="O2137" t="str">
        <f t="shared" si="134"/>
        <v>Low Balance</v>
      </c>
      <c r="P2137" t="str">
        <f t="shared" si="135"/>
        <v>Long-term</v>
      </c>
    </row>
    <row r="2138" spans="1:16" x14ac:dyDescent="0.25">
      <c r="A2138">
        <v>2025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  <c r="M2138" t="str">
        <f t="shared" si="132"/>
        <v>&lt;30</v>
      </c>
      <c r="N2138" t="str">
        <f t="shared" si="133"/>
        <v>High</v>
      </c>
      <c r="O2138" t="str">
        <f t="shared" si="134"/>
        <v>High Balance</v>
      </c>
      <c r="P2138" t="str">
        <f t="shared" si="135"/>
        <v>Mid-term</v>
      </c>
    </row>
    <row r="2139" spans="1:16" x14ac:dyDescent="0.25">
      <c r="A2139">
        <v>2025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  <c r="M2139" t="str">
        <f t="shared" si="132"/>
        <v>30-45</v>
      </c>
      <c r="N2139" t="str">
        <f t="shared" si="133"/>
        <v>High</v>
      </c>
      <c r="O2139" t="str">
        <f t="shared" si="134"/>
        <v>High Balance</v>
      </c>
      <c r="P2139" t="str">
        <f t="shared" si="135"/>
        <v>New</v>
      </c>
    </row>
    <row r="2140" spans="1:16" x14ac:dyDescent="0.25">
      <c r="A2140">
        <v>2025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  <c r="M2140" t="str">
        <f t="shared" si="132"/>
        <v>30-45</v>
      </c>
      <c r="N2140" t="str">
        <f t="shared" si="133"/>
        <v>High</v>
      </c>
      <c r="O2140" t="str">
        <f t="shared" si="134"/>
        <v>High Balance</v>
      </c>
      <c r="P2140" t="str">
        <f t="shared" si="135"/>
        <v>New</v>
      </c>
    </row>
    <row r="2141" spans="1:16" x14ac:dyDescent="0.25">
      <c r="A2141">
        <v>2025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  <c r="M2141" t="str">
        <f t="shared" si="132"/>
        <v>46-60</v>
      </c>
      <c r="N2141" t="str">
        <f t="shared" si="133"/>
        <v>Medium</v>
      </c>
      <c r="O2141" t="str">
        <f t="shared" si="134"/>
        <v>High Balance</v>
      </c>
      <c r="P2141" t="str">
        <f t="shared" si="135"/>
        <v>New</v>
      </c>
    </row>
    <row r="2142" spans="1:16" x14ac:dyDescent="0.25">
      <c r="A2142">
        <v>2025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  <c r="M2142" t="str">
        <f t="shared" si="132"/>
        <v>30-45</v>
      </c>
      <c r="N2142" t="str">
        <f t="shared" si="133"/>
        <v>Medium</v>
      </c>
      <c r="O2142" t="str">
        <f t="shared" si="134"/>
        <v>High Balance</v>
      </c>
      <c r="P2142" t="str">
        <f t="shared" si="135"/>
        <v>Long-term</v>
      </c>
    </row>
    <row r="2143" spans="1:16" x14ac:dyDescent="0.25">
      <c r="A2143">
        <v>2025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  <c r="M2143" t="str">
        <f t="shared" si="132"/>
        <v>&lt;30</v>
      </c>
      <c r="N2143" t="str">
        <f t="shared" si="133"/>
        <v>Medium</v>
      </c>
      <c r="O2143" t="str">
        <f t="shared" si="134"/>
        <v>Zero Balance</v>
      </c>
      <c r="P2143" t="str">
        <f t="shared" si="135"/>
        <v>Mid-term</v>
      </c>
    </row>
    <row r="2144" spans="1:16" x14ac:dyDescent="0.25">
      <c r="A2144">
        <v>2025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  <c r="M2144" t="str">
        <f t="shared" si="132"/>
        <v>30-45</v>
      </c>
      <c r="N2144" t="str">
        <f t="shared" si="133"/>
        <v>Medium</v>
      </c>
      <c r="O2144" t="str">
        <f t="shared" si="134"/>
        <v>High Balance</v>
      </c>
      <c r="P2144" t="str">
        <f t="shared" si="135"/>
        <v>Mid-term</v>
      </c>
    </row>
    <row r="2145" spans="1:16" x14ac:dyDescent="0.25">
      <c r="A2145">
        <v>2025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  <c r="M2145" t="str">
        <f t="shared" si="132"/>
        <v>30-45</v>
      </c>
      <c r="N2145" t="str">
        <f t="shared" si="133"/>
        <v>High</v>
      </c>
      <c r="O2145" t="str">
        <f t="shared" si="134"/>
        <v>High Balance</v>
      </c>
      <c r="P2145" t="str">
        <f t="shared" si="135"/>
        <v>Long-term</v>
      </c>
    </row>
    <row r="2146" spans="1:16" x14ac:dyDescent="0.25">
      <c r="A2146">
        <v>2025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  <c r="M2146" t="str">
        <f t="shared" si="132"/>
        <v>30-45</v>
      </c>
      <c r="N2146" t="str">
        <f t="shared" si="133"/>
        <v>Medium</v>
      </c>
      <c r="O2146" t="str">
        <f t="shared" si="134"/>
        <v>Zero Balance</v>
      </c>
      <c r="P2146" t="str">
        <f t="shared" si="135"/>
        <v>New</v>
      </c>
    </row>
    <row r="2147" spans="1:16" x14ac:dyDescent="0.25">
      <c r="A2147">
        <v>2025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  <c r="M2147" t="str">
        <f t="shared" si="132"/>
        <v>30-45</v>
      </c>
      <c r="N2147" t="str">
        <f t="shared" si="133"/>
        <v>Medium</v>
      </c>
      <c r="O2147" t="str">
        <f t="shared" si="134"/>
        <v>High Balance</v>
      </c>
      <c r="P2147" t="str">
        <f t="shared" si="135"/>
        <v>Mid-term</v>
      </c>
    </row>
    <row r="2148" spans="1:16" x14ac:dyDescent="0.25">
      <c r="A2148">
        <v>2025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  <c r="M2148" t="str">
        <f t="shared" si="132"/>
        <v>46-60</v>
      </c>
      <c r="N2148" t="str">
        <f t="shared" si="133"/>
        <v>High</v>
      </c>
      <c r="O2148" t="str">
        <f t="shared" si="134"/>
        <v>High Balance</v>
      </c>
      <c r="P2148" t="str">
        <f t="shared" si="135"/>
        <v>Mid-term</v>
      </c>
    </row>
    <row r="2149" spans="1:16" x14ac:dyDescent="0.25">
      <c r="A2149">
        <v>2025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  <c r="M2149" t="str">
        <f t="shared" si="132"/>
        <v>30-45</v>
      </c>
      <c r="N2149" t="str">
        <f t="shared" si="133"/>
        <v>Medium</v>
      </c>
      <c r="O2149" t="str">
        <f t="shared" si="134"/>
        <v>High Balance</v>
      </c>
      <c r="P2149" t="str">
        <f t="shared" si="135"/>
        <v>New</v>
      </c>
    </row>
    <row r="2150" spans="1:16" x14ac:dyDescent="0.25">
      <c r="A2150">
        <v>2025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  <c r="M2150" t="str">
        <f t="shared" si="132"/>
        <v>&lt;30</v>
      </c>
      <c r="N2150" t="str">
        <f t="shared" si="133"/>
        <v>Medium</v>
      </c>
      <c r="O2150" t="str">
        <f t="shared" si="134"/>
        <v>Zero Balance</v>
      </c>
      <c r="P2150" t="str">
        <f t="shared" si="135"/>
        <v>Mid-term</v>
      </c>
    </row>
    <row r="2151" spans="1:16" x14ac:dyDescent="0.25">
      <c r="A2151">
        <v>2025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  <c r="M2151" t="str">
        <f t="shared" si="132"/>
        <v>46-60</v>
      </c>
      <c r="N2151" t="str">
        <f t="shared" si="133"/>
        <v>High</v>
      </c>
      <c r="O2151" t="str">
        <f t="shared" si="134"/>
        <v>High Balance</v>
      </c>
      <c r="P2151" t="str">
        <f t="shared" si="135"/>
        <v>Mid-term</v>
      </c>
    </row>
    <row r="2152" spans="1:16" x14ac:dyDescent="0.25">
      <c r="A2152">
        <v>2025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  <c r="M2152" t="str">
        <f t="shared" si="132"/>
        <v>30-45</v>
      </c>
      <c r="N2152" t="str">
        <f t="shared" si="133"/>
        <v>Medium</v>
      </c>
      <c r="O2152" t="str">
        <f t="shared" si="134"/>
        <v>Low Balance</v>
      </c>
      <c r="P2152" t="str">
        <f t="shared" si="135"/>
        <v>Long-term</v>
      </c>
    </row>
    <row r="2153" spans="1:16" x14ac:dyDescent="0.25">
      <c r="A2153">
        <v>2025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  <c r="M2153" t="str">
        <f t="shared" si="132"/>
        <v>46-60</v>
      </c>
      <c r="N2153" t="str">
        <f t="shared" si="133"/>
        <v>High</v>
      </c>
      <c r="O2153" t="str">
        <f t="shared" si="134"/>
        <v>Zero Balance</v>
      </c>
      <c r="P2153" t="str">
        <f t="shared" si="135"/>
        <v>Mid-term</v>
      </c>
    </row>
    <row r="2154" spans="1:16" x14ac:dyDescent="0.25">
      <c r="A2154">
        <v>2025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  <c r="M2154" t="str">
        <f t="shared" si="132"/>
        <v>46-60</v>
      </c>
      <c r="N2154" t="str">
        <f t="shared" si="133"/>
        <v>High</v>
      </c>
      <c r="O2154" t="str">
        <f t="shared" si="134"/>
        <v>High Balance</v>
      </c>
      <c r="P2154" t="str">
        <f t="shared" si="135"/>
        <v>Long-term</v>
      </c>
    </row>
    <row r="2155" spans="1:16" x14ac:dyDescent="0.25">
      <c r="A2155">
        <v>2025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  <c r="M2155" t="str">
        <f t="shared" si="132"/>
        <v>30-45</v>
      </c>
      <c r="N2155" t="str">
        <f t="shared" si="133"/>
        <v>Medium</v>
      </c>
      <c r="O2155" t="str">
        <f t="shared" si="134"/>
        <v>High Balance</v>
      </c>
      <c r="P2155" t="str">
        <f t="shared" si="135"/>
        <v>Long-term</v>
      </c>
    </row>
    <row r="2156" spans="1:16" x14ac:dyDescent="0.25">
      <c r="A2156">
        <v>2025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  <c r="M2156" t="str">
        <f t="shared" si="132"/>
        <v>60+</v>
      </c>
      <c r="N2156" t="str">
        <f t="shared" si="133"/>
        <v>Medium</v>
      </c>
      <c r="O2156" t="str">
        <f t="shared" si="134"/>
        <v>High Balance</v>
      </c>
      <c r="P2156" t="str">
        <f t="shared" si="135"/>
        <v>Long-term</v>
      </c>
    </row>
    <row r="2157" spans="1:16" x14ac:dyDescent="0.25">
      <c r="A2157">
        <v>2025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  <c r="M2157" t="str">
        <f t="shared" si="132"/>
        <v>30-45</v>
      </c>
      <c r="N2157" t="str">
        <f t="shared" si="133"/>
        <v>Medium</v>
      </c>
      <c r="O2157" t="str">
        <f t="shared" si="134"/>
        <v>High Balance</v>
      </c>
      <c r="P2157" t="str">
        <f t="shared" si="135"/>
        <v>Mid-term</v>
      </c>
    </row>
    <row r="2158" spans="1:16" x14ac:dyDescent="0.25">
      <c r="A2158">
        <v>2025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  <c r="M2158" t="str">
        <f t="shared" si="132"/>
        <v>30-45</v>
      </c>
      <c r="N2158" t="str">
        <f t="shared" si="133"/>
        <v>Medium</v>
      </c>
      <c r="O2158" t="str">
        <f t="shared" si="134"/>
        <v>Zero Balance</v>
      </c>
      <c r="P2158" t="str">
        <f t="shared" si="135"/>
        <v>Mid-term</v>
      </c>
    </row>
    <row r="2159" spans="1:16" x14ac:dyDescent="0.25">
      <c r="A2159">
        <v>2025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  <c r="M2159" t="str">
        <f t="shared" si="132"/>
        <v>30-45</v>
      </c>
      <c r="N2159" t="str">
        <f t="shared" si="133"/>
        <v>High</v>
      </c>
      <c r="O2159" t="str">
        <f t="shared" si="134"/>
        <v>Zero Balance</v>
      </c>
      <c r="P2159" t="str">
        <f t="shared" si="135"/>
        <v>New</v>
      </c>
    </row>
    <row r="2160" spans="1:16" x14ac:dyDescent="0.25">
      <c r="A2160">
        <v>2025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  <c r="M2160" t="str">
        <f t="shared" si="132"/>
        <v>30-45</v>
      </c>
      <c r="N2160" t="str">
        <f t="shared" si="133"/>
        <v>High</v>
      </c>
      <c r="O2160" t="str">
        <f t="shared" si="134"/>
        <v>High Balance</v>
      </c>
      <c r="P2160" t="str">
        <f t="shared" si="135"/>
        <v>Mid-term</v>
      </c>
    </row>
    <row r="2161" spans="1:16" x14ac:dyDescent="0.25">
      <c r="A2161">
        <v>2025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  <c r="M2161" t="str">
        <f t="shared" si="132"/>
        <v>60+</v>
      </c>
      <c r="N2161" t="str">
        <f t="shared" si="133"/>
        <v>Medium</v>
      </c>
      <c r="O2161" t="str">
        <f t="shared" si="134"/>
        <v>High Balance</v>
      </c>
      <c r="P2161" t="str">
        <f t="shared" si="135"/>
        <v>New</v>
      </c>
    </row>
    <row r="2162" spans="1:16" x14ac:dyDescent="0.25">
      <c r="A2162">
        <v>2025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  <c r="M2162" t="str">
        <f t="shared" si="132"/>
        <v>&lt;30</v>
      </c>
      <c r="N2162" t="str">
        <f t="shared" si="133"/>
        <v>High</v>
      </c>
      <c r="O2162" t="str">
        <f t="shared" si="134"/>
        <v>Zero Balance</v>
      </c>
      <c r="P2162" t="str">
        <f t="shared" si="135"/>
        <v>Mid-term</v>
      </c>
    </row>
    <row r="2163" spans="1:16" x14ac:dyDescent="0.25">
      <c r="A2163">
        <v>2025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  <c r="M2163" t="str">
        <f t="shared" si="132"/>
        <v>30-45</v>
      </c>
      <c r="N2163" t="str">
        <f t="shared" si="133"/>
        <v>Medium</v>
      </c>
      <c r="O2163" t="str">
        <f t="shared" si="134"/>
        <v>High Balance</v>
      </c>
      <c r="P2163" t="str">
        <f t="shared" si="135"/>
        <v>Mid-term</v>
      </c>
    </row>
    <row r="2164" spans="1:16" x14ac:dyDescent="0.25">
      <c r="A2164">
        <v>2025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  <c r="M2164" t="str">
        <f t="shared" si="132"/>
        <v>30-45</v>
      </c>
      <c r="N2164" t="str">
        <f t="shared" si="133"/>
        <v>High</v>
      </c>
      <c r="O2164" t="str">
        <f t="shared" si="134"/>
        <v>Low Balance</v>
      </c>
      <c r="P2164" t="str">
        <f t="shared" si="135"/>
        <v>New</v>
      </c>
    </row>
    <row r="2165" spans="1:16" x14ac:dyDescent="0.25">
      <c r="A2165">
        <v>2025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  <c r="M2165" t="str">
        <f t="shared" si="132"/>
        <v>30-45</v>
      </c>
      <c r="N2165" t="str">
        <f t="shared" si="133"/>
        <v>Medium</v>
      </c>
      <c r="O2165" t="str">
        <f t="shared" si="134"/>
        <v>Zero Balance</v>
      </c>
      <c r="P2165" t="str">
        <f t="shared" si="135"/>
        <v>Mid-term</v>
      </c>
    </row>
    <row r="2166" spans="1:16" x14ac:dyDescent="0.25">
      <c r="A2166">
        <v>2025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  <c r="M2166" t="str">
        <f t="shared" si="132"/>
        <v>60+</v>
      </c>
      <c r="N2166" t="str">
        <f t="shared" si="133"/>
        <v>High</v>
      </c>
      <c r="O2166" t="str">
        <f t="shared" si="134"/>
        <v>High Balance</v>
      </c>
      <c r="P2166" t="str">
        <f t="shared" si="135"/>
        <v>Long-term</v>
      </c>
    </row>
    <row r="2167" spans="1:16" x14ac:dyDescent="0.25">
      <c r="A2167">
        <v>2025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  <c r="M2167" t="str">
        <f t="shared" si="132"/>
        <v>30-45</v>
      </c>
      <c r="N2167" t="str">
        <f t="shared" si="133"/>
        <v>Medium</v>
      </c>
      <c r="O2167" t="str">
        <f t="shared" si="134"/>
        <v>Zero Balance</v>
      </c>
      <c r="P2167" t="str">
        <f t="shared" si="135"/>
        <v>Mid-term</v>
      </c>
    </row>
    <row r="2168" spans="1:16" x14ac:dyDescent="0.25">
      <c r="A2168">
        <v>2025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  <c r="M2168" t="str">
        <f t="shared" si="132"/>
        <v>30-45</v>
      </c>
      <c r="N2168" t="str">
        <f t="shared" si="133"/>
        <v>Medium</v>
      </c>
      <c r="O2168" t="str">
        <f t="shared" si="134"/>
        <v>Zero Balance</v>
      </c>
      <c r="P2168" t="str">
        <f t="shared" si="135"/>
        <v>Long-term</v>
      </c>
    </row>
    <row r="2169" spans="1:16" x14ac:dyDescent="0.25">
      <c r="A2169">
        <v>2025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  <c r="M2169" t="str">
        <f t="shared" si="132"/>
        <v>30-45</v>
      </c>
      <c r="N2169" t="str">
        <f t="shared" si="133"/>
        <v>High</v>
      </c>
      <c r="O2169" t="str">
        <f t="shared" si="134"/>
        <v>High Balance</v>
      </c>
      <c r="P2169" t="str">
        <f t="shared" si="135"/>
        <v>New</v>
      </c>
    </row>
    <row r="2170" spans="1:16" x14ac:dyDescent="0.25">
      <c r="A2170">
        <v>2025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  <c r="M2170" t="str">
        <f t="shared" si="132"/>
        <v>46-60</v>
      </c>
      <c r="N2170" t="str">
        <f t="shared" si="133"/>
        <v>High</v>
      </c>
      <c r="O2170" t="str">
        <f t="shared" si="134"/>
        <v>High Balance</v>
      </c>
      <c r="P2170" t="str">
        <f t="shared" si="135"/>
        <v>New</v>
      </c>
    </row>
    <row r="2171" spans="1:16" x14ac:dyDescent="0.25">
      <c r="A2171">
        <v>2025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  <c r="M2171" t="str">
        <f t="shared" si="132"/>
        <v>30-45</v>
      </c>
      <c r="N2171" t="str">
        <f t="shared" si="133"/>
        <v>High</v>
      </c>
      <c r="O2171" t="str">
        <f t="shared" si="134"/>
        <v>Low Balance</v>
      </c>
      <c r="P2171" t="str">
        <f t="shared" si="135"/>
        <v>Long-term</v>
      </c>
    </row>
    <row r="2172" spans="1:16" x14ac:dyDescent="0.25">
      <c r="A2172">
        <v>2025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  <c r="M2172" t="str">
        <f t="shared" si="132"/>
        <v>30-45</v>
      </c>
      <c r="N2172" t="str">
        <f t="shared" si="133"/>
        <v>Medium</v>
      </c>
      <c r="O2172" t="str">
        <f t="shared" si="134"/>
        <v>Zero Balance</v>
      </c>
      <c r="P2172" t="str">
        <f t="shared" si="135"/>
        <v>Mid-term</v>
      </c>
    </row>
    <row r="2173" spans="1:16" x14ac:dyDescent="0.25">
      <c r="A2173">
        <v>2025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  <c r="M2173" t="str">
        <f t="shared" si="132"/>
        <v>46-60</v>
      </c>
      <c r="N2173" t="str">
        <f t="shared" si="133"/>
        <v>Medium</v>
      </c>
      <c r="O2173" t="str">
        <f t="shared" si="134"/>
        <v>High Balance</v>
      </c>
      <c r="P2173" t="str">
        <f t="shared" si="135"/>
        <v>Long-term</v>
      </c>
    </row>
    <row r="2174" spans="1:16" x14ac:dyDescent="0.25">
      <c r="A2174">
        <v>2025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  <c r="M2174" t="str">
        <f t="shared" si="132"/>
        <v>30-45</v>
      </c>
      <c r="N2174" t="str">
        <f t="shared" si="133"/>
        <v>Medium</v>
      </c>
      <c r="O2174" t="str">
        <f t="shared" si="134"/>
        <v>High Balance</v>
      </c>
      <c r="P2174" t="str">
        <f t="shared" si="135"/>
        <v>New</v>
      </c>
    </row>
    <row r="2175" spans="1:16" x14ac:dyDescent="0.25">
      <c r="A2175">
        <v>2025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  <c r="M2175" t="str">
        <f t="shared" si="132"/>
        <v>46-60</v>
      </c>
      <c r="N2175" t="str">
        <f t="shared" si="133"/>
        <v>Medium</v>
      </c>
      <c r="O2175" t="str">
        <f t="shared" si="134"/>
        <v>Zero Balance</v>
      </c>
      <c r="P2175" t="str">
        <f t="shared" si="135"/>
        <v>New</v>
      </c>
    </row>
    <row r="2176" spans="1:16" x14ac:dyDescent="0.25">
      <c r="A2176">
        <v>2025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  <c r="M2176" t="str">
        <f t="shared" si="132"/>
        <v>&lt;30</v>
      </c>
      <c r="N2176" t="str">
        <f t="shared" si="133"/>
        <v>Medium</v>
      </c>
      <c r="O2176" t="str">
        <f t="shared" si="134"/>
        <v>High Balance</v>
      </c>
      <c r="P2176" t="str">
        <f t="shared" si="135"/>
        <v>Mid-term</v>
      </c>
    </row>
    <row r="2177" spans="1:16" x14ac:dyDescent="0.25">
      <c r="A2177">
        <v>2025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  <c r="M2177" t="str">
        <f t="shared" si="132"/>
        <v>30-45</v>
      </c>
      <c r="N2177" t="str">
        <f t="shared" si="133"/>
        <v>High</v>
      </c>
      <c r="O2177" t="str">
        <f t="shared" si="134"/>
        <v>High Balance</v>
      </c>
      <c r="P2177" t="str">
        <f t="shared" si="135"/>
        <v>Long-term</v>
      </c>
    </row>
    <row r="2178" spans="1:16" x14ac:dyDescent="0.25">
      <c r="A2178">
        <v>2025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  <c r="M2178" t="str">
        <f t="shared" si="132"/>
        <v>30-45</v>
      </c>
      <c r="N2178" t="str">
        <f t="shared" si="133"/>
        <v>Medium</v>
      </c>
      <c r="O2178" t="str">
        <f t="shared" si="134"/>
        <v>High Balance</v>
      </c>
      <c r="P2178" t="str">
        <f t="shared" si="135"/>
        <v>New</v>
      </c>
    </row>
    <row r="2179" spans="1:16" x14ac:dyDescent="0.25">
      <c r="A2179">
        <v>2025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  <c r="M2179" t="str">
        <f t="shared" ref="M2179:M2242" si="136">IF(E2179&lt;30,"&lt;30",IF(E2179&lt;=45,"30-45",IF(E2179&lt;=60,"46-60","60+")))</f>
        <v>&lt;30</v>
      </c>
      <c r="N2179" t="str">
        <f t="shared" ref="N2179:N2242" si="137">IF(B2179&lt;500,"Low",IF(B2179&lt;700,"Medium","High"))</f>
        <v>Medium</v>
      </c>
      <c r="O2179" t="str">
        <f t="shared" ref="O2179:O2242" si="138">IF(G2179=0,"Zero Balance",IF(G2179&lt;100000,"Low Balance","High Balance"))</f>
        <v>Zero Balance</v>
      </c>
      <c r="P2179" t="str">
        <f t="shared" ref="P2179:P2242" si="139">IF(F2179&lt;=3,"New",IF(F2179&lt;=7,"Mid-term","Long-term"))</f>
        <v>Mid-term</v>
      </c>
    </row>
    <row r="2180" spans="1:16" x14ac:dyDescent="0.25">
      <c r="A2180">
        <v>2025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  <c r="M2180" t="str">
        <f t="shared" si="136"/>
        <v>30-45</v>
      </c>
      <c r="N2180" t="str">
        <f t="shared" si="137"/>
        <v>High</v>
      </c>
      <c r="O2180" t="str">
        <f t="shared" si="138"/>
        <v>High Balance</v>
      </c>
      <c r="P2180" t="str">
        <f t="shared" si="139"/>
        <v>New</v>
      </c>
    </row>
    <row r="2181" spans="1:16" x14ac:dyDescent="0.25">
      <c r="A2181">
        <v>2025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  <c r="M2181" t="str">
        <f t="shared" si="136"/>
        <v>30-45</v>
      </c>
      <c r="N2181" t="str">
        <f t="shared" si="137"/>
        <v>High</v>
      </c>
      <c r="O2181" t="str">
        <f t="shared" si="138"/>
        <v>Low Balance</v>
      </c>
      <c r="P2181" t="str">
        <f t="shared" si="139"/>
        <v>New</v>
      </c>
    </row>
    <row r="2182" spans="1:16" x14ac:dyDescent="0.25">
      <c r="A2182">
        <v>2025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  <c r="M2182" t="str">
        <f t="shared" si="136"/>
        <v>30-45</v>
      </c>
      <c r="N2182" t="str">
        <f t="shared" si="137"/>
        <v>Medium</v>
      </c>
      <c r="O2182" t="str">
        <f t="shared" si="138"/>
        <v>Zero Balance</v>
      </c>
      <c r="P2182" t="str">
        <f t="shared" si="139"/>
        <v>Mid-term</v>
      </c>
    </row>
    <row r="2183" spans="1:16" x14ac:dyDescent="0.25">
      <c r="A2183">
        <v>2025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  <c r="M2183" t="str">
        <f t="shared" si="136"/>
        <v>46-60</v>
      </c>
      <c r="N2183" t="str">
        <f t="shared" si="137"/>
        <v>Medium</v>
      </c>
      <c r="O2183" t="str">
        <f t="shared" si="138"/>
        <v>High Balance</v>
      </c>
      <c r="P2183" t="str">
        <f t="shared" si="139"/>
        <v>Mid-term</v>
      </c>
    </row>
    <row r="2184" spans="1:16" x14ac:dyDescent="0.25">
      <c r="A2184">
        <v>2025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  <c r="M2184" t="str">
        <f t="shared" si="136"/>
        <v>30-45</v>
      </c>
      <c r="N2184" t="str">
        <f t="shared" si="137"/>
        <v>Medium</v>
      </c>
      <c r="O2184" t="str">
        <f t="shared" si="138"/>
        <v>Zero Balance</v>
      </c>
      <c r="P2184" t="str">
        <f t="shared" si="139"/>
        <v>Long-term</v>
      </c>
    </row>
    <row r="2185" spans="1:16" x14ac:dyDescent="0.25">
      <c r="A2185">
        <v>2025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  <c r="M2185" t="str">
        <f t="shared" si="136"/>
        <v>30-45</v>
      </c>
      <c r="N2185" t="str">
        <f t="shared" si="137"/>
        <v>High</v>
      </c>
      <c r="O2185" t="str">
        <f t="shared" si="138"/>
        <v>Low Balance</v>
      </c>
      <c r="P2185" t="str">
        <f t="shared" si="139"/>
        <v>Long-term</v>
      </c>
    </row>
    <row r="2186" spans="1:16" x14ac:dyDescent="0.25">
      <c r="A2186">
        <v>2025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  <c r="M2186" t="str">
        <f t="shared" si="136"/>
        <v>30-45</v>
      </c>
      <c r="N2186" t="str">
        <f t="shared" si="137"/>
        <v>Medium</v>
      </c>
      <c r="O2186" t="str">
        <f t="shared" si="138"/>
        <v>Zero Balance</v>
      </c>
      <c r="P2186" t="str">
        <f t="shared" si="139"/>
        <v>New</v>
      </c>
    </row>
    <row r="2187" spans="1:16" x14ac:dyDescent="0.25">
      <c r="A2187">
        <v>2025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  <c r="M2187" t="str">
        <f t="shared" si="136"/>
        <v>30-45</v>
      </c>
      <c r="N2187" t="str">
        <f t="shared" si="137"/>
        <v>High</v>
      </c>
      <c r="O2187" t="str">
        <f t="shared" si="138"/>
        <v>High Balance</v>
      </c>
      <c r="P2187" t="str">
        <f t="shared" si="139"/>
        <v>New</v>
      </c>
    </row>
    <row r="2188" spans="1:16" x14ac:dyDescent="0.25">
      <c r="A2188">
        <v>2025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  <c r="M2188" t="str">
        <f t="shared" si="136"/>
        <v>30-45</v>
      </c>
      <c r="N2188" t="str">
        <f t="shared" si="137"/>
        <v>Medium</v>
      </c>
      <c r="O2188" t="str">
        <f t="shared" si="138"/>
        <v>High Balance</v>
      </c>
      <c r="P2188" t="str">
        <f t="shared" si="139"/>
        <v>Long-term</v>
      </c>
    </row>
    <row r="2189" spans="1:16" x14ac:dyDescent="0.25">
      <c r="A2189">
        <v>2025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  <c r="M2189" t="str">
        <f t="shared" si="136"/>
        <v>30-45</v>
      </c>
      <c r="N2189" t="str">
        <f t="shared" si="137"/>
        <v>Medium</v>
      </c>
      <c r="O2189" t="str">
        <f t="shared" si="138"/>
        <v>Zero Balance</v>
      </c>
      <c r="P2189" t="str">
        <f t="shared" si="139"/>
        <v>Long-term</v>
      </c>
    </row>
    <row r="2190" spans="1:16" x14ac:dyDescent="0.25">
      <c r="A2190">
        <v>2025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  <c r="M2190" t="str">
        <f t="shared" si="136"/>
        <v>30-45</v>
      </c>
      <c r="N2190" t="str">
        <f t="shared" si="137"/>
        <v>High</v>
      </c>
      <c r="O2190" t="str">
        <f t="shared" si="138"/>
        <v>High Balance</v>
      </c>
      <c r="P2190" t="str">
        <f t="shared" si="139"/>
        <v>Long-term</v>
      </c>
    </row>
    <row r="2191" spans="1:16" x14ac:dyDescent="0.25">
      <c r="A2191">
        <v>2025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  <c r="M2191" t="str">
        <f t="shared" si="136"/>
        <v>30-45</v>
      </c>
      <c r="N2191" t="str">
        <f t="shared" si="137"/>
        <v>Low</v>
      </c>
      <c r="O2191" t="str">
        <f t="shared" si="138"/>
        <v>High Balance</v>
      </c>
      <c r="P2191" t="str">
        <f t="shared" si="139"/>
        <v>New</v>
      </c>
    </row>
    <row r="2192" spans="1:16" x14ac:dyDescent="0.25">
      <c r="A2192">
        <v>2025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  <c r="M2192" t="str">
        <f t="shared" si="136"/>
        <v>46-60</v>
      </c>
      <c r="N2192" t="str">
        <f t="shared" si="137"/>
        <v>High</v>
      </c>
      <c r="O2192" t="str">
        <f t="shared" si="138"/>
        <v>High Balance</v>
      </c>
      <c r="P2192" t="str">
        <f t="shared" si="139"/>
        <v>Mid-term</v>
      </c>
    </row>
    <row r="2193" spans="1:16" x14ac:dyDescent="0.25">
      <c r="A2193">
        <v>2025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  <c r="M2193" t="str">
        <f t="shared" si="136"/>
        <v>46-60</v>
      </c>
      <c r="N2193" t="str">
        <f t="shared" si="137"/>
        <v>Medium</v>
      </c>
      <c r="O2193" t="str">
        <f t="shared" si="138"/>
        <v>High Balance</v>
      </c>
      <c r="P2193" t="str">
        <f t="shared" si="139"/>
        <v>Mid-term</v>
      </c>
    </row>
    <row r="2194" spans="1:16" x14ac:dyDescent="0.25">
      <c r="A2194">
        <v>2025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  <c r="M2194" t="str">
        <f t="shared" si="136"/>
        <v>30-45</v>
      </c>
      <c r="N2194" t="str">
        <f t="shared" si="137"/>
        <v>High</v>
      </c>
      <c r="O2194" t="str">
        <f t="shared" si="138"/>
        <v>High Balance</v>
      </c>
      <c r="P2194" t="str">
        <f t="shared" si="139"/>
        <v>Long-term</v>
      </c>
    </row>
    <row r="2195" spans="1:16" x14ac:dyDescent="0.25">
      <c r="A2195">
        <v>2025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  <c r="M2195" t="str">
        <f t="shared" si="136"/>
        <v>30-45</v>
      </c>
      <c r="N2195" t="str">
        <f t="shared" si="137"/>
        <v>Medium</v>
      </c>
      <c r="O2195" t="str">
        <f t="shared" si="138"/>
        <v>High Balance</v>
      </c>
      <c r="P2195" t="str">
        <f t="shared" si="139"/>
        <v>Long-term</v>
      </c>
    </row>
    <row r="2196" spans="1:16" x14ac:dyDescent="0.25">
      <c r="A2196">
        <v>2025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  <c r="M2196" t="str">
        <f t="shared" si="136"/>
        <v>30-45</v>
      </c>
      <c r="N2196" t="str">
        <f t="shared" si="137"/>
        <v>High</v>
      </c>
      <c r="O2196" t="str">
        <f t="shared" si="138"/>
        <v>Zero Balance</v>
      </c>
      <c r="P2196" t="str">
        <f t="shared" si="139"/>
        <v>New</v>
      </c>
    </row>
    <row r="2197" spans="1:16" x14ac:dyDescent="0.25">
      <c r="A2197">
        <v>2025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  <c r="M2197" t="str">
        <f t="shared" si="136"/>
        <v>46-60</v>
      </c>
      <c r="N2197" t="str">
        <f t="shared" si="137"/>
        <v>High</v>
      </c>
      <c r="O2197" t="str">
        <f t="shared" si="138"/>
        <v>Zero Balance</v>
      </c>
      <c r="P2197" t="str">
        <f t="shared" si="139"/>
        <v>Long-term</v>
      </c>
    </row>
    <row r="2198" spans="1:16" x14ac:dyDescent="0.25">
      <c r="A2198">
        <v>2025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  <c r="M2198" t="str">
        <f t="shared" si="136"/>
        <v>46-60</v>
      </c>
      <c r="N2198" t="str">
        <f t="shared" si="137"/>
        <v>High</v>
      </c>
      <c r="O2198" t="str">
        <f t="shared" si="138"/>
        <v>High Balance</v>
      </c>
      <c r="P2198" t="str">
        <f t="shared" si="139"/>
        <v>New</v>
      </c>
    </row>
    <row r="2199" spans="1:16" x14ac:dyDescent="0.25">
      <c r="A2199">
        <v>2025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  <c r="M2199" t="str">
        <f t="shared" si="136"/>
        <v>30-45</v>
      </c>
      <c r="N2199" t="str">
        <f t="shared" si="137"/>
        <v>Medium</v>
      </c>
      <c r="O2199" t="str">
        <f t="shared" si="138"/>
        <v>High Balance</v>
      </c>
      <c r="P2199" t="str">
        <f t="shared" si="139"/>
        <v>New</v>
      </c>
    </row>
    <row r="2200" spans="1:16" x14ac:dyDescent="0.25">
      <c r="A2200">
        <v>2025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  <c r="M2200" t="str">
        <f t="shared" si="136"/>
        <v>46-60</v>
      </c>
      <c r="N2200" t="str">
        <f t="shared" si="137"/>
        <v>Low</v>
      </c>
      <c r="O2200" t="str">
        <f t="shared" si="138"/>
        <v>Zero Balance</v>
      </c>
      <c r="P2200" t="str">
        <f t="shared" si="139"/>
        <v>Long-term</v>
      </c>
    </row>
    <row r="2201" spans="1:16" x14ac:dyDescent="0.25">
      <c r="A2201">
        <v>2025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  <c r="M2201" t="str">
        <f t="shared" si="136"/>
        <v>&lt;30</v>
      </c>
      <c r="N2201" t="str">
        <f t="shared" si="137"/>
        <v>High</v>
      </c>
      <c r="O2201" t="str">
        <f t="shared" si="138"/>
        <v>High Balance</v>
      </c>
      <c r="P2201" t="str">
        <f t="shared" si="139"/>
        <v>Mid-term</v>
      </c>
    </row>
    <row r="2202" spans="1:16" x14ac:dyDescent="0.25">
      <c r="A2202">
        <v>2025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  <c r="M2202" t="str">
        <f t="shared" si="136"/>
        <v>30-45</v>
      </c>
      <c r="N2202" t="str">
        <f t="shared" si="137"/>
        <v>High</v>
      </c>
      <c r="O2202" t="str">
        <f t="shared" si="138"/>
        <v>High Balance</v>
      </c>
      <c r="P2202" t="str">
        <f t="shared" si="139"/>
        <v>Long-term</v>
      </c>
    </row>
    <row r="2203" spans="1:16" x14ac:dyDescent="0.25">
      <c r="A2203">
        <v>2025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  <c r="M2203" t="str">
        <f t="shared" si="136"/>
        <v>30-45</v>
      </c>
      <c r="N2203" t="str">
        <f t="shared" si="137"/>
        <v>Medium</v>
      </c>
      <c r="O2203" t="str">
        <f t="shared" si="138"/>
        <v>High Balance</v>
      </c>
      <c r="P2203" t="str">
        <f t="shared" si="139"/>
        <v>Mid-term</v>
      </c>
    </row>
    <row r="2204" spans="1:16" x14ac:dyDescent="0.25">
      <c r="A2204">
        <v>2025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  <c r="M2204" t="str">
        <f t="shared" si="136"/>
        <v>&lt;30</v>
      </c>
      <c r="N2204" t="str">
        <f t="shared" si="137"/>
        <v>High</v>
      </c>
      <c r="O2204" t="str">
        <f t="shared" si="138"/>
        <v>Low Balance</v>
      </c>
      <c r="P2204" t="str">
        <f t="shared" si="139"/>
        <v>Long-term</v>
      </c>
    </row>
    <row r="2205" spans="1:16" x14ac:dyDescent="0.25">
      <c r="A2205">
        <v>2025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  <c r="M2205" t="str">
        <f t="shared" si="136"/>
        <v>30-45</v>
      </c>
      <c r="N2205" t="str">
        <f t="shared" si="137"/>
        <v>Medium</v>
      </c>
      <c r="O2205" t="str">
        <f t="shared" si="138"/>
        <v>High Balance</v>
      </c>
      <c r="P2205" t="str">
        <f t="shared" si="139"/>
        <v>Long-term</v>
      </c>
    </row>
    <row r="2206" spans="1:16" x14ac:dyDescent="0.25">
      <c r="A2206">
        <v>2025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  <c r="M2206" t="str">
        <f t="shared" si="136"/>
        <v>30-45</v>
      </c>
      <c r="N2206" t="str">
        <f t="shared" si="137"/>
        <v>Medium</v>
      </c>
      <c r="O2206" t="str">
        <f t="shared" si="138"/>
        <v>Zero Balance</v>
      </c>
      <c r="P2206" t="str">
        <f t="shared" si="139"/>
        <v>New</v>
      </c>
    </row>
    <row r="2207" spans="1:16" x14ac:dyDescent="0.25">
      <c r="A2207">
        <v>2025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  <c r="M2207" t="str">
        <f t="shared" si="136"/>
        <v>30-45</v>
      </c>
      <c r="N2207" t="str">
        <f t="shared" si="137"/>
        <v>Medium</v>
      </c>
      <c r="O2207" t="str">
        <f t="shared" si="138"/>
        <v>Zero Balance</v>
      </c>
      <c r="P2207" t="str">
        <f t="shared" si="139"/>
        <v>New</v>
      </c>
    </row>
    <row r="2208" spans="1:16" x14ac:dyDescent="0.25">
      <c r="A2208">
        <v>2025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  <c r="M2208" t="str">
        <f t="shared" si="136"/>
        <v>30-45</v>
      </c>
      <c r="N2208" t="str">
        <f t="shared" si="137"/>
        <v>Medium</v>
      </c>
      <c r="O2208" t="str">
        <f t="shared" si="138"/>
        <v>Zero Balance</v>
      </c>
      <c r="P2208" t="str">
        <f t="shared" si="139"/>
        <v>New</v>
      </c>
    </row>
    <row r="2209" spans="1:16" x14ac:dyDescent="0.25">
      <c r="A2209">
        <v>2025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  <c r="M2209" t="str">
        <f t="shared" si="136"/>
        <v>30-45</v>
      </c>
      <c r="N2209" t="str">
        <f t="shared" si="137"/>
        <v>Low</v>
      </c>
      <c r="O2209" t="str">
        <f t="shared" si="138"/>
        <v>High Balance</v>
      </c>
      <c r="P2209" t="str">
        <f t="shared" si="139"/>
        <v>New</v>
      </c>
    </row>
    <row r="2210" spans="1:16" x14ac:dyDescent="0.25">
      <c r="A2210">
        <v>2025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  <c r="M2210" t="str">
        <f t="shared" si="136"/>
        <v>46-60</v>
      </c>
      <c r="N2210" t="str">
        <f t="shared" si="137"/>
        <v>High</v>
      </c>
      <c r="O2210" t="str">
        <f t="shared" si="138"/>
        <v>High Balance</v>
      </c>
      <c r="P2210" t="str">
        <f t="shared" si="139"/>
        <v>New</v>
      </c>
    </row>
    <row r="2211" spans="1:16" x14ac:dyDescent="0.25">
      <c r="A2211">
        <v>2025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  <c r="M2211" t="str">
        <f t="shared" si="136"/>
        <v>30-45</v>
      </c>
      <c r="N2211" t="str">
        <f t="shared" si="137"/>
        <v>Medium</v>
      </c>
      <c r="O2211" t="str">
        <f t="shared" si="138"/>
        <v>Zero Balance</v>
      </c>
      <c r="P2211" t="str">
        <f t="shared" si="139"/>
        <v>Long-term</v>
      </c>
    </row>
    <row r="2212" spans="1:16" x14ac:dyDescent="0.25">
      <c r="A2212">
        <v>2025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  <c r="M2212" t="str">
        <f t="shared" si="136"/>
        <v>30-45</v>
      </c>
      <c r="N2212" t="str">
        <f t="shared" si="137"/>
        <v>Medium</v>
      </c>
      <c r="O2212" t="str">
        <f t="shared" si="138"/>
        <v>High Balance</v>
      </c>
      <c r="P2212" t="str">
        <f t="shared" si="139"/>
        <v>New</v>
      </c>
    </row>
    <row r="2213" spans="1:16" x14ac:dyDescent="0.25">
      <c r="A2213">
        <v>2025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  <c r="M2213" t="str">
        <f t="shared" si="136"/>
        <v>30-45</v>
      </c>
      <c r="N2213" t="str">
        <f t="shared" si="137"/>
        <v>High</v>
      </c>
      <c r="O2213" t="str">
        <f t="shared" si="138"/>
        <v>Low Balance</v>
      </c>
      <c r="P2213" t="str">
        <f t="shared" si="139"/>
        <v>New</v>
      </c>
    </row>
    <row r="2214" spans="1:16" x14ac:dyDescent="0.25">
      <c r="A2214">
        <v>2025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  <c r="M2214" t="str">
        <f t="shared" si="136"/>
        <v>30-45</v>
      </c>
      <c r="N2214" t="str">
        <f t="shared" si="137"/>
        <v>High</v>
      </c>
      <c r="O2214" t="str">
        <f t="shared" si="138"/>
        <v>High Balance</v>
      </c>
      <c r="P2214" t="str">
        <f t="shared" si="139"/>
        <v>Long-term</v>
      </c>
    </row>
    <row r="2215" spans="1:16" x14ac:dyDescent="0.25">
      <c r="A2215">
        <v>2025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  <c r="M2215" t="str">
        <f t="shared" si="136"/>
        <v>30-45</v>
      </c>
      <c r="N2215" t="str">
        <f t="shared" si="137"/>
        <v>Low</v>
      </c>
      <c r="O2215" t="str">
        <f t="shared" si="138"/>
        <v>Low Balance</v>
      </c>
      <c r="P2215" t="str">
        <f t="shared" si="139"/>
        <v>Mid-term</v>
      </c>
    </row>
    <row r="2216" spans="1:16" x14ac:dyDescent="0.25">
      <c r="A2216">
        <v>2025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  <c r="M2216" t="str">
        <f t="shared" si="136"/>
        <v>&lt;30</v>
      </c>
      <c r="N2216" t="str">
        <f t="shared" si="137"/>
        <v>High</v>
      </c>
      <c r="O2216" t="str">
        <f t="shared" si="138"/>
        <v>Low Balance</v>
      </c>
      <c r="P2216" t="str">
        <f t="shared" si="139"/>
        <v>Mid-term</v>
      </c>
    </row>
    <row r="2217" spans="1:16" x14ac:dyDescent="0.25">
      <c r="A2217">
        <v>2025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  <c r="M2217" t="str">
        <f t="shared" si="136"/>
        <v>30-45</v>
      </c>
      <c r="N2217" t="str">
        <f t="shared" si="137"/>
        <v>Low</v>
      </c>
      <c r="O2217" t="str">
        <f t="shared" si="138"/>
        <v>Zero Balance</v>
      </c>
      <c r="P2217" t="str">
        <f t="shared" si="139"/>
        <v>Long-term</v>
      </c>
    </row>
    <row r="2218" spans="1:16" x14ac:dyDescent="0.25">
      <c r="A2218">
        <v>2025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  <c r="M2218" t="str">
        <f t="shared" si="136"/>
        <v>46-60</v>
      </c>
      <c r="N2218" t="str">
        <f t="shared" si="137"/>
        <v>Medium</v>
      </c>
      <c r="O2218" t="str">
        <f t="shared" si="138"/>
        <v>High Balance</v>
      </c>
      <c r="P2218" t="str">
        <f t="shared" si="139"/>
        <v>Mid-term</v>
      </c>
    </row>
    <row r="2219" spans="1:16" x14ac:dyDescent="0.25">
      <c r="A2219">
        <v>2025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  <c r="M2219" t="str">
        <f t="shared" si="136"/>
        <v>30-45</v>
      </c>
      <c r="N2219" t="str">
        <f t="shared" si="137"/>
        <v>Medium</v>
      </c>
      <c r="O2219" t="str">
        <f t="shared" si="138"/>
        <v>High Balance</v>
      </c>
      <c r="P2219" t="str">
        <f t="shared" si="139"/>
        <v>New</v>
      </c>
    </row>
    <row r="2220" spans="1:16" x14ac:dyDescent="0.25">
      <c r="A2220">
        <v>2025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  <c r="M2220" t="str">
        <f t="shared" si="136"/>
        <v>30-45</v>
      </c>
      <c r="N2220" t="str">
        <f t="shared" si="137"/>
        <v>High</v>
      </c>
      <c r="O2220" t="str">
        <f t="shared" si="138"/>
        <v>High Balance</v>
      </c>
      <c r="P2220" t="str">
        <f t="shared" si="139"/>
        <v>Long-term</v>
      </c>
    </row>
    <row r="2221" spans="1:16" x14ac:dyDescent="0.25">
      <c r="A2221">
        <v>2025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  <c r="M2221" t="str">
        <f t="shared" si="136"/>
        <v>30-45</v>
      </c>
      <c r="N2221" t="str">
        <f t="shared" si="137"/>
        <v>Medium</v>
      </c>
      <c r="O2221" t="str">
        <f t="shared" si="138"/>
        <v>High Balance</v>
      </c>
      <c r="P2221" t="str">
        <f t="shared" si="139"/>
        <v>Mid-term</v>
      </c>
    </row>
    <row r="2222" spans="1:16" x14ac:dyDescent="0.25">
      <c r="A2222">
        <v>2025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  <c r="M2222" t="str">
        <f t="shared" si="136"/>
        <v>46-60</v>
      </c>
      <c r="N2222" t="str">
        <f t="shared" si="137"/>
        <v>High</v>
      </c>
      <c r="O2222" t="str">
        <f t="shared" si="138"/>
        <v>High Balance</v>
      </c>
      <c r="P2222" t="str">
        <f t="shared" si="139"/>
        <v>Mid-term</v>
      </c>
    </row>
    <row r="2223" spans="1:16" x14ac:dyDescent="0.25">
      <c r="A2223">
        <v>2025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  <c r="M2223" t="str">
        <f t="shared" si="136"/>
        <v>30-45</v>
      </c>
      <c r="N2223" t="str">
        <f t="shared" si="137"/>
        <v>High</v>
      </c>
      <c r="O2223" t="str">
        <f t="shared" si="138"/>
        <v>High Balance</v>
      </c>
      <c r="P2223" t="str">
        <f t="shared" si="139"/>
        <v>Mid-term</v>
      </c>
    </row>
    <row r="2224" spans="1:16" x14ac:dyDescent="0.25">
      <c r="A2224">
        <v>2025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  <c r="M2224" t="str">
        <f t="shared" si="136"/>
        <v>30-45</v>
      </c>
      <c r="N2224" t="str">
        <f t="shared" si="137"/>
        <v>High</v>
      </c>
      <c r="O2224" t="str">
        <f t="shared" si="138"/>
        <v>Low Balance</v>
      </c>
      <c r="P2224" t="str">
        <f t="shared" si="139"/>
        <v>New</v>
      </c>
    </row>
    <row r="2225" spans="1:16" x14ac:dyDescent="0.25">
      <c r="A2225">
        <v>2025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  <c r="M2225" t="str">
        <f t="shared" si="136"/>
        <v>30-45</v>
      </c>
      <c r="N2225" t="str">
        <f t="shared" si="137"/>
        <v>High</v>
      </c>
      <c r="O2225" t="str">
        <f t="shared" si="138"/>
        <v>Zero Balance</v>
      </c>
      <c r="P2225" t="str">
        <f t="shared" si="139"/>
        <v>Long-term</v>
      </c>
    </row>
    <row r="2226" spans="1:16" x14ac:dyDescent="0.25">
      <c r="A2226">
        <v>2025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  <c r="M2226" t="str">
        <f t="shared" si="136"/>
        <v>46-60</v>
      </c>
      <c r="N2226" t="str">
        <f t="shared" si="137"/>
        <v>Medium</v>
      </c>
      <c r="O2226" t="str">
        <f t="shared" si="138"/>
        <v>Low Balance</v>
      </c>
      <c r="P2226" t="str">
        <f t="shared" si="139"/>
        <v>Long-term</v>
      </c>
    </row>
    <row r="2227" spans="1:16" x14ac:dyDescent="0.25">
      <c r="A2227">
        <v>2025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  <c r="M2227" t="str">
        <f t="shared" si="136"/>
        <v>30-45</v>
      </c>
      <c r="N2227" t="str">
        <f t="shared" si="137"/>
        <v>High</v>
      </c>
      <c r="O2227" t="str">
        <f t="shared" si="138"/>
        <v>High Balance</v>
      </c>
      <c r="P2227" t="str">
        <f t="shared" si="139"/>
        <v>New</v>
      </c>
    </row>
    <row r="2228" spans="1:16" x14ac:dyDescent="0.25">
      <c r="A2228">
        <v>2025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  <c r="M2228" t="str">
        <f t="shared" si="136"/>
        <v>46-60</v>
      </c>
      <c r="N2228" t="str">
        <f t="shared" si="137"/>
        <v>High</v>
      </c>
      <c r="O2228" t="str">
        <f t="shared" si="138"/>
        <v>High Balance</v>
      </c>
      <c r="P2228" t="str">
        <f t="shared" si="139"/>
        <v>New</v>
      </c>
    </row>
    <row r="2229" spans="1:16" x14ac:dyDescent="0.25">
      <c r="A2229">
        <v>2025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  <c r="M2229" t="str">
        <f t="shared" si="136"/>
        <v>46-60</v>
      </c>
      <c r="N2229" t="str">
        <f t="shared" si="137"/>
        <v>Medium</v>
      </c>
      <c r="O2229" t="str">
        <f t="shared" si="138"/>
        <v>Low Balance</v>
      </c>
      <c r="P2229" t="str">
        <f t="shared" si="139"/>
        <v>Mid-term</v>
      </c>
    </row>
    <row r="2230" spans="1:16" x14ac:dyDescent="0.25">
      <c r="A2230">
        <v>2025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  <c r="M2230" t="str">
        <f t="shared" si="136"/>
        <v>30-45</v>
      </c>
      <c r="N2230" t="str">
        <f t="shared" si="137"/>
        <v>Medium</v>
      </c>
      <c r="O2230" t="str">
        <f t="shared" si="138"/>
        <v>Zero Balance</v>
      </c>
      <c r="P2230" t="str">
        <f t="shared" si="139"/>
        <v>Long-term</v>
      </c>
    </row>
    <row r="2231" spans="1:16" x14ac:dyDescent="0.25">
      <c r="A2231">
        <v>2025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  <c r="M2231" t="str">
        <f t="shared" si="136"/>
        <v>30-45</v>
      </c>
      <c r="N2231" t="str">
        <f t="shared" si="137"/>
        <v>High</v>
      </c>
      <c r="O2231" t="str">
        <f t="shared" si="138"/>
        <v>High Balance</v>
      </c>
      <c r="P2231" t="str">
        <f t="shared" si="139"/>
        <v>Mid-term</v>
      </c>
    </row>
    <row r="2232" spans="1:16" x14ac:dyDescent="0.25">
      <c r="A2232">
        <v>2025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  <c r="M2232" t="str">
        <f t="shared" si="136"/>
        <v>30-45</v>
      </c>
      <c r="N2232" t="str">
        <f t="shared" si="137"/>
        <v>Medium</v>
      </c>
      <c r="O2232" t="str">
        <f t="shared" si="138"/>
        <v>Zero Balance</v>
      </c>
      <c r="P2232" t="str">
        <f t="shared" si="139"/>
        <v>Long-term</v>
      </c>
    </row>
    <row r="2233" spans="1:16" x14ac:dyDescent="0.25">
      <c r="A2233">
        <v>2025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  <c r="M2233" t="str">
        <f t="shared" si="136"/>
        <v>30-45</v>
      </c>
      <c r="N2233" t="str">
        <f t="shared" si="137"/>
        <v>High</v>
      </c>
      <c r="O2233" t="str">
        <f t="shared" si="138"/>
        <v>High Balance</v>
      </c>
      <c r="P2233" t="str">
        <f t="shared" si="139"/>
        <v>New</v>
      </c>
    </row>
    <row r="2234" spans="1:16" x14ac:dyDescent="0.25">
      <c r="A2234">
        <v>2025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  <c r="M2234" t="str">
        <f t="shared" si="136"/>
        <v>30-45</v>
      </c>
      <c r="N2234" t="str">
        <f t="shared" si="137"/>
        <v>Medium</v>
      </c>
      <c r="O2234" t="str">
        <f t="shared" si="138"/>
        <v>Zero Balance</v>
      </c>
      <c r="P2234" t="str">
        <f t="shared" si="139"/>
        <v>Long-term</v>
      </c>
    </row>
    <row r="2235" spans="1:16" x14ac:dyDescent="0.25">
      <c r="A2235">
        <v>2025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  <c r="M2235" t="str">
        <f t="shared" si="136"/>
        <v>30-45</v>
      </c>
      <c r="N2235" t="str">
        <f t="shared" si="137"/>
        <v>Medium</v>
      </c>
      <c r="O2235" t="str">
        <f t="shared" si="138"/>
        <v>High Balance</v>
      </c>
      <c r="P2235" t="str">
        <f t="shared" si="139"/>
        <v>New</v>
      </c>
    </row>
    <row r="2236" spans="1:16" x14ac:dyDescent="0.25">
      <c r="A2236">
        <v>2025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  <c r="M2236" t="str">
        <f t="shared" si="136"/>
        <v>30-45</v>
      </c>
      <c r="N2236" t="str">
        <f t="shared" si="137"/>
        <v>High</v>
      </c>
      <c r="O2236" t="str">
        <f t="shared" si="138"/>
        <v>Zero Balance</v>
      </c>
      <c r="P2236" t="str">
        <f t="shared" si="139"/>
        <v>Long-term</v>
      </c>
    </row>
    <row r="2237" spans="1:16" x14ac:dyDescent="0.25">
      <c r="A2237">
        <v>2025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  <c r="M2237" t="str">
        <f t="shared" si="136"/>
        <v>46-60</v>
      </c>
      <c r="N2237" t="str">
        <f t="shared" si="137"/>
        <v>Medium</v>
      </c>
      <c r="O2237" t="str">
        <f t="shared" si="138"/>
        <v>High Balance</v>
      </c>
      <c r="P2237" t="str">
        <f t="shared" si="139"/>
        <v>Mid-term</v>
      </c>
    </row>
    <row r="2238" spans="1:16" x14ac:dyDescent="0.25">
      <c r="A2238">
        <v>2025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  <c r="M2238" t="str">
        <f t="shared" si="136"/>
        <v>30-45</v>
      </c>
      <c r="N2238" t="str">
        <f t="shared" si="137"/>
        <v>Medium</v>
      </c>
      <c r="O2238" t="str">
        <f t="shared" si="138"/>
        <v>High Balance</v>
      </c>
      <c r="P2238" t="str">
        <f t="shared" si="139"/>
        <v>New</v>
      </c>
    </row>
    <row r="2239" spans="1:16" x14ac:dyDescent="0.25">
      <c r="A2239">
        <v>2025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  <c r="M2239" t="str">
        <f t="shared" si="136"/>
        <v>30-45</v>
      </c>
      <c r="N2239" t="str">
        <f t="shared" si="137"/>
        <v>Medium</v>
      </c>
      <c r="O2239" t="str">
        <f t="shared" si="138"/>
        <v>High Balance</v>
      </c>
      <c r="P2239" t="str">
        <f t="shared" si="139"/>
        <v>New</v>
      </c>
    </row>
    <row r="2240" spans="1:16" x14ac:dyDescent="0.25">
      <c r="A2240">
        <v>2025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  <c r="M2240" t="str">
        <f t="shared" si="136"/>
        <v>&lt;30</v>
      </c>
      <c r="N2240" t="str">
        <f t="shared" si="137"/>
        <v>High</v>
      </c>
      <c r="O2240" t="str">
        <f t="shared" si="138"/>
        <v>High Balance</v>
      </c>
      <c r="P2240" t="str">
        <f t="shared" si="139"/>
        <v>New</v>
      </c>
    </row>
    <row r="2241" spans="1:16" x14ac:dyDescent="0.25">
      <c r="A2241">
        <v>2025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  <c r="M2241" t="str">
        <f t="shared" si="136"/>
        <v>30-45</v>
      </c>
      <c r="N2241" t="str">
        <f t="shared" si="137"/>
        <v>Low</v>
      </c>
      <c r="O2241" t="str">
        <f t="shared" si="138"/>
        <v>Zero Balance</v>
      </c>
      <c r="P2241" t="str">
        <f t="shared" si="139"/>
        <v>New</v>
      </c>
    </row>
    <row r="2242" spans="1:16" x14ac:dyDescent="0.25">
      <c r="A2242">
        <v>2025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  <c r="M2242" t="str">
        <f t="shared" si="136"/>
        <v>30-45</v>
      </c>
      <c r="N2242" t="str">
        <f t="shared" si="137"/>
        <v>High</v>
      </c>
      <c r="O2242" t="str">
        <f t="shared" si="138"/>
        <v>High Balance</v>
      </c>
      <c r="P2242" t="str">
        <f t="shared" si="139"/>
        <v>Mid-term</v>
      </c>
    </row>
    <row r="2243" spans="1:16" x14ac:dyDescent="0.25">
      <c r="A2243">
        <v>2025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  <c r="M2243" t="str">
        <f t="shared" ref="M2243:M2306" si="140">IF(E2243&lt;30,"&lt;30",IF(E2243&lt;=45,"30-45",IF(E2243&lt;=60,"46-60","60+")))</f>
        <v>30-45</v>
      </c>
      <c r="N2243" t="str">
        <f t="shared" ref="N2243:N2306" si="141">IF(B2243&lt;500,"Low",IF(B2243&lt;700,"Medium","High"))</f>
        <v>Medium</v>
      </c>
      <c r="O2243" t="str">
        <f t="shared" ref="O2243:O2306" si="142">IF(G2243=0,"Zero Balance",IF(G2243&lt;100000,"Low Balance","High Balance"))</f>
        <v>High Balance</v>
      </c>
      <c r="P2243" t="str">
        <f t="shared" ref="P2243:P2306" si="143">IF(F2243&lt;=3,"New",IF(F2243&lt;=7,"Mid-term","Long-term"))</f>
        <v>New</v>
      </c>
    </row>
    <row r="2244" spans="1:16" x14ac:dyDescent="0.25">
      <c r="A2244">
        <v>2025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  <c r="M2244" t="str">
        <f t="shared" si="140"/>
        <v>30-45</v>
      </c>
      <c r="N2244" t="str">
        <f t="shared" si="141"/>
        <v>Medium</v>
      </c>
      <c r="O2244" t="str">
        <f t="shared" si="142"/>
        <v>High Balance</v>
      </c>
      <c r="P2244" t="str">
        <f t="shared" si="143"/>
        <v>New</v>
      </c>
    </row>
    <row r="2245" spans="1:16" x14ac:dyDescent="0.25">
      <c r="A2245">
        <v>2025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  <c r="M2245" t="str">
        <f t="shared" si="140"/>
        <v>30-45</v>
      </c>
      <c r="N2245" t="str">
        <f t="shared" si="141"/>
        <v>High</v>
      </c>
      <c r="O2245" t="str">
        <f t="shared" si="142"/>
        <v>High Balance</v>
      </c>
      <c r="P2245" t="str">
        <f t="shared" si="143"/>
        <v>Mid-term</v>
      </c>
    </row>
    <row r="2246" spans="1:16" x14ac:dyDescent="0.25">
      <c r="A2246">
        <v>2025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  <c r="M2246" t="str">
        <f t="shared" si="140"/>
        <v>60+</v>
      </c>
      <c r="N2246" t="str">
        <f t="shared" si="141"/>
        <v>Medium</v>
      </c>
      <c r="O2246" t="str">
        <f t="shared" si="142"/>
        <v>Zero Balance</v>
      </c>
      <c r="P2246" t="str">
        <f t="shared" si="143"/>
        <v>Mid-term</v>
      </c>
    </row>
    <row r="2247" spans="1:16" x14ac:dyDescent="0.25">
      <c r="A2247">
        <v>2025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  <c r="M2247" t="str">
        <f t="shared" si="140"/>
        <v>46-60</v>
      </c>
      <c r="N2247" t="str">
        <f t="shared" si="141"/>
        <v>Medium</v>
      </c>
      <c r="O2247" t="str">
        <f t="shared" si="142"/>
        <v>Low Balance</v>
      </c>
      <c r="P2247" t="str">
        <f t="shared" si="143"/>
        <v>Long-term</v>
      </c>
    </row>
    <row r="2248" spans="1:16" x14ac:dyDescent="0.25">
      <c r="A2248">
        <v>2025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  <c r="M2248" t="str">
        <f t="shared" si="140"/>
        <v>30-45</v>
      </c>
      <c r="N2248" t="str">
        <f t="shared" si="141"/>
        <v>High</v>
      </c>
      <c r="O2248" t="str">
        <f t="shared" si="142"/>
        <v>Zero Balance</v>
      </c>
      <c r="P2248" t="str">
        <f t="shared" si="143"/>
        <v>Mid-term</v>
      </c>
    </row>
    <row r="2249" spans="1:16" x14ac:dyDescent="0.25">
      <c r="A2249">
        <v>2025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  <c r="M2249" t="str">
        <f t="shared" si="140"/>
        <v>30-45</v>
      </c>
      <c r="N2249" t="str">
        <f t="shared" si="141"/>
        <v>Medium</v>
      </c>
      <c r="O2249" t="str">
        <f t="shared" si="142"/>
        <v>High Balance</v>
      </c>
      <c r="P2249" t="str">
        <f t="shared" si="143"/>
        <v>New</v>
      </c>
    </row>
    <row r="2250" spans="1:16" x14ac:dyDescent="0.25">
      <c r="A2250">
        <v>2025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  <c r="M2250" t="str">
        <f t="shared" si="140"/>
        <v>30-45</v>
      </c>
      <c r="N2250" t="str">
        <f t="shared" si="141"/>
        <v>Medium</v>
      </c>
      <c r="O2250" t="str">
        <f t="shared" si="142"/>
        <v>High Balance</v>
      </c>
      <c r="P2250" t="str">
        <f t="shared" si="143"/>
        <v>New</v>
      </c>
    </row>
    <row r="2251" spans="1:16" x14ac:dyDescent="0.25">
      <c r="A2251">
        <v>2025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  <c r="M2251" t="str">
        <f t="shared" si="140"/>
        <v>30-45</v>
      </c>
      <c r="N2251" t="str">
        <f t="shared" si="141"/>
        <v>High</v>
      </c>
      <c r="O2251" t="str">
        <f t="shared" si="142"/>
        <v>Zero Balance</v>
      </c>
      <c r="P2251" t="str">
        <f t="shared" si="143"/>
        <v>Long-term</v>
      </c>
    </row>
    <row r="2252" spans="1:16" x14ac:dyDescent="0.25">
      <c r="A2252">
        <v>2025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  <c r="M2252" t="str">
        <f t="shared" si="140"/>
        <v>&lt;30</v>
      </c>
      <c r="N2252" t="str">
        <f t="shared" si="141"/>
        <v>High</v>
      </c>
      <c r="O2252" t="str">
        <f t="shared" si="142"/>
        <v>Zero Balance</v>
      </c>
      <c r="P2252" t="str">
        <f t="shared" si="143"/>
        <v>Long-term</v>
      </c>
    </row>
    <row r="2253" spans="1:16" x14ac:dyDescent="0.25">
      <c r="A2253">
        <v>2025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  <c r="M2253" t="str">
        <f t="shared" si="140"/>
        <v>&lt;30</v>
      </c>
      <c r="N2253" t="str">
        <f t="shared" si="141"/>
        <v>Medium</v>
      </c>
      <c r="O2253" t="str">
        <f t="shared" si="142"/>
        <v>High Balance</v>
      </c>
      <c r="P2253" t="str">
        <f t="shared" si="143"/>
        <v>Long-term</v>
      </c>
    </row>
    <row r="2254" spans="1:16" x14ac:dyDescent="0.25">
      <c r="A2254">
        <v>2025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  <c r="M2254" t="str">
        <f t="shared" si="140"/>
        <v>30-45</v>
      </c>
      <c r="N2254" t="str">
        <f t="shared" si="141"/>
        <v>High</v>
      </c>
      <c r="O2254" t="str">
        <f t="shared" si="142"/>
        <v>High Balance</v>
      </c>
      <c r="P2254" t="str">
        <f t="shared" si="143"/>
        <v>Mid-term</v>
      </c>
    </row>
    <row r="2255" spans="1:16" x14ac:dyDescent="0.25">
      <c r="A2255">
        <v>2025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  <c r="M2255" t="str">
        <f t="shared" si="140"/>
        <v>30-45</v>
      </c>
      <c r="N2255" t="str">
        <f t="shared" si="141"/>
        <v>Medium</v>
      </c>
      <c r="O2255" t="str">
        <f t="shared" si="142"/>
        <v>Zero Balance</v>
      </c>
      <c r="P2255" t="str">
        <f t="shared" si="143"/>
        <v>Mid-term</v>
      </c>
    </row>
    <row r="2256" spans="1:16" x14ac:dyDescent="0.25">
      <c r="A2256">
        <v>2025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  <c r="M2256" t="str">
        <f t="shared" si="140"/>
        <v>30-45</v>
      </c>
      <c r="N2256" t="str">
        <f t="shared" si="141"/>
        <v>Medium</v>
      </c>
      <c r="O2256" t="str">
        <f t="shared" si="142"/>
        <v>High Balance</v>
      </c>
      <c r="P2256" t="str">
        <f t="shared" si="143"/>
        <v>Mid-term</v>
      </c>
    </row>
    <row r="2257" spans="1:16" x14ac:dyDescent="0.25">
      <c r="A2257">
        <v>2025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  <c r="M2257" t="str">
        <f t="shared" si="140"/>
        <v>30-45</v>
      </c>
      <c r="N2257" t="str">
        <f t="shared" si="141"/>
        <v>Low</v>
      </c>
      <c r="O2257" t="str">
        <f t="shared" si="142"/>
        <v>Zero Balance</v>
      </c>
      <c r="P2257" t="str">
        <f t="shared" si="143"/>
        <v>New</v>
      </c>
    </row>
    <row r="2258" spans="1:16" x14ac:dyDescent="0.25">
      <c r="A2258">
        <v>2025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  <c r="M2258" t="str">
        <f t="shared" si="140"/>
        <v>30-45</v>
      </c>
      <c r="N2258" t="str">
        <f t="shared" si="141"/>
        <v>Medium</v>
      </c>
      <c r="O2258" t="str">
        <f t="shared" si="142"/>
        <v>High Balance</v>
      </c>
      <c r="P2258" t="str">
        <f t="shared" si="143"/>
        <v>New</v>
      </c>
    </row>
    <row r="2259" spans="1:16" x14ac:dyDescent="0.25">
      <c r="A2259">
        <v>2025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  <c r="M2259" t="str">
        <f t="shared" si="140"/>
        <v>30-45</v>
      </c>
      <c r="N2259" t="str">
        <f t="shared" si="141"/>
        <v>Medium</v>
      </c>
      <c r="O2259" t="str">
        <f t="shared" si="142"/>
        <v>Zero Balance</v>
      </c>
      <c r="P2259" t="str">
        <f t="shared" si="143"/>
        <v>Mid-term</v>
      </c>
    </row>
    <row r="2260" spans="1:16" x14ac:dyDescent="0.25">
      <c r="A2260">
        <v>2025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  <c r="M2260" t="str">
        <f t="shared" si="140"/>
        <v>30-45</v>
      </c>
      <c r="N2260" t="str">
        <f t="shared" si="141"/>
        <v>Low</v>
      </c>
      <c r="O2260" t="str">
        <f t="shared" si="142"/>
        <v>High Balance</v>
      </c>
      <c r="P2260" t="str">
        <f t="shared" si="143"/>
        <v>Mid-term</v>
      </c>
    </row>
    <row r="2261" spans="1:16" x14ac:dyDescent="0.25">
      <c r="A2261">
        <v>2025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  <c r="M2261" t="str">
        <f t="shared" si="140"/>
        <v>30-45</v>
      </c>
      <c r="N2261" t="str">
        <f t="shared" si="141"/>
        <v>Medium</v>
      </c>
      <c r="O2261" t="str">
        <f t="shared" si="142"/>
        <v>High Balance</v>
      </c>
      <c r="P2261" t="str">
        <f t="shared" si="143"/>
        <v>Mid-term</v>
      </c>
    </row>
    <row r="2262" spans="1:16" x14ac:dyDescent="0.25">
      <c r="A2262">
        <v>2025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  <c r="M2262" t="str">
        <f t="shared" si="140"/>
        <v>46-60</v>
      </c>
      <c r="N2262" t="str">
        <f t="shared" si="141"/>
        <v>Medium</v>
      </c>
      <c r="O2262" t="str">
        <f t="shared" si="142"/>
        <v>Zero Balance</v>
      </c>
      <c r="P2262" t="str">
        <f t="shared" si="143"/>
        <v>Long-term</v>
      </c>
    </row>
    <row r="2263" spans="1:16" x14ac:dyDescent="0.25">
      <c r="A2263">
        <v>2025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  <c r="M2263" t="str">
        <f t="shared" si="140"/>
        <v>60+</v>
      </c>
      <c r="N2263" t="str">
        <f t="shared" si="141"/>
        <v>High</v>
      </c>
      <c r="O2263" t="str">
        <f t="shared" si="142"/>
        <v>Low Balance</v>
      </c>
      <c r="P2263" t="str">
        <f t="shared" si="143"/>
        <v>New</v>
      </c>
    </row>
    <row r="2264" spans="1:16" x14ac:dyDescent="0.25">
      <c r="A2264">
        <v>2025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  <c r="M2264" t="str">
        <f t="shared" si="140"/>
        <v>30-45</v>
      </c>
      <c r="N2264" t="str">
        <f t="shared" si="141"/>
        <v>Medium</v>
      </c>
      <c r="O2264" t="str">
        <f t="shared" si="142"/>
        <v>High Balance</v>
      </c>
      <c r="P2264" t="str">
        <f t="shared" si="143"/>
        <v>New</v>
      </c>
    </row>
    <row r="2265" spans="1:16" x14ac:dyDescent="0.25">
      <c r="A2265">
        <v>2025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  <c r="M2265" t="str">
        <f t="shared" si="140"/>
        <v>46-60</v>
      </c>
      <c r="N2265" t="str">
        <f t="shared" si="141"/>
        <v>High</v>
      </c>
      <c r="O2265" t="str">
        <f t="shared" si="142"/>
        <v>Zero Balance</v>
      </c>
      <c r="P2265" t="str">
        <f t="shared" si="143"/>
        <v>New</v>
      </c>
    </row>
    <row r="2266" spans="1:16" x14ac:dyDescent="0.25">
      <c r="A2266">
        <v>2025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  <c r="M2266" t="str">
        <f t="shared" si="140"/>
        <v>&lt;30</v>
      </c>
      <c r="N2266" t="str">
        <f t="shared" si="141"/>
        <v>Medium</v>
      </c>
      <c r="O2266" t="str">
        <f t="shared" si="142"/>
        <v>Zero Balance</v>
      </c>
      <c r="P2266" t="str">
        <f t="shared" si="143"/>
        <v>New</v>
      </c>
    </row>
    <row r="2267" spans="1:16" x14ac:dyDescent="0.25">
      <c r="A2267">
        <v>2025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  <c r="M2267" t="str">
        <f t="shared" si="140"/>
        <v>30-45</v>
      </c>
      <c r="N2267" t="str">
        <f t="shared" si="141"/>
        <v>Medium</v>
      </c>
      <c r="O2267" t="str">
        <f t="shared" si="142"/>
        <v>Zero Balance</v>
      </c>
      <c r="P2267" t="str">
        <f t="shared" si="143"/>
        <v>Mid-term</v>
      </c>
    </row>
    <row r="2268" spans="1:16" x14ac:dyDescent="0.25">
      <c r="A2268">
        <v>2025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  <c r="M2268" t="str">
        <f t="shared" si="140"/>
        <v>30-45</v>
      </c>
      <c r="N2268" t="str">
        <f t="shared" si="141"/>
        <v>Medium</v>
      </c>
      <c r="O2268" t="str">
        <f t="shared" si="142"/>
        <v>High Balance</v>
      </c>
      <c r="P2268" t="str">
        <f t="shared" si="143"/>
        <v>Mid-term</v>
      </c>
    </row>
    <row r="2269" spans="1:16" x14ac:dyDescent="0.25">
      <c r="A2269">
        <v>2025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  <c r="M2269" t="str">
        <f t="shared" si="140"/>
        <v>30-45</v>
      </c>
      <c r="N2269" t="str">
        <f t="shared" si="141"/>
        <v>Low</v>
      </c>
      <c r="O2269" t="str">
        <f t="shared" si="142"/>
        <v>Zero Balance</v>
      </c>
      <c r="P2269" t="str">
        <f t="shared" si="143"/>
        <v>Mid-term</v>
      </c>
    </row>
    <row r="2270" spans="1:16" x14ac:dyDescent="0.25">
      <c r="A2270">
        <v>2025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  <c r="M2270" t="str">
        <f t="shared" si="140"/>
        <v>46-60</v>
      </c>
      <c r="N2270" t="str">
        <f t="shared" si="141"/>
        <v>Medium</v>
      </c>
      <c r="O2270" t="str">
        <f t="shared" si="142"/>
        <v>High Balance</v>
      </c>
      <c r="P2270" t="str">
        <f t="shared" si="143"/>
        <v>Long-term</v>
      </c>
    </row>
    <row r="2271" spans="1:16" x14ac:dyDescent="0.25">
      <c r="A2271">
        <v>2025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  <c r="M2271" t="str">
        <f t="shared" si="140"/>
        <v>30-45</v>
      </c>
      <c r="N2271" t="str">
        <f t="shared" si="141"/>
        <v>Medium</v>
      </c>
      <c r="O2271" t="str">
        <f t="shared" si="142"/>
        <v>Zero Balance</v>
      </c>
      <c r="P2271" t="str">
        <f t="shared" si="143"/>
        <v>Mid-term</v>
      </c>
    </row>
    <row r="2272" spans="1:16" x14ac:dyDescent="0.25">
      <c r="A2272">
        <v>2025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  <c r="M2272" t="str">
        <f t="shared" si="140"/>
        <v>30-45</v>
      </c>
      <c r="N2272" t="str">
        <f t="shared" si="141"/>
        <v>Medium</v>
      </c>
      <c r="O2272" t="str">
        <f t="shared" si="142"/>
        <v>Low Balance</v>
      </c>
      <c r="P2272" t="str">
        <f t="shared" si="143"/>
        <v>Long-term</v>
      </c>
    </row>
    <row r="2273" spans="1:16" x14ac:dyDescent="0.25">
      <c r="A2273">
        <v>2025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  <c r="M2273" t="str">
        <f t="shared" si="140"/>
        <v>&lt;30</v>
      </c>
      <c r="N2273" t="str">
        <f t="shared" si="141"/>
        <v>Medium</v>
      </c>
      <c r="O2273" t="str">
        <f t="shared" si="142"/>
        <v>High Balance</v>
      </c>
      <c r="P2273" t="str">
        <f t="shared" si="143"/>
        <v>Mid-term</v>
      </c>
    </row>
    <row r="2274" spans="1:16" x14ac:dyDescent="0.25">
      <c r="A2274">
        <v>2025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  <c r="M2274" t="str">
        <f t="shared" si="140"/>
        <v>46-60</v>
      </c>
      <c r="N2274" t="str">
        <f t="shared" si="141"/>
        <v>Low</v>
      </c>
      <c r="O2274" t="str">
        <f t="shared" si="142"/>
        <v>High Balance</v>
      </c>
      <c r="P2274" t="str">
        <f t="shared" si="143"/>
        <v>Mid-term</v>
      </c>
    </row>
    <row r="2275" spans="1:16" x14ac:dyDescent="0.25">
      <c r="A2275">
        <v>2025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  <c r="M2275" t="str">
        <f t="shared" si="140"/>
        <v>&lt;30</v>
      </c>
      <c r="N2275" t="str">
        <f t="shared" si="141"/>
        <v>High</v>
      </c>
      <c r="O2275" t="str">
        <f t="shared" si="142"/>
        <v>High Balance</v>
      </c>
      <c r="P2275" t="str">
        <f t="shared" si="143"/>
        <v>Mid-term</v>
      </c>
    </row>
    <row r="2276" spans="1:16" x14ac:dyDescent="0.25">
      <c r="A2276">
        <v>2025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  <c r="M2276" t="str">
        <f t="shared" si="140"/>
        <v>60+</v>
      </c>
      <c r="N2276" t="str">
        <f t="shared" si="141"/>
        <v>Medium</v>
      </c>
      <c r="O2276" t="str">
        <f t="shared" si="142"/>
        <v>High Balance</v>
      </c>
      <c r="P2276" t="str">
        <f t="shared" si="143"/>
        <v>Long-term</v>
      </c>
    </row>
    <row r="2277" spans="1:16" x14ac:dyDescent="0.25">
      <c r="A2277">
        <v>2025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  <c r="M2277" t="str">
        <f t="shared" si="140"/>
        <v>46-60</v>
      </c>
      <c r="N2277" t="str">
        <f t="shared" si="141"/>
        <v>Medium</v>
      </c>
      <c r="O2277" t="str">
        <f t="shared" si="142"/>
        <v>Zero Balance</v>
      </c>
      <c r="P2277" t="str">
        <f t="shared" si="143"/>
        <v>Mid-term</v>
      </c>
    </row>
    <row r="2278" spans="1:16" x14ac:dyDescent="0.25">
      <c r="A2278">
        <v>2025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  <c r="M2278" t="str">
        <f t="shared" si="140"/>
        <v>46-60</v>
      </c>
      <c r="N2278" t="str">
        <f t="shared" si="141"/>
        <v>Medium</v>
      </c>
      <c r="O2278" t="str">
        <f t="shared" si="142"/>
        <v>Low Balance</v>
      </c>
      <c r="P2278" t="str">
        <f t="shared" si="143"/>
        <v>New</v>
      </c>
    </row>
    <row r="2279" spans="1:16" x14ac:dyDescent="0.25">
      <c r="A2279">
        <v>2025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  <c r="M2279" t="str">
        <f t="shared" si="140"/>
        <v>30-45</v>
      </c>
      <c r="N2279" t="str">
        <f t="shared" si="141"/>
        <v>High</v>
      </c>
      <c r="O2279" t="str">
        <f t="shared" si="142"/>
        <v>Zero Balance</v>
      </c>
      <c r="P2279" t="str">
        <f t="shared" si="143"/>
        <v>Mid-term</v>
      </c>
    </row>
    <row r="2280" spans="1:16" x14ac:dyDescent="0.25">
      <c r="A2280">
        <v>2025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  <c r="M2280" t="str">
        <f t="shared" si="140"/>
        <v>30-45</v>
      </c>
      <c r="N2280" t="str">
        <f t="shared" si="141"/>
        <v>Low</v>
      </c>
      <c r="O2280" t="str">
        <f t="shared" si="142"/>
        <v>High Balance</v>
      </c>
      <c r="P2280" t="str">
        <f t="shared" si="143"/>
        <v>Mid-term</v>
      </c>
    </row>
    <row r="2281" spans="1:16" x14ac:dyDescent="0.25">
      <c r="A2281">
        <v>2025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  <c r="M2281" t="str">
        <f t="shared" si="140"/>
        <v>30-45</v>
      </c>
      <c r="N2281" t="str">
        <f t="shared" si="141"/>
        <v>High</v>
      </c>
      <c r="O2281" t="str">
        <f t="shared" si="142"/>
        <v>Zero Balance</v>
      </c>
      <c r="P2281" t="str">
        <f t="shared" si="143"/>
        <v>Long-term</v>
      </c>
    </row>
    <row r="2282" spans="1:16" x14ac:dyDescent="0.25">
      <c r="A2282">
        <v>2025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  <c r="M2282" t="str">
        <f t="shared" si="140"/>
        <v>30-45</v>
      </c>
      <c r="N2282" t="str">
        <f t="shared" si="141"/>
        <v>High</v>
      </c>
      <c r="O2282" t="str">
        <f t="shared" si="142"/>
        <v>Zero Balance</v>
      </c>
      <c r="P2282" t="str">
        <f t="shared" si="143"/>
        <v>Mid-term</v>
      </c>
    </row>
    <row r="2283" spans="1:16" x14ac:dyDescent="0.25">
      <c r="A2283">
        <v>2025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  <c r="M2283" t="str">
        <f t="shared" si="140"/>
        <v>30-45</v>
      </c>
      <c r="N2283" t="str">
        <f t="shared" si="141"/>
        <v>High</v>
      </c>
      <c r="O2283" t="str">
        <f t="shared" si="142"/>
        <v>High Balance</v>
      </c>
      <c r="P2283" t="str">
        <f t="shared" si="143"/>
        <v>Mid-term</v>
      </c>
    </row>
    <row r="2284" spans="1:16" x14ac:dyDescent="0.25">
      <c r="A2284">
        <v>2025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  <c r="M2284" t="str">
        <f t="shared" si="140"/>
        <v>30-45</v>
      </c>
      <c r="N2284" t="str">
        <f t="shared" si="141"/>
        <v>Medium</v>
      </c>
      <c r="O2284" t="str">
        <f t="shared" si="142"/>
        <v>High Balance</v>
      </c>
      <c r="P2284" t="str">
        <f t="shared" si="143"/>
        <v>New</v>
      </c>
    </row>
    <row r="2285" spans="1:16" x14ac:dyDescent="0.25">
      <c r="A2285">
        <v>2025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  <c r="M2285" t="str">
        <f t="shared" si="140"/>
        <v>30-45</v>
      </c>
      <c r="N2285" t="str">
        <f t="shared" si="141"/>
        <v>High</v>
      </c>
      <c r="O2285" t="str">
        <f t="shared" si="142"/>
        <v>Low Balance</v>
      </c>
      <c r="P2285" t="str">
        <f t="shared" si="143"/>
        <v>Long-term</v>
      </c>
    </row>
    <row r="2286" spans="1:16" x14ac:dyDescent="0.25">
      <c r="A2286">
        <v>2025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  <c r="M2286" t="str">
        <f t="shared" si="140"/>
        <v>30-45</v>
      </c>
      <c r="N2286" t="str">
        <f t="shared" si="141"/>
        <v>Medium</v>
      </c>
      <c r="O2286" t="str">
        <f t="shared" si="142"/>
        <v>Low Balance</v>
      </c>
      <c r="P2286" t="str">
        <f t="shared" si="143"/>
        <v>Mid-term</v>
      </c>
    </row>
    <row r="2287" spans="1:16" x14ac:dyDescent="0.25">
      <c r="A2287">
        <v>2025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  <c r="M2287" t="str">
        <f t="shared" si="140"/>
        <v>46-60</v>
      </c>
      <c r="N2287" t="str">
        <f t="shared" si="141"/>
        <v>Medium</v>
      </c>
      <c r="O2287" t="str">
        <f t="shared" si="142"/>
        <v>High Balance</v>
      </c>
      <c r="P2287" t="str">
        <f t="shared" si="143"/>
        <v>New</v>
      </c>
    </row>
    <row r="2288" spans="1:16" x14ac:dyDescent="0.25">
      <c r="A2288">
        <v>2025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  <c r="M2288" t="str">
        <f t="shared" si="140"/>
        <v>30-45</v>
      </c>
      <c r="N2288" t="str">
        <f t="shared" si="141"/>
        <v>Medium</v>
      </c>
      <c r="O2288" t="str">
        <f t="shared" si="142"/>
        <v>High Balance</v>
      </c>
      <c r="P2288" t="str">
        <f t="shared" si="143"/>
        <v>Mid-term</v>
      </c>
    </row>
    <row r="2289" spans="1:16" x14ac:dyDescent="0.25">
      <c r="A2289">
        <v>2025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  <c r="M2289" t="str">
        <f t="shared" si="140"/>
        <v>&lt;30</v>
      </c>
      <c r="N2289" t="str">
        <f t="shared" si="141"/>
        <v>Medium</v>
      </c>
      <c r="O2289" t="str">
        <f t="shared" si="142"/>
        <v>Zero Balance</v>
      </c>
      <c r="P2289" t="str">
        <f t="shared" si="143"/>
        <v>Mid-term</v>
      </c>
    </row>
    <row r="2290" spans="1:16" x14ac:dyDescent="0.25">
      <c r="A2290">
        <v>2025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  <c r="M2290" t="str">
        <f t="shared" si="140"/>
        <v>30-45</v>
      </c>
      <c r="N2290" t="str">
        <f t="shared" si="141"/>
        <v>Medium</v>
      </c>
      <c r="O2290" t="str">
        <f t="shared" si="142"/>
        <v>Low Balance</v>
      </c>
      <c r="P2290" t="str">
        <f t="shared" si="143"/>
        <v>Mid-term</v>
      </c>
    </row>
    <row r="2291" spans="1:16" x14ac:dyDescent="0.25">
      <c r="A2291">
        <v>2025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  <c r="M2291" t="str">
        <f t="shared" si="140"/>
        <v>46-60</v>
      </c>
      <c r="N2291" t="str">
        <f t="shared" si="141"/>
        <v>Medium</v>
      </c>
      <c r="O2291" t="str">
        <f t="shared" si="142"/>
        <v>Zero Balance</v>
      </c>
      <c r="P2291" t="str">
        <f t="shared" si="143"/>
        <v>Long-term</v>
      </c>
    </row>
    <row r="2292" spans="1:16" x14ac:dyDescent="0.25">
      <c r="A2292">
        <v>2025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  <c r="M2292" t="str">
        <f t="shared" si="140"/>
        <v>46-60</v>
      </c>
      <c r="N2292" t="str">
        <f t="shared" si="141"/>
        <v>Medium</v>
      </c>
      <c r="O2292" t="str">
        <f t="shared" si="142"/>
        <v>Zero Balance</v>
      </c>
      <c r="P2292" t="str">
        <f t="shared" si="143"/>
        <v>New</v>
      </c>
    </row>
    <row r="2293" spans="1:16" x14ac:dyDescent="0.25">
      <c r="A2293">
        <v>2025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  <c r="M2293" t="str">
        <f t="shared" si="140"/>
        <v>&lt;30</v>
      </c>
      <c r="N2293" t="str">
        <f t="shared" si="141"/>
        <v>Medium</v>
      </c>
      <c r="O2293" t="str">
        <f t="shared" si="142"/>
        <v>Low Balance</v>
      </c>
      <c r="P2293" t="str">
        <f t="shared" si="143"/>
        <v>Long-term</v>
      </c>
    </row>
    <row r="2294" spans="1:16" x14ac:dyDescent="0.25">
      <c r="A2294">
        <v>2025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  <c r="M2294" t="str">
        <f t="shared" si="140"/>
        <v>&lt;30</v>
      </c>
      <c r="N2294" t="str">
        <f t="shared" si="141"/>
        <v>Medium</v>
      </c>
      <c r="O2294" t="str">
        <f t="shared" si="142"/>
        <v>Zero Balance</v>
      </c>
      <c r="P2294" t="str">
        <f t="shared" si="143"/>
        <v>New</v>
      </c>
    </row>
    <row r="2295" spans="1:16" x14ac:dyDescent="0.25">
      <c r="A2295">
        <v>2025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  <c r="M2295" t="str">
        <f t="shared" si="140"/>
        <v>30-45</v>
      </c>
      <c r="N2295" t="str">
        <f t="shared" si="141"/>
        <v>Medium</v>
      </c>
      <c r="O2295" t="str">
        <f t="shared" si="142"/>
        <v>Low Balance</v>
      </c>
      <c r="P2295" t="str">
        <f t="shared" si="143"/>
        <v>New</v>
      </c>
    </row>
    <row r="2296" spans="1:16" x14ac:dyDescent="0.25">
      <c r="A2296">
        <v>2025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  <c r="M2296" t="str">
        <f t="shared" si="140"/>
        <v>30-45</v>
      </c>
      <c r="N2296" t="str">
        <f t="shared" si="141"/>
        <v>Medium</v>
      </c>
      <c r="O2296" t="str">
        <f t="shared" si="142"/>
        <v>High Balance</v>
      </c>
      <c r="P2296" t="str">
        <f t="shared" si="143"/>
        <v>Long-term</v>
      </c>
    </row>
    <row r="2297" spans="1:16" x14ac:dyDescent="0.25">
      <c r="A2297">
        <v>2025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  <c r="M2297" t="str">
        <f t="shared" si="140"/>
        <v>30-45</v>
      </c>
      <c r="N2297" t="str">
        <f t="shared" si="141"/>
        <v>Medium</v>
      </c>
      <c r="O2297" t="str">
        <f t="shared" si="142"/>
        <v>Zero Balance</v>
      </c>
      <c r="P2297" t="str">
        <f t="shared" si="143"/>
        <v>Mid-term</v>
      </c>
    </row>
    <row r="2298" spans="1:16" x14ac:dyDescent="0.25">
      <c r="A2298">
        <v>2025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  <c r="M2298" t="str">
        <f t="shared" si="140"/>
        <v>46-60</v>
      </c>
      <c r="N2298" t="str">
        <f t="shared" si="141"/>
        <v>High</v>
      </c>
      <c r="O2298" t="str">
        <f t="shared" si="142"/>
        <v>High Balance</v>
      </c>
      <c r="P2298" t="str">
        <f t="shared" si="143"/>
        <v>Long-term</v>
      </c>
    </row>
    <row r="2299" spans="1:16" x14ac:dyDescent="0.25">
      <c r="A2299">
        <v>2025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  <c r="M2299" t="str">
        <f t="shared" si="140"/>
        <v>30-45</v>
      </c>
      <c r="N2299" t="str">
        <f t="shared" si="141"/>
        <v>High</v>
      </c>
      <c r="O2299" t="str">
        <f t="shared" si="142"/>
        <v>High Balance</v>
      </c>
      <c r="P2299" t="str">
        <f t="shared" si="143"/>
        <v>Long-term</v>
      </c>
    </row>
    <row r="2300" spans="1:16" x14ac:dyDescent="0.25">
      <c r="A2300">
        <v>2025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  <c r="M2300" t="str">
        <f t="shared" si="140"/>
        <v>60+</v>
      </c>
      <c r="N2300" t="str">
        <f t="shared" si="141"/>
        <v>Medium</v>
      </c>
      <c r="O2300" t="str">
        <f t="shared" si="142"/>
        <v>High Balance</v>
      </c>
      <c r="P2300" t="str">
        <f t="shared" si="143"/>
        <v>New</v>
      </c>
    </row>
    <row r="2301" spans="1:16" x14ac:dyDescent="0.25">
      <c r="A2301">
        <v>2025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  <c r="M2301" t="str">
        <f t="shared" si="140"/>
        <v>&lt;30</v>
      </c>
      <c r="N2301" t="str">
        <f t="shared" si="141"/>
        <v>Medium</v>
      </c>
      <c r="O2301" t="str">
        <f t="shared" si="142"/>
        <v>High Balance</v>
      </c>
      <c r="P2301" t="str">
        <f t="shared" si="143"/>
        <v>New</v>
      </c>
    </row>
    <row r="2302" spans="1:16" x14ac:dyDescent="0.25">
      <c r="A2302">
        <v>2025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  <c r="M2302" t="str">
        <f t="shared" si="140"/>
        <v>30-45</v>
      </c>
      <c r="N2302" t="str">
        <f t="shared" si="141"/>
        <v>Medium</v>
      </c>
      <c r="O2302" t="str">
        <f t="shared" si="142"/>
        <v>High Balance</v>
      </c>
      <c r="P2302" t="str">
        <f t="shared" si="143"/>
        <v>Long-term</v>
      </c>
    </row>
    <row r="2303" spans="1:16" x14ac:dyDescent="0.25">
      <c r="A2303">
        <v>2025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  <c r="M2303" t="str">
        <f t="shared" si="140"/>
        <v>60+</v>
      </c>
      <c r="N2303" t="str">
        <f t="shared" si="141"/>
        <v>Medium</v>
      </c>
      <c r="O2303" t="str">
        <f t="shared" si="142"/>
        <v>Zero Balance</v>
      </c>
      <c r="P2303" t="str">
        <f t="shared" si="143"/>
        <v>Long-term</v>
      </c>
    </row>
    <row r="2304" spans="1:16" x14ac:dyDescent="0.25">
      <c r="A2304">
        <v>2025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  <c r="M2304" t="str">
        <f t="shared" si="140"/>
        <v>46-60</v>
      </c>
      <c r="N2304" t="str">
        <f t="shared" si="141"/>
        <v>High</v>
      </c>
      <c r="O2304" t="str">
        <f t="shared" si="142"/>
        <v>Zero Balance</v>
      </c>
      <c r="P2304" t="str">
        <f t="shared" si="143"/>
        <v>Mid-term</v>
      </c>
    </row>
    <row r="2305" spans="1:16" x14ac:dyDescent="0.25">
      <c r="A2305">
        <v>2025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  <c r="M2305" t="str">
        <f t="shared" si="140"/>
        <v>30-45</v>
      </c>
      <c r="N2305" t="str">
        <f t="shared" si="141"/>
        <v>High</v>
      </c>
      <c r="O2305" t="str">
        <f t="shared" si="142"/>
        <v>High Balance</v>
      </c>
      <c r="P2305" t="str">
        <f t="shared" si="143"/>
        <v>New</v>
      </c>
    </row>
    <row r="2306" spans="1:16" x14ac:dyDescent="0.25">
      <c r="A2306">
        <v>2025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  <c r="M2306" t="str">
        <f t="shared" si="140"/>
        <v>30-45</v>
      </c>
      <c r="N2306" t="str">
        <f t="shared" si="141"/>
        <v>High</v>
      </c>
      <c r="O2306" t="str">
        <f t="shared" si="142"/>
        <v>High Balance</v>
      </c>
      <c r="P2306" t="str">
        <f t="shared" si="143"/>
        <v>Mid-term</v>
      </c>
    </row>
    <row r="2307" spans="1:16" x14ac:dyDescent="0.25">
      <c r="A2307">
        <v>2025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  <c r="M2307" t="str">
        <f t="shared" ref="M2307:M2370" si="144">IF(E2307&lt;30,"&lt;30",IF(E2307&lt;=45,"30-45",IF(E2307&lt;=60,"46-60","60+")))</f>
        <v>&lt;30</v>
      </c>
      <c r="N2307" t="str">
        <f t="shared" ref="N2307:N2370" si="145">IF(B2307&lt;500,"Low",IF(B2307&lt;700,"Medium","High"))</f>
        <v>Medium</v>
      </c>
      <c r="O2307" t="str">
        <f t="shared" ref="O2307:O2370" si="146">IF(G2307=0,"Zero Balance",IF(G2307&lt;100000,"Low Balance","High Balance"))</f>
        <v>Zero Balance</v>
      </c>
      <c r="P2307" t="str">
        <f t="shared" ref="P2307:P2370" si="147">IF(F2307&lt;=3,"New",IF(F2307&lt;=7,"Mid-term","Long-term"))</f>
        <v>New</v>
      </c>
    </row>
    <row r="2308" spans="1:16" x14ac:dyDescent="0.25">
      <c r="A2308">
        <v>2025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  <c r="M2308" t="str">
        <f t="shared" si="144"/>
        <v>30-45</v>
      </c>
      <c r="N2308" t="str">
        <f t="shared" si="145"/>
        <v>Medium</v>
      </c>
      <c r="O2308" t="str">
        <f t="shared" si="146"/>
        <v>High Balance</v>
      </c>
      <c r="P2308" t="str">
        <f t="shared" si="147"/>
        <v>New</v>
      </c>
    </row>
    <row r="2309" spans="1:16" x14ac:dyDescent="0.25">
      <c r="A2309">
        <v>2025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  <c r="M2309" t="str">
        <f t="shared" si="144"/>
        <v>46-60</v>
      </c>
      <c r="N2309" t="str">
        <f t="shared" si="145"/>
        <v>Medium</v>
      </c>
      <c r="O2309" t="str">
        <f t="shared" si="146"/>
        <v>High Balance</v>
      </c>
      <c r="P2309" t="str">
        <f t="shared" si="147"/>
        <v>Mid-term</v>
      </c>
    </row>
    <row r="2310" spans="1:16" x14ac:dyDescent="0.25">
      <c r="A2310">
        <v>2025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  <c r="M2310" t="str">
        <f t="shared" si="144"/>
        <v>30-45</v>
      </c>
      <c r="N2310" t="str">
        <f t="shared" si="145"/>
        <v>Low</v>
      </c>
      <c r="O2310" t="str">
        <f t="shared" si="146"/>
        <v>High Balance</v>
      </c>
      <c r="P2310" t="str">
        <f t="shared" si="147"/>
        <v>Mid-term</v>
      </c>
    </row>
    <row r="2311" spans="1:16" x14ac:dyDescent="0.25">
      <c r="A2311">
        <v>2025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  <c r="M2311" t="str">
        <f t="shared" si="144"/>
        <v>46-60</v>
      </c>
      <c r="N2311" t="str">
        <f t="shared" si="145"/>
        <v>Medium</v>
      </c>
      <c r="O2311" t="str">
        <f t="shared" si="146"/>
        <v>High Balance</v>
      </c>
      <c r="P2311" t="str">
        <f t="shared" si="147"/>
        <v>Long-term</v>
      </c>
    </row>
    <row r="2312" spans="1:16" x14ac:dyDescent="0.25">
      <c r="A2312">
        <v>2025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  <c r="M2312" t="str">
        <f t="shared" si="144"/>
        <v>30-45</v>
      </c>
      <c r="N2312" t="str">
        <f t="shared" si="145"/>
        <v>High</v>
      </c>
      <c r="O2312" t="str">
        <f t="shared" si="146"/>
        <v>High Balance</v>
      </c>
      <c r="P2312" t="str">
        <f t="shared" si="147"/>
        <v>Mid-term</v>
      </c>
    </row>
    <row r="2313" spans="1:16" x14ac:dyDescent="0.25">
      <c r="A2313">
        <v>2025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  <c r="M2313" t="str">
        <f t="shared" si="144"/>
        <v>&lt;30</v>
      </c>
      <c r="N2313" t="str">
        <f t="shared" si="145"/>
        <v>Medium</v>
      </c>
      <c r="O2313" t="str">
        <f t="shared" si="146"/>
        <v>High Balance</v>
      </c>
      <c r="P2313" t="str">
        <f t="shared" si="147"/>
        <v>Long-term</v>
      </c>
    </row>
    <row r="2314" spans="1:16" x14ac:dyDescent="0.25">
      <c r="A2314">
        <v>2025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  <c r="M2314" t="str">
        <f t="shared" si="144"/>
        <v>46-60</v>
      </c>
      <c r="N2314" t="str">
        <f t="shared" si="145"/>
        <v>Medium</v>
      </c>
      <c r="O2314" t="str">
        <f t="shared" si="146"/>
        <v>Zero Balance</v>
      </c>
      <c r="P2314" t="str">
        <f t="shared" si="147"/>
        <v>Mid-term</v>
      </c>
    </row>
    <row r="2315" spans="1:16" x14ac:dyDescent="0.25">
      <c r="A2315">
        <v>2025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  <c r="M2315" t="str">
        <f t="shared" si="144"/>
        <v>30-45</v>
      </c>
      <c r="N2315" t="str">
        <f t="shared" si="145"/>
        <v>Medium</v>
      </c>
      <c r="O2315" t="str">
        <f t="shared" si="146"/>
        <v>High Balance</v>
      </c>
      <c r="P2315" t="str">
        <f t="shared" si="147"/>
        <v>Long-term</v>
      </c>
    </row>
    <row r="2316" spans="1:16" x14ac:dyDescent="0.25">
      <c r="A2316">
        <v>2025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  <c r="M2316" t="str">
        <f t="shared" si="144"/>
        <v>&lt;30</v>
      </c>
      <c r="N2316" t="str">
        <f t="shared" si="145"/>
        <v>Medium</v>
      </c>
      <c r="O2316" t="str">
        <f t="shared" si="146"/>
        <v>Zero Balance</v>
      </c>
      <c r="P2316" t="str">
        <f t="shared" si="147"/>
        <v>New</v>
      </c>
    </row>
    <row r="2317" spans="1:16" x14ac:dyDescent="0.25">
      <c r="A2317">
        <v>2025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  <c r="M2317" t="str">
        <f t="shared" si="144"/>
        <v>30-45</v>
      </c>
      <c r="N2317" t="str">
        <f t="shared" si="145"/>
        <v>Medium</v>
      </c>
      <c r="O2317" t="str">
        <f t="shared" si="146"/>
        <v>Zero Balance</v>
      </c>
      <c r="P2317" t="str">
        <f t="shared" si="147"/>
        <v>Mid-term</v>
      </c>
    </row>
    <row r="2318" spans="1:16" x14ac:dyDescent="0.25">
      <c r="A2318">
        <v>2025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  <c r="M2318" t="str">
        <f t="shared" si="144"/>
        <v>46-60</v>
      </c>
      <c r="N2318" t="str">
        <f t="shared" si="145"/>
        <v>Medium</v>
      </c>
      <c r="O2318" t="str">
        <f t="shared" si="146"/>
        <v>High Balance</v>
      </c>
      <c r="P2318" t="str">
        <f t="shared" si="147"/>
        <v>Mid-term</v>
      </c>
    </row>
    <row r="2319" spans="1:16" x14ac:dyDescent="0.25">
      <c r="A2319">
        <v>2025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  <c r="M2319" t="str">
        <f t="shared" si="144"/>
        <v>30-45</v>
      </c>
      <c r="N2319" t="str">
        <f t="shared" si="145"/>
        <v>Medium</v>
      </c>
      <c r="O2319" t="str">
        <f t="shared" si="146"/>
        <v>High Balance</v>
      </c>
      <c r="P2319" t="str">
        <f t="shared" si="147"/>
        <v>New</v>
      </c>
    </row>
    <row r="2320" spans="1:16" x14ac:dyDescent="0.25">
      <c r="A2320">
        <v>2025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  <c r="M2320" t="str">
        <f t="shared" si="144"/>
        <v>30-45</v>
      </c>
      <c r="N2320" t="str">
        <f t="shared" si="145"/>
        <v>Medium</v>
      </c>
      <c r="O2320" t="str">
        <f t="shared" si="146"/>
        <v>Zero Balance</v>
      </c>
      <c r="P2320" t="str">
        <f t="shared" si="147"/>
        <v>New</v>
      </c>
    </row>
    <row r="2321" spans="1:16" x14ac:dyDescent="0.25">
      <c r="A2321">
        <v>2025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  <c r="M2321" t="str">
        <f t="shared" si="144"/>
        <v>30-45</v>
      </c>
      <c r="N2321" t="str">
        <f t="shared" si="145"/>
        <v>Medium</v>
      </c>
      <c r="O2321" t="str">
        <f t="shared" si="146"/>
        <v>High Balance</v>
      </c>
      <c r="P2321" t="str">
        <f t="shared" si="147"/>
        <v>Long-term</v>
      </c>
    </row>
    <row r="2322" spans="1:16" x14ac:dyDescent="0.25">
      <c r="A2322">
        <v>2025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  <c r="M2322" t="str">
        <f t="shared" si="144"/>
        <v>30-45</v>
      </c>
      <c r="N2322" t="str">
        <f t="shared" si="145"/>
        <v>Medium</v>
      </c>
      <c r="O2322" t="str">
        <f t="shared" si="146"/>
        <v>Low Balance</v>
      </c>
      <c r="P2322" t="str">
        <f t="shared" si="147"/>
        <v>Mid-term</v>
      </c>
    </row>
    <row r="2323" spans="1:16" x14ac:dyDescent="0.25">
      <c r="A2323">
        <v>2025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  <c r="M2323" t="str">
        <f t="shared" si="144"/>
        <v>30-45</v>
      </c>
      <c r="N2323" t="str">
        <f t="shared" si="145"/>
        <v>Medium</v>
      </c>
      <c r="O2323" t="str">
        <f t="shared" si="146"/>
        <v>Low Balance</v>
      </c>
      <c r="P2323" t="str">
        <f t="shared" si="147"/>
        <v>Mid-term</v>
      </c>
    </row>
    <row r="2324" spans="1:16" x14ac:dyDescent="0.25">
      <c r="A2324">
        <v>2025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  <c r="M2324" t="str">
        <f t="shared" si="144"/>
        <v>30-45</v>
      </c>
      <c r="N2324" t="str">
        <f t="shared" si="145"/>
        <v>Medium</v>
      </c>
      <c r="O2324" t="str">
        <f t="shared" si="146"/>
        <v>Zero Balance</v>
      </c>
      <c r="P2324" t="str">
        <f t="shared" si="147"/>
        <v>New</v>
      </c>
    </row>
    <row r="2325" spans="1:16" x14ac:dyDescent="0.25">
      <c r="A2325">
        <v>2025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  <c r="M2325" t="str">
        <f t="shared" si="144"/>
        <v>46-60</v>
      </c>
      <c r="N2325" t="str">
        <f t="shared" si="145"/>
        <v>Medium</v>
      </c>
      <c r="O2325" t="str">
        <f t="shared" si="146"/>
        <v>High Balance</v>
      </c>
      <c r="P2325" t="str">
        <f t="shared" si="147"/>
        <v>Mid-term</v>
      </c>
    </row>
    <row r="2326" spans="1:16" x14ac:dyDescent="0.25">
      <c r="A2326">
        <v>2025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  <c r="M2326" t="str">
        <f t="shared" si="144"/>
        <v>&lt;30</v>
      </c>
      <c r="N2326" t="str">
        <f t="shared" si="145"/>
        <v>Medium</v>
      </c>
      <c r="O2326" t="str">
        <f t="shared" si="146"/>
        <v>High Balance</v>
      </c>
      <c r="P2326" t="str">
        <f t="shared" si="147"/>
        <v>New</v>
      </c>
    </row>
    <row r="2327" spans="1:16" x14ac:dyDescent="0.25">
      <c r="A2327">
        <v>2025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  <c r="M2327" t="str">
        <f t="shared" si="144"/>
        <v>&lt;30</v>
      </c>
      <c r="N2327" t="str">
        <f t="shared" si="145"/>
        <v>High</v>
      </c>
      <c r="O2327" t="str">
        <f t="shared" si="146"/>
        <v>High Balance</v>
      </c>
      <c r="P2327" t="str">
        <f t="shared" si="147"/>
        <v>Long-term</v>
      </c>
    </row>
    <row r="2328" spans="1:16" x14ac:dyDescent="0.25">
      <c r="A2328">
        <v>2025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  <c r="M2328" t="str">
        <f t="shared" si="144"/>
        <v>30-45</v>
      </c>
      <c r="N2328" t="str">
        <f t="shared" si="145"/>
        <v>Medium</v>
      </c>
      <c r="O2328" t="str">
        <f t="shared" si="146"/>
        <v>Zero Balance</v>
      </c>
      <c r="P2328" t="str">
        <f t="shared" si="147"/>
        <v>Mid-term</v>
      </c>
    </row>
    <row r="2329" spans="1:16" x14ac:dyDescent="0.25">
      <c r="A2329">
        <v>2025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  <c r="M2329" t="str">
        <f t="shared" si="144"/>
        <v>30-45</v>
      </c>
      <c r="N2329" t="str">
        <f t="shared" si="145"/>
        <v>Medium</v>
      </c>
      <c r="O2329" t="str">
        <f t="shared" si="146"/>
        <v>Low Balance</v>
      </c>
      <c r="P2329" t="str">
        <f t="shared" si="147"/>
        <v>Mid-term</v>
      </c>
    </row>
    <row r="2330" spans="1:16" x14ac:dyDescent="0.25">
      <c r="A2330">
        <v>2025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  <c r="M2330" t="str">
        <f t="shared" si="144"/>
        <v>&lt;30</v>
      </c>
      <c r="N2330" t="str">
        <f t="shared" si="145"/>
        <v>High</v>
      </c>
      <c r="O2330" t="str">
        <f t="shared" si="146"/>
        <v>Zero Balance</v>
      </c>
      <c r="P2330" t="str">
        <f t="shared" si="147"/>
        <v>New</v>
      </c>
    </row>
    <row r="2331" spans="1:16" x14ac:dyDescent="0.25">
      <c r="A2331">
        <v>2025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  <c r="M2331" t="str">
        <f t="shared" si="144"/>
        <v>30-45</v>
      </c>
      <c r="N2331" t="str">
        <f t="shared" si="145"/>
        <v>High</v>
      </c>
      <c r="O2331" t="str">
        <f t="shared" si="146"/>
        <v>High Balance</v>
      </c>
      <c r="P2331" t="str">
        <f t="shared" si="147"/>
        <v>New</v>
      </c>
    </row>
    <row r="2332" spans="1:16" x14ac:dyDescent="0.25">
      <c r="A2332">
        <v>2025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  <c r="M2332" t="str">
        <f t="shared" si="144"/>
        <v>30-45</v>
      </c>
      <c r="N2332" t="str">
        <f t="shared" si="145"/>
        <v>Low</v>
      </c>
      <c r="O2332" t="str">
        <f t="shared" si="146"/>
        <v>Zero Balance</v>
      </c>
      <c r="P2332" t="str">
        <f t="shared" si="147"/>
        <v>Mid-term</v>
      </c>
    </row>
    <row r="2333" spans="1:16" x14ac:dyDescent="0.25">
      <c r="A2333">
        <v>2025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  <c r="M2333" t="str">
        <f t="shared" si="144"/>
        <v>&lt;30</v>
      </c>
      <c r="N2333" t="str">
        <f t="shared" si="145"/>
        <v>Medium</v>
      </c>
      <c r="O2333" t="str">
        <f t="shared" si="146"/>
        <v>Low Balance</v>
      </c>
      <c r="P2333" t="str">
        <f t="shared" si="147"/>
        <v>New</v>
      </c>
    </row>
    <row r="2334" spans="1:16" x14ac:dyDescent="0.25">
      <c r="A2334">
        <v>2025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  <c r="M2334" t="str">
        <f t="shared" si="144"/>
        <v>&lt;30</v>
      </c>
      <c r="N2334" t="str">
        <f t="shared" si="145"/>
        <v>Low</v>
      </c>
      <c r="O2334" t="str">
        <f t="shared" si="146"/>
        <v>High Balance</v>
      </c>
      <c r="P2334" t="str">
        <f t="shared" si="147"/>
        <v>Mid-term</v>
      </c>
    </row>
    <row r="2335" spans="1:16" x14ac:dyDescent="0.25">
      <c r="A2335">
        <v>2025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  <c r="M2335" t="str">
        <f t="shared" si="144"/>
        <v>30-45</v>
      </c>
      <c r="N2335" t="str">
        <f t="shared" si="145"/>
        <v>Low</v>
      </c>
      <c r="O2335" t="str">
        <f t="shared" si="146"/>
        <v>Zero Balance</v>
      </c>
      <c r="P2335" t="str">
        <f t="shared" si="147"/>
        <v>Long-term</v>
      </c>
    </row>
    <row r="2336" spans="1:16" x14ac:dyDescent="0.25">
      <c r="A2336">
        <v>2025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  <c r="M2336" t="str">
        <f t="shared" si="144"/>
        <v>30-45</v>
      </c>
      <c r="N2336" t="str">
        <f t="shared" si="145"/>
        <v>High</v>
      </c>
      <c r="O2336" t="str">
        <f t="shared" si="146"/>
        <v>Zero Balance</v>
      </c>
      <c r="P2336" t="str">
        <f t="shared" si="147"/>
        <v>New</v>
      </c>
    </row>
    <row r="2337" spans="1:16" x14ac:dyDescent="0.25">
      <c r="A2337">
        <v>2025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  <c r="M2337" t="str">
        <f t="shared" si="144"/>
        <v>46-60</v>
      </c>
      <c r="N2337" t="str">
        <f t="shared" si="145"/>
        <v>High</v>
      </c>
      <c r="O2337" t="str">
        <f t="shared" si="146"/>
        <v>High Balance</v>
      </c>
      <c r="P2337" t="str">
        <f t="shared" si="147"/>
        <v>Mid-term</v>
      </c>
    </row>
    <row r="2338" spans="1:16" x14ac:dyDescent="0.25">
      <c r="A2338">
        <v>2025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  <c r="M2338" t="str">
        <f t="shared" si="144"/>
        <v>30-45</v>
      </c>
      <c r="N2338" t="str">
        <f t="shared" si="145"/>
        <v>Medium</v>
      </c>
      <c r="O2338" t="str">
        <f t="shared" si="146"/>
        <v>High Balance</v>
      </c>
      <c r="P2338" t="str">
        <f t="shared" si="147"/>
        <v>Mid-term</v>
      </c>
    </row>
    <row r="2339" spans="1:16" x14ac:dyDescent="0.25">
      <c r="A2339">
        <v>2025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  <c r="M2339" t="str">
        <f t="shared" si="144"/>
        <v>30-45</v>
      </c>
      <c r="N2339" t="str">
        <f t="shared" si="145"/>
        <v>High</v>
      </c>
      <c r="O2339" t="str">
        <f t="shared" si="146"/>
        <v>Zero Balance</v>
      </c>
      <c r="P2339" t="str">
        <f t="shared" si="147"/>
        <v>Long-term</v>
      </c>
    </row>
    <row r="2340" spans="1:16" x14ac:dyDescent="0.25">
      <c r="A2340">
        <v>2025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  <c r="M2340" t="str">
        <f t="shared" si="144"/>
        <v>30-45</v>
      </c>
      <c r="N2340" t="str">
        <f t="shared" si="145"/>
        <v>Medium</v>
      </c>
      <c r="O2340" t="str">
        <f t="shared" si="146"/>
        <v>Zero Balance</v>
      </c>
      <c r="P2340" t="str">
        <f t="shared" si="147"/>
        <v>New</v>
      </c>
    </row>
    <row r="2341" spans="1:16" x14ac:dyDescent="0.25">
      <c r="A2341">
        <v>2025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  <c r="M2341" t="str">
        <f t="shared" si="144"/>
        <v>&lt;30</v>
      </c>
      <c r="N2341" t="str">
        <f t="shared" si="145"/>
        <v>Medium</v>
      </c>
      <c r="O2341" t="str">
        <f t="shared" si="146"/>
        <v>High Balance</v>
      </c>
      <c r="P2341" t="str">
        <f t="shared" si="147"/>
        <v>Mid-term</v>
      </c>
    </row>
    <row r="2342" spans="1:16" x14ac:dyDescent="0.25">
      <c r="A2342">
        <v>2025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  <c r="M2342" t="str">
        <f t="shared" si="144"/>
        <v>30-45</v>
      </c>
      <c r="N2342" t="str">
        <f t="shared" si="145"/>
        <v>Medium</v>
      </c>
      <c r="O2342" t="str">
        <f t="shared" si="146"/>
        <v>High Balance</v>
      </c>
      <c r="P2342" t="str">
        <f t="shared" si="147"/>
        <v>New</v>
      </c>
    </row>
    <row r="2343" spans="1:16" x14ac:dyDescent="0.25">
      <c r="A2343">
        <v>2025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  <c r="M2343" t="str">
        <f t="shared" si="144"/>
        <v>&lt;30</v>
      </c>
      <c r="N2343" t="str">
        <f t="shared" si="145"/>
        <v>High</v>
      </c>
      <c r="O2343" t="str">
        <f t="shared" si="146"/>
        <v>High Balance</v>
      </c>
      <c r="P2343" t="str">
        <f t="shared" si="147"/>
        <v>Mid-term</v>
      </c>
    </row>
    <row r="2344" spans="1:16" x14ac:dyDescent="0.25">
      <c r="A2344">
        <v>2025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  <c r="M2344" t="str">
        <f t="shared" si="144"/>
        <v>30-45</v>
      </c>
      <c r="N2344" t="str">
        <f t="shared" si="145"/>
        <v>Medium</v>
      </c>
      <c r="O2344" t="str">
        <f t="shared" si="146"/>
        <v>Zero Balance</v>
      </c>
      <c r="P2344" t="str">
        <f t="shared" si="147"/>
        <v>Mid-term</v>
      </c>
    </row>
    <row r="2345" spans="1:16" x14ac:dyDescent="0.25">
      <c r="A2345">
        <v>2025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  <c r="M2345" t="str">
        <f t="shared" si="144"/>
        <v>30-45</v>
      </c>
      <c r="N2345" t="str">
        <f t="shared" si="145"/>
        <v>High</v>
      </c>
      <c r="O2345" t="str">
        <f t="shared" si="146"/>
        <v>High Balance</v>
      </c>
      <c r="P2345" t="str">
        <f t="shared" si="147"/>
        <v>Mid-term</v>
      </c>
    </row>
    <row r="2346" spans="1:16" x14ac:dyDescent="0.25">
      <c r="A2346">
        <v>2025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  <c r="M2346" t="str">
        <f t="shared" si="144"/>
        <v>46-60</v>
      </c>
      <c r="N2346" t="str">
        <f t="shared" si="145"/>
        <v>High</v>
      </c>
      <c r="O2346" t="str">
        <f t="shared" si="146"/>
        <v>Low Balance</v>
      </c>
      <c r="P2346" t="str">
        <f t="shared" si="147"/>
        <v>Mid-term</v>
      </c>
    </row>
    <row r="2347" spans="1:16" x14ac:dyDescent="0.25">
      <c r="A2347">
        <v>2025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  <c r="M2347" t="str">
        <f t="shared" si="144"/>
        <v>30-45</v>
      </c>
      <c r="N2347" t="str">
        <f t="shared" si="145"/>
        <v>High</v>
      </c>
      <c r="O2347" t="str">
        <f t="shared" si="146"/>
        <v>High Balance</v>
      </c>
      <c r="P2347" t="str">
        <f t="shared" si="147"/>
        <v>Long-term</v>
      </c>
    </row>
    <row r="2348" spans="1:16" x14ac:dyDescent="0.25">
      <c r="A2348">
        <v>2025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  <c r="M2348" t="str">
        <f t="shared" si="144"/>
        <v>46-60</v>
      </c>
      <c r="N2348" t="str">
        <f t="shared" si="145"/>
        <v>Medium</v>
      </c>
      <c r="O2348" t="str">
        <f t="shared" si="146"/>
        <v>High Balance</v>
      </c>
      <c r="P2348" t="str">
        <f t="shared" si="147"/>
        <v>Mid-term</v>
      </c>
    </row>
    <row r="2349" spans="1:16" x14ac:dyDescent="0.25">
      <c r="A2349">
        <v>2025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  <c r="M2349" t="str">
        <f t="shared" si="144"/>
        <v>46-60</v>
      </c>
      <c r="N2349" t="str">
        <f t="shared" si="145"/>
        <v>Medium</v>
      </c>
      <c r="O2349" t="str">
        <f t="shared" si="146"/>
        <v>High Balance</v>
      </c>
      <c r="P2349" t="str">
        <f t="shared" si="147"/>
        <v>Mid-term</v>
      </c>
    </row>
    <row r="2350" spans="1:16" x14ac:dyDescent="0.25">
      <c r="A2350">
        <v>2025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  <c r="M2350" t="str">
        <f t="shared" si="144"/>
        <v>30-45</v>
      </c>
      <c r="N2350" t="str">
        <f t="shared" si="145"/>
        <v>High</v>
      </c>
      <c r="O2350" t="str">
        <f t="shared" si="146"/>
        <v>High Balance</v>
      </c>
      <c r="P2350" t="str">
        <f t="shared" si="147"/>
        <v>New</v>
      </c>
    </row>
    <row r="2351" spans="1:16" x14ac:dyDescent="0.25">
      <c r="A2351">
        <v>2025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  <c r="M2351" t="str">
        <f t="shared" si="144"/>
        <v>30-45</v>
      </c>
      <c r="N2351" t="str">
        <f t="shared" si="145"/>
        <v>High</v>
      </c>
      <c r="O2351" t="str">
        <f t="shared" si="146"/>
        <v>High Balance</v>
      </c>
      <c r="P2351" t="str">
        <f t="shared" si="147"/>
        <v>Mid-term</v>
      </c>
    </row>
    <row r="2352" spans="1:16" x14ac:dyDescent="0.25">
      <c r="A2352">
        <v>2025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  <c r="M2352" t="str">
        <f t="shared" si="144"/>
        <v>46-60</v>
      </c>
      <c r="N2352" t="str">
        <f t="shared" si="145"/>
        <v>Medium</v>
      </c>
      <c r="O2352" t="str">
        <f t="shared" si="146"/>
        <v>High Balance</v>
      </c>
      <c r="P2352" t="str">
        <f t="shared" si="147"/>
        <v>New</v>
      </c>
    </row>
    <row r="2353" spans="1:16" x14ac:dyDescent="0.25">
      <c r="A2353">
        <v>2025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  <c r="M2353" t="str">
        <f t="shared" si="144"/>
        <v>30-45</v>
      </c>
      <c r="N2353" t="str">
        <f t="shared" si="145"/>
        <v>Medium</v>
      </c>
      <c r="O2353" t="str">
        <f t="shared" si="146"/>
        <v>Low Balance</v>
      </c>
      <c r="P2353" t="str">
        <f t="shared" si="147"/>
        <v>Mid-term</v>
      </c>
    </row>
    <row r="2354" spans="1:16" x14ac:dyDescent="0.25">
      <c r="A2354">
        <v>2025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  <c r="M2354" t="str">
        <f t="shared" si="144"/>
        <v>30-45</v>
      </c>
      <c r="N2354" t="str">
        <f t="shared" si="145"/>
        <v>Medium</v>
      </c>
      <c r="O2354" t="str">
        <f t="shared" si="146"/>
        <v>High Balance</v>
      </c>
      <c r="P2354" t="str">
        <f t="shared" si="147"/>
        <v>New</v>
      </c>
    </row>
    <row r="2355" spans="1:16" x14ac:dyDescent="0.25">
      <c r="A2355">
        <v>2025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  <c r="M2355" t="str">
        <f t="shared" si="144"/>
        <v>&lt;30</v>
      </c>
      <c r="N2355" t="str">
        <f t="shared" si="145"/>
        <v>Medium</v>
      </c>
      <c r="O2355" t="str">
        <f t="shared" si="146"/>
        <v>Low Balance</v>
      </c>
      <c r="P2355" t="str">
        <f t="shared" si="147"/>
        <v>Mid-term</v>
      </c>
    </row>
    <row r="2356" spans="1:16" x14ac:dyDescent="0.25">
      <c r="A2356">
        <v>2025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  <c r="M2356" t="str">
        <f t="shared" si="144"/>
        <v>30-45</v>
      </c>
      <c r="N2356" t="str">
        <f t="shared" si="145"/>
        <v>High</v>
      </c>
      <c r="O2356" t="str">
        <f t="shared" si="146"/>
        <v>High Balance</v>
      </c>
      <c r="P2356" t="str">
        <f t="shared" si="147"/>
        <v>New</v>
      </c>
    </row>
    <row r="2357" spans="1:16" x14ac:dyDescent="0.25">
      <c r="A2357">
        <v>2025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  <c r="M2357" t="str">
        <f t="shared" si="144"/>
        <v>30-45</v>
      </c>
      <c r="N2357" t="str">
        <f t="shared" si="145"/>
        <v>Medium</v>
      </c>
      <c r="O2357" t="str">
        <f t="shared" si="146"/>
        <v>Zero Balance</v>
      </c>
      <c r="P2357" t="str">
        <f t="shared" si="147"/>
        <v>New</v>
      </c>
    </row>
    <row r="2358" spans="1:16" x14ac:dyDescent="0.25">
      <c r="A2358">
        <v>2025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  <c r="M2358" t="str">
        <f t="shared" si="144"/>
        <v>30-45</v>
      </c>
      <c r="N2358" t="str">
        <f t="shared" si="145"/>
        <v>Medium</v>
      </c>
      <c r="O2358" t="str">
        <f t="shared" si="146"/>
        <v>High Balance</v>
      </c>
      <c r="P2358" t="str">
        <f t="shared" si="147"/>
        <v>Mid-term</v>
      </c>
    </row>
    <row r="2359" spans="1:16" x14ac:dyDescent="0.25">
      <c r="A2359">
        <v>2025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  <c r="M2359" t="str">
        <f t="shared" si="144"/>
        <v>30-45</v>
      </c>
      <c r="N2359" t="str">
        <f t="shared" si="145"/>
        <v>Medium</v>
      </c>
      <c r="O2359" t="str">
        <f t="shared" si="146"/>
        <v>Zero Balance</v>
      </c>
      <c r="P2359" t="str">
        <f t="shared" si="147"/>
        <v>Mid-term</v>
      </c>
    </row>
    <row r="2360" spans="1:16" x14ac:dyDescent="0.25">
      <c r="A2360">
        <v>2025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  <c r="M2360" t="str">
        <f t="shared" si="144"/>
        <v>30-45</v>
      </c>
      <c r="N2360" t="str">
        <f t="shared" si="145"/>
        <v>Medium</v>
      </c>
      <c r="O2360" t="str">
        <f t="shared" si="146"/>
        <v>High Balance</v>
      </c>
      <c r="P2360" t="str">
        <f t="shared" si="147"/>
        <v>New</v>
      </c>
    </row>
    <row r="2361" spans="1:16" x14ac:dyDescent="0.25">
      <c r="A2361">
        <v>2025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  <c r="M2361" t="str">
        <f t="shared" si="144"/>
        <v>30-45</v>
      </c>
      <c r="N2361" t="str">
        <f t="shared" si="145"/>
        <v>Medium</v>
      </c>
      <c r="O2361" t="str">
        <f t="shared" si="146"/>
        <v>High Balance</v>
      </c>
      <c r="P2361" t="str">
        <f t="shared" si="147"/>
        <v>New</v>
      </c>
    </row>
    <row r="2362" spans="1:16" x14ac:dyDescent="0.25">
      <c r="A2362">
        <v>2025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  <c r="M2362" t="str">
        <f t="shared" si="144"/>
        <v>30-45</v>
      </c>
      <c r="N2362" t="str">
        <f t="shared" si="145"/>
        <v>Medium</v>
      </c>
      <c r="O2362" t="str">
        <f t="shared" si="146"/>
        <v>High Balance</v>
      </c>
      <c r="P2362" t="str">
        <f t="shared" si="147"/>
        <v>Mid-term</v>
      </c>
    </row>
    <row r="2363" spans="1:16" x14ac:dyDescent="0.25">
      <c r="A2363">
        <v>2025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  <c r="M2363" t="str">
        <f t="shared" si="144"/>
        <v>30-45</v>
      </c>
      <c r="N2363" t="str">
        <f t="shared" si="145"/>
        <v>Medium</v>
      </c>
      <c r="O2363" t="str">
        <f t="shared" si="146"/>
        <v>High Balance</v>
      </c>
      <c r="P2363" t="str">
        <f t="shared" si="147"/>
        <v>Mid-term</v>
      </c>
    </row>
    <row r="2364" spans="1:16" x14ac:dyDescent="0.25">
      <c r="A2364">
        <v>2025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  <c r="M2364" t="str">
        <f t="shared" si="144"/>
        <v>30-45</v>
      </c>
      <c r="N2364" t="str">
        <f t="shared" si="145"/>
        <v>High</v>
      </c>
      <c r="O2364" t="str">
        <f t="shared" si="146"/>
        <v>High Balance</v>
      </c>
      <c r="P2364" t="str">
        <f t="shared" si="147"/>
        <v>Mid-term</v>
      </c>
    </row>
    <row r="2365" spans="1:16" x14ac:dyDescent="0.25">
      <c r="A2365">
        <v>2025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  <c r="M2365" t="str">
        <f t="shared" si="144"/>
        <v>30-45</v>
      </c>
      <c r="N2365" t="str">
        <f t="shared" si="145"/>
        <v>Medium</v>
      </c>
      <c r="O2365" t="str">
        <f t="shared" si="146"/>
        <v>Zero Balance</v>
      </c>
      <c r="P2365" t="str">
        <f t="shared" si="147"/>
        <v>Long-term</v>
      </c>
    </row>
    <row r="2366" spans="1:16" x14ac:dyDescent="0.25">
      <c r="A2366">
        <v>2025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  <c r="M2366" t="str">
        <f t="shared" si="144"/>
        <v>30-45</v>
      </c>
      <c r="N2366" t="str">
        <f t="shared" si="145"/>
        <v>High</v>
      </c>
      <c r="O2366" t="str">
        <f t="shared" si="146"/>
        <v>Low Balance</v>
      </c>
      <c r="P2366" t="str">
        <f t="shared" si="147"/>
        <v>New</v>
      </c>
    </row>
    <row r="2367" spans="1:16" x14ac:dyDescent="0.25">
      <c r="A2367">
        <v>2025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  <c r="M2367" t="str">
        <f t="shared" si="144"/>
        <v>30-45</v>
      </c>
      <c r="N2367" t="str">
        <f t="shared" si="145"/>
        <v>High</v>
      </c>
      <c r="O2367" t="str">
        <f t="shared" si="146"/>
        <v>High Balance</v>
      </c>
      <c r="P2367" t="str">
        <f t="shared" si="147"/>
        <v>Mid-term</v>
      </c>
    </row>
    <row r="2368" spans="1:16" x14ac:dyDescent="0.25">
      <c r="A2368">
        <v>2025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  <c r="M2368" t="str">
        <f t="shared" si="144"/>
        <v>30-45</v>
      </c>
      <c r="N2368" t="str">
        <f t="shared" si="145"/>
        <v>Medium</v>
      </c>
      <c r="O2368" t="str">
        <f t="shared" si="146"/>
        <v>Zero Balance</v>
      </c>
      <c r="P2368" t="str">
        <f t="shared" si="147"/>
        <v>Long-term</v>
      </c>
    </row>
    <row r="2369" spans="1:16" x14ac:dyDescent="0.25">
      <c r="A2369">
        <v>2025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  <c r="M2369" t="str">
        <f t="shared" si="144"/>
        <v>30-45</v>
      </c>
      <c r="N2369" t="str">
        <f t="shared" si="145"/>
        <v>Medium</v>
      </c>
      <c r="O2369" t="str">
        <f t="shared" si="146"/>
        <v>High Balance</v>
      </c>
      <c r="P2369" t="str">
        <f t="shared" si="147"/>
        <v>Long-term</v>
      </c>
    </row>
    <row r="2370" spans="1:16" x14ac:dyDescent="0.25">
      <c r="A2370">
        <v>2025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  <c r="M2370" t="str">
        <f t="shared" si="144"/>
        <v>46-60</v>
      </c>
      <c r="N2370" t="str">
        <f t="shared" si="145"/>
        <v>Medium</v>
      </c>
      <c r="O2370" t="str">
        <f t="shared" si="146"/>
        <v>Zero Balance</v>
      </c>
      <c r="P2370" t="str">
        <f t="shared" si="147"/>
        <v>Long-term</v>
      </c>
    </row>
    <row r="2371" spans="1:16" x14ac:dyDescent="0.25">
      <c r="A2371">
        <v>2025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  <c r="M2371" t="str">
        <f t="shared" ref="M2371:M2434" si="148">IF(E2371&lt;30,"&lt;30",IF(E2371&lt;=45,"30-45",IF(E2371&lt;=60,"46-60","60+")))</f>
        <v>46-60</v>
      </c>
      <c r="N2371" t="str">
        <f t="shared" ref="N2371:N2434" si="149">IF(B2371&lt;500,"Low",IF(B2371&lt;700,"Medium","High"))</f>
        <v>Medium</v>
      </c>
      <c r="O2371" t="str">
        <f t="shared" ref="O2371:O2434" si="150">IF(G2371=0,"Zero Balance",IF(G2371&lt;100000,"Low Balance","High Balance"))</f>
        <v>High Balance</v>
      </c>
      <c r="P2371" t="str">
        <f t="shared" ref="P2371:P2434" si="151">IF(F2371&lt;=3,"New",IF(F2371&lt;=7,"Mid-term","Long-term"))</f>
        <v>Mid-term</v>
      </c>
    </row>
    <row r="2372" spans="1:16" x14ac:dyDescent="0.25">
      <c r="A2372">
        <v>2025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  <c r="M2372" t="str">
        <f t="shared" si="148"/>
        <v>30-45</v>
      </c>
      <c r="N2372" t="str">
        <f t="shared" si="149"/>
        <v>Low</v>
      </c>
      <c r="O2372" t="str">
        <f t="shared" si="150"/>
        <v>High Balance</v>
      </c>
      <c r="P2372" t="str">
        <f t="shared" si="151"/>
        <v>New</v>
      </c>
    </row>
    <row r="2373" spans="1:16" x14ac:dyDescent="0.25">
      <c r="A2373">
        <v>2025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  <c r="M2373" t="str">
        <f t="shared" si="148"/>
        <v>&lt;30</v>
      </c>
      <c r="N2373" t="str">
        <f t="shared" si="149"/>
        <v>High</v>
      </c>
      <c r="O2373" t="str">
        <f t="shared" si="150"/>
        <v>Low Balance</v>
      </c>
      <c r="P2373" t="str">
        <f t="shared" si="151"/>
        <v>Long-term</v>
      </c>
    </row>
    <row r="2374" spans="1:16" x14ac:dyDescent="0.25">
      <c r="A2374">
        <v>2025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  <c r="M2374" t="str">
        <f t="shared" si="148"/>
        <v>30-45</v>
      </c>
      <c r="N2374" t="str">
        <f t="shared" si="149"/>
        <v>High</v>
      </c>
      <c r="O2374" t="str">
        <f t="shared" si="150"/>
        <v>High Balance</v>
      </c>
      <c r="P2374" t="str">
        <f t="shared" si="151"/>
        <v>New</v>
      </c>
    </row>
    <row r="2375" spans="1:16" x14ac:dyDescent="0.25">
      <c r="A2375">
        <v>2025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  <c r="M2375" t="str">
        <f t="shared" si="148"/>
        <v>30-45</v>
      </c>
      <c r="N2375" t="str">
        <f t="shared" si="149"/>
        <v>Medium</v>
      </c>
      <c r="O2375" t="str">
        <f t="shared" si="150"/>
        <v>Low Balance</v>
      </c>
      <c r="P2375" t="str">
        <f t="shared" si="151"/>
        <v>New</v>
      </c>
    </row>
    <row r="2376" spans="1:16" x14ac:dyDescent="0.25">
      <c r="A2376">
        <v>2025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  <c r="M2376" t="str">
        <f t="shared" si="148"/>
        <v>&lt;30</v>
      </c>
      <c r="N2376" t="str">
        <f t="shared" si="149"/>
        <v>Medium</v>
      </c>
      <c r="O2376" t="str">
        <f t="shared" si="150"/>
        <v>High Balance</v>
      </c>
      <c r="P2376" t="str">
        <f t="shared" si="151"/>
        <v>Mid-term</v>
      </c>
    </row>
    <row r="2377" spans="1:16" x14ac:dyDescent="0.25">
      <c r="A2377">
        <v>2025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  <c r="M2377" t="str">
        <f t="shared" si="148"/>
        <v>30-45</v>
      </c>
      <c r="N2377" t="str">
        <f t="shared" si="149"/>
        <v>High</v>
      </c>
      <c r="O2377" t="str">
        <f t="shared" si="150"/>
        <v>Zero Balance</v>
      </c>
      <c r="P2377" t="str">
        <f t="shared" si="151"/>
        <v>Mid-term</v>
      </c>
    </row>
    <row r="2378" spans="1:16" x14ac:dyDescent="0.25">
      <c r="A2378">
        <v>2025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  <c r="M2378" t="str">
        <f t="shared" si="148"/>
        <v>30-45</v>
      </c>
      <c r="N2378" t="str">
        <f t="shared" si="149"/>
        <v>High</v>
      </c>
      <c r="O2378" t="str">
        <f t="shared" si="150"/>
        <v>Zero Balance</v>
      </c>
      <c r="P2378" t="str">
        <f t="shared" si="151"/>
        <v>Long-term</v>
      </c>
    </row>
    <row r="2379" spans="1:16" x14ac:dyDescent="0.25">
      <c r="A2379">
        <v>2025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  <c r="M2379" t="str">
        <f t="shared" si="148"/>
        <v>46-60</v>
      </c>
      <c r="N2379" t="str">
        <f t="shared" si="149"/>
        <v>Medium</v>
      </c>
      <c r="O2379" t="str">
        <f t="shared" si="150"/>
        <v>Low Balance</v>
      </c>
      <c r="P2379" t="str">
        <f t="shared" si="151"/>
        <v>Long-term</v>
      </c>
    </row>
    <row r="2380" spans="1:16" x14ac:dyDescent="0.25">
      <c r="A2380">
        <v>2025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  <c r="M2380" t="str">
        <f t="shared" si="148"/>
        <v>30-45</v>
      </c>
      <c r="N2380" t="str">
        <f t="shared" si="149"/>
        <v>Medium</v>
      </c>
      <c r="O2380" t="str">
        <f t="shared" si="150"/>
        <v>Low Balance</v>
      </c>
      <c r="P2380" t="str">
        <f t="shared" si="151"/>
        <v>Mid-term</v>
      </c>
    </row>
    <row r="2381" spans="1:16" x14ac:dyDescent="0.25">
      <c r="A2381">
        <v>2025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  <c r="M2381" t="str">
        <f t="shared" si="148"/>
        <v>&lt;30</v>
      </c>
      <c r="N2381" t="str">
        <f t="shared" si="149"/>
        <v>Medium</v>
      </c>
      <c r="O2381" t="str">
        <f t="shared" si="150"/>
        <v>Low Balance</v>
      </c>
      <c r="P2381" t="str">
        <f t="shared" si="151"/>
        <v>Long-term</v>
      </c>
    </row>
    <row r="2382" spans="1:16" x14ac:dyDescent="0.25">
      <c r="A2382">
        <v>2025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  <c r="M2382" t="str">
        <f t="shared" si="148"/>
        <v>30-45</v>
      </c>
      <c r="N2382" t="str">
        <f t="shared" si="149"/>
        <v>High</v>
      </c>
      <c r="O2382" t="str">
        <f t="shared" si="150"/>
        <v>Zero Balance</v>
      </c>
      <c r="P2382" t="str">
        <f t="shared" si="151"/>
        <v>Mid-term</v>
      </c>
    </row>
    <row r="2383" spans="1:16" x14ac:dyDescent="0.25">
      <c r="A2383">
        <v>2025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  <c r="M2383" t="str">
        <f t="shared" si="148"/>
        <v>30-45</v>
      </c>
      <c r="N2383" t="str">
        <f t="shared" si="149"/>
        <v>Medium</v>
      </c>
      <c r="O2383" t="str">
        <f t="shared" si="150"/>
        <v>High Balance</v>
      </c>
      <c r="P2383" t="str">
        <f t="shared" si="151"/>
        <v>Mid-term</v>
      </c>
    </row>
    <row r="2384" spans="1:16" x14ac:dyDescent="0.25">
      <c r="A2384">
        <v>2025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  <c r="M2384" t="str">
        <f t="shared" si="148"/>
        <v>30-45</v>
      </c>
      <c r="N2384" t="str">
        <f t="shared" si="149"/>
        <v>Medium</v>
      </c>
      <c r="O2384" t="str">
        <f t="shared" si="150"/>
        <v>High Balance</v>
      </c>
      <c r="P2384" t="str">
        <f t="shared" si="151"/>
        <v>New</v>
      </c>
    </row>
    <row r="2385" spans="1:16" x14ac:dyDescent="0.25">
      <c r="A2385">
        <v>2025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  <c r="M2385" t="str">
        <f t="shared" si="148"/>
        <v>30-45</v>
      </c>
      <c r="N2385" t="str">
        <f t="shared" si="149"/>
        <v>Medium</v>
      </c>
      <c r="O2385" t="str">
        <f t="shared" si="150"/>
        <v>High Balance</v>
      </c>
      <c r="P2385" t="str">
        <f t="shared" si="151"/>
        <v>Long-term</v>
      </c>
    </row>
    <row r="2386" spans="1:16" x14ac:dyDescent="0.25">
      <c r="A2386">
        <v>2025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  <c r="M2386" t="str">
        <f t="shared" si="148"/>
        <v>30-45</v>
      </c>
      <c r="N2386" t="str">
        <f t="shared" si="149"/>
        <v>High</v>
      </c>
      <c r="O2386" t="str">
        <f t="shared" si="150"/>
        <v>Zero Balance</v>
      </c>
      <c r="P2386" t="str">
        <f t="shared" si="151"/>
        <v>Long-term</v>
      </c>
    </row>
    <row r="2387" spans="1:16" x14ac:dyDescent="0.25">
      <c r="A2387">
        <v>2025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  <c r="M2387" t="str">
        <f t="shared" si="148"/>
        <v>&lt;30</v>
      </c>
      <c r="N2387" t="str">
        <f t="shared" si="149"/>
        <v>Medium</v>
      </c>
      <c r="O2387" t="str">
        <f t="shared" si="150"/>
        <v>High Balance</v>
      </c>
      <c r="P2387" t="str">
        <f t="shared" si="151"/>
        <v>Mid-term</v>
      </c>
    </row>
    <row r="2388" spans="1:16" x14ac:dyDescent="0.25">
      <c r="A2388">
        <v>2025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  <c r="M2388" t="str">
        <f t="shared" si="148"/>
        <v>46-60</v>
      </c>
      <c r="N2388" t="str">
        <f t="shared" si="149"/>
        <v>Medium</v>
      </c>
      <c r="O2388" t="str">
        <f t="shared" si="150"/>
        <v>High Balance</v>
      </c>
      <c r="P2388" t="str">
        <f t="shared" si="151"/>
        <v>Mid-term</v>
      </c>
    </row>
    <row r="2389" spans="1:16" x14ac:dyDescent="0.25">
      <c r="A2389">
        <v>2025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  <c r="M2389" t="str">
        <f t="shared" si="148"/>
        <v>30-45</v>
      </c>
      <c r="N2389" t="str">
        <f t="shared" si="149"/>
        <v>High</v>
      </c>
      <c r="O2389" t="str">
        <f t="shared" si="150"/>
        <v>Zero Balance</v>
      </c>
      <c r="P2389" t="str">
        <f t="shared" si="151"/>
        <v>Mid-term</v>
      </c>
    </row>
    <row r="2390" spans="1:16" x14ac:dyDescent="0.25">
      <c r="A2390">
        <v>2025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  <c r="M2390" t="str">
        <f t="shared" si="148"/>
        <v>30-45</v>
      </c>
      <c r="N2390" t="str">
        <f t="shared" si="149"/>
        <v>High</v>
      </c>
      <c r="O2390" t="str">
        <f t="shared" si="150"/>
        <v>Low Balance</v>
      </c>
      <c r="P2390" t="str">
        <f t="shared" si="151"/>
        <v>Mid-term</v>
      </c>
    </row>
    <row r="2391" spans="1:16" x14ac:dyDescent="0.25">
      <c r="A2391">
        <v>2025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  <c r="M2391" t="str">
        <f t="shared" si="148"/>
        <v>30-45</v>
      </c>
      <c r="N2391" t="str">
        <f t="shared" si="149"/>
        <v>Medium</v>
      </c>
      <c r="O2391" t="str">
        <f t="shared" si="150"/>
        <v>Low Balance</v>
      </c>
      <c r="P2391" t="str">
        <f t="shared" si="151"/>
        <v>New</v>
      </c>
    </row>
    <row r="2392" spans="1:16" x14ac:dyDescent="0.25">
      <c r="A2392">
        <v>2025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  <c r="M2392" t="str">
        <f t="shared" si="148"/>
        <v>30-45</v>
      </c>
      <c r="N2392" t="str">
        <f t="shared" si="149"/>
        <v>Medium</v>
      </c>
      <c r="O2392" t="str">
        <f t="shared" si="150"/>
        <v>High Balance</v>
      </c>
      <c r="P2392" t="str">
        <f t="shared" si="151"/>
        <v>Mid-term</v>
      </c>
    </row>
    <row r="2393" spans="1:16" x14ac:dyDescent="0.25">
      <c r="A2393">
        <v>2025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  <c r="M2393" t="str">
        <f t="shared" si="148"/>
        <v>30-45</v>
      </c>
      <c r="N2393" t="str">
        <f t="shared" si="149"/>
        <v>High</v>
      </c>
      <c r="O2393" t="str">
        <f t="shared" si="150"/>
        <v>Zero Balance</v>
      </c>
      <c r="P2393" t="str">
        <f t="shared" si="151"/>
        <v>New</v>
      </c>
    </row>
    <row r="2394" spans="1:16" x14ac:dyDescent="0.25">
      <c r="A2394">
        <v>2025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  <c r="M2394" t="str">
        <f t="shared" si="148"/>
        <v>46-60</v>
      </c>
      <c r="N2394" t="str">
        <f t="shared" si="149"/>
        <v>Medium</v>
      </c>
      <c r="O2394" t="str">
        <f t="shared" si="150"/>
        <v>Zero Balance</v>
      </c>
      <c r="P2394" t="str">
        <f t="shared" si="151"/>
        <v>Mid-term</v>
      </c>
    </row>
    <row r="2395" spans="1:16" x14ac:dyDescent="0.25">
      <c r="A2395">
        <v>2025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  <c r="M2395" t="str">
        <f t="shared" si="148"/>
        <v>&lt;30</v>
      </c>
      <c r="N2395" t="str">
        <f t="shared" si="149"/>
        <v>High</v>
      </c>
      <c r="O2395" t="str">
        <f t="shared" si="150"/>
        <v>High Balance</v>
      </c>
      <c r="P2395" t="str">
        <f t="shared" si="151"/>
        <v>Mid-term</v>
      </c>
    </row>
    <row r="2396" spans="1:16" x14ac:dyDescent="0.25">
      <c r="A2396">
        <v>2025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  <c r="M2396" t="str">
        <f t="shared" si="148"/>
        <v>30-45</v>
      </c>
      <c r="N2396" t="str">
        <f t="shared" si="149"/>
        <v>Medium</v>
      </c>
      <c r="O2396" t="str">
        <f t="shared" si="150"/>
        <v>Zero Balance</v>
      </c>
      <c r="P2396" t="str">
        <f t="shared" si="151"/>
        <v>Long-term</v>
      </c>
    </row>
    <row r="2397" spans="1:16" x14ac:dyDescent="0.25">
      <c r="A2397">
        <v>2025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  <c r="M2397" t="str">
        <f t="shared" si="148"/>
        <v>46-60</v>
      </c>
      <c r="N2397" t="str">
        <f t="shared" si="149"/>
        <v>Medium</v>
      </c>
      <c r="O2397" t="str">
        <f t="shared" si="150"/>
        <v>High Balance</v>
      </c>
      <c r="P2397" t="str">
        <f t="shared" si="151"/>
        <v>Long-term</v>
      </c>
    </row>
    <row r="2398" spans="1:16" x14ac:dyDescent="0.25">
      <c r="A2398">
        <v>2025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  <c r="M2398" t="str">
        <f t="shared" si="148"/>
        <v>&lt;30</v>
      </c>
      <c r="N2398" t="str">
        <f t="shared" si="149"/>
        <v>Medium</v>
      </c>
      <c r="O2398" t="str">
        <f t="shared" si="150"/>
        <v>Zero Balance</v>
      </c>
      <c r="P2398" t="str">
        <f t="shared" si="151"/>
        <v>New</v>
      </c>
    </row>
    <row r="2399" spans="1:16" x14ac:dyDescent="0.25">
      <c r="A2399">
        <v>2025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  <c r="M2399" t="str">
        <f t="shared" si="148"/>
        <v>30-45</v>
      </c>
      <c r="N2399" t="str">
        <f t="shared" si="149"/>
        <v>Medium</v>
      </c>
      <c r="O2399" t="str">
        <f t="shared" si="150"/>
        <v>Zero Balance</v>
      </c>
      <c r="P2399" t="str">
        <f t="shared" si="151"/>
        <v>Long-term</v>
      </c>
    </row>
    <row r="2400" spans="1:16" x14ac:dyDescent="0.25">
      <c r="A2400">
        <v>2025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  <c r="M2400" t="str">
        <f t="shared" si="148"/>
        <v>30-45</v>
      </c>
      <c r="N2400" t="str">
        <f t="shared" si="149"/>
        <v>High</v>
      </c>
      <c r="O2400" t="str">
        <f t="shared" si="150"/>
        <v>Low Balance</v>
      </c>
      <c r="P2400" t="str">
        <f t="shared" si="151"/>
        <v>Long-term</v>
      </c>
    </row>
    <row r="2401" spans="1:16" x14ac:dyDescent="0.25">
      <c r="A2401">
        <v>2025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  <c r="M2401" t="str">
        <f t="shared" si="148"/>
        <v>46-60</v>
      </c>
      <c r="N2401" t="str">
        <f t="shared" si="149"/>
        <v>Medium</v>
      </c>
      <c r="O2401" t="str">
        <f t="shared" si="150"/>
        <v>Low Balance</v>
      </c>
      <c r="P2401" t="str">
        <f t="shared" si="151"/>
        <v>Mid-term</v>
      </c>
    </row>
    <row r="2402" spans="1:16" x14ac:dyDescent="0.25">
      <c r="A2402">
        <v>2025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  <c r="M2402" t="str">
        <f t="shared" si="148"/>
        <v>30-45</v>
      </c>
      <c r="N2402" t="str">
        <f t="shared" si="149"/>
        <v>High</v>
      </c>
      <c r="O2402" t="str">
        <f t="shared" si="150"/>
        <v>High Balance</v>
      </c>
      <c r="P2402" t="str">
        <f t="shared" si="151"/>
        <v>Mid-term</v>
      </c>
    </row>
    <row r="2403" spans="1:16" x14ac:dyDescent="0.25">
      <c r="A2403">
        <v>2025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  <c r="M2403" t="str">
        <f t="shared" si="148"/>
        <v>30-45</v>
      </c>
      <c r="N2403" t="str">
        <f t="shared" si="149"/>
        <v>Medium</v>
      </c>
      <c r="O2403" t="str">
        <f t="shared" si="150"/>
        <v>Zero Balance</v>
      </c>
      <c r="P2403" t="str">
        <f t="shared" si="151"/>
        <v>New</v>
      </c>
    </row>
    <row r="2404" spans="1:16" x14ac:dyDescent="0.25">
      <c r="A2404">
        <v>2025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  <c r="M2404" t="str">
        <f t="shared" si="148"/>
        <v>30-45</v>
      </c>
      <c r="N2404" t="str">
        <f t="shared" si="149"/>
        <v>Medium</v>
      </c>
      <c r="O2404" t="str">
        <f t="shared" si="150"/>
        <v>Low Balance</v>
      </c>
      <c r="P2404" t="str">
        <f t="shared" si="151"/>
        <v>New</v>
      </c>
    </row>
    <row r="2405" spans="1:16" x14ac:dyDescent="0.25">
      <c r="A2405">
        <v>2025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  <c r="M2405" t="str">
        <f t="shared" si="148"/>
        <v>&lt;30</v>
      </c>
      <c r="N2405" t="str">
        <f t="shared" si="149"/>
        <v>Medium</v>
      </c>
      <c r="O2405" t="str">
        <f t="shared" si="150"/>
        <v>Low Balance</v>
      </c>
      <c r="P2405" t="str">
        <f t="shared" si="151"/>
        <v>Mid-term</v>
      </c>
    </row>
    <row r="2406" spans="1:16" x14ac:dyDescent="0.25">
      <c r="A2406">
        <v>2025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  <c r="M2406" t="str">
        <f t="shared" si="148"/>
        <v>30-45</v>
      </c>
      <c r="N2406" t="str">
        <f t="shared" si="149"/>
        <v>Medium</v>
      </c>
      <c r="O2406" t="str">
        <f t="shared" si="150"/>
        <v>High Balance</v>
      </c>
      <c r="P2406" t="str">
        <f t="shared" si="151"/>
        <v>Long-term</v>
      </c>
    </row>
    <row r="2407" spans="1:16" x14ac:dyDescent="0.25">
      <c r="A2407">
        <v>2025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  <c r="M2407" t="str">
        <f t="shared" si="148"/>
        <v>30-45</v>
      </c>
      <c r="N2407" t="str">
        <f t="shared" si="149"/>
        <v>Medium</v>
      </c>
      <c r="O2407" t="str">
        <f t="shared" si="150"/>
        <v>Zero Balance</v>
      </c>
      <c r="P2407" t="str">
        <f t="shared" si="151"/>
        <v>Long-term</v>
      </c>
    </row>
    <row r="2408" spans="1:16" x14ac:dyDescent="0.25">
      <c r="A2408">
        <v>2025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  <c r="M2408" t="str">
        <f t="shared" si="148"/>
        <v>30-45</v>
      </c>
      <c r="N2408" t="str">
        <f t="shared" si="149"/>
        <v>High</v>
      </c>
      <c r="O2408" t="str">
        <f t="shared" si="150"/>
        <v>Low Balance</v>
      </c>
      <c r="P2408" t="str">
        <f t="shared" si="151"/>
        <v>Long-term</v>
      </c>
    </row>
    <row r="2409" spans="1:16" x14ac:dyDescent="0.25">
      <c r="A2409">
        <v>2025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  <c r="M2409" t="str">
        <f t="shared" si="148"/>
        <v>30-45</v>
      </c>
      <c r="N2409" t="str">
        <f t="shared" si="149"/>
        <v>High</v>
      </c>
      <c r="O2409" t="str">
        <f t="shared" si="150"/>
        <v>High Balance</v>
      </c>
      <c r="P2409" t="str">
        <f t="shared" si="151"/>
        <v>New</v>
      </c>
    </row>
    <row r="2410" spans="1:16" x14ac:dyDescent="0.25">
      <c r="A2410">
        <v>2025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  <c r="M2410" t="str">
        <f t="shared" si="148"/>
        <v>46-60</v>
      </c>
      <c r="N2410" t="str">
        <f t="shared" si="149"/>
        <v>Medium</v>
      </c>
      <c r="O2410" t="str">
        <f t="shared" si="150"/>
        <v>Zero Balance</v>
      </c>
      <c r="P2410" t="str">
        <f t="shared" si="151"/>
        <v>Mid-term</v>
      </c>
    </row>
    <row r="2411" spans="1:16" x14ac:dyDescent="0.25">
      <c r="A2411">
        <v>2025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  <c r="M2411" t="str">
        <f t="shared" si="148"/>
        <v>30-45</v>
      </c>
      <c r="N2411" t="str">
        <f t="shared" si="149"/>
        <v>Medium</v>
      </c>
      <c r="O2411" t="str">
        <f t="shared" si="150"/>
        <v>High Balance</v>
      </c>
      <c r="P2411" t="str">
        <f t="shared" si="151"/>
        <v>New</v>
      </c>
    </row>
    <row r="2412" spans="1:16" x14ac:dyDescent="0.25">
      <c r="A2412">
        <v>2025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  <c r="M2412" t="str">
        <f t="shared" si="148"/>
        <v>30-45</v>
      </c>
      <c r="N2412" t="str">
        <f t="shared" si="149"/>
        <v>Medium</v>
      </c>
      <c r="O2412" t="str">
        <f t="shared" si="150"/>
        <v>High Balance</v>
      </c>
      <c r="P2412" t="str">
        <f t="shared" si="151"/>
        <v>New</v>
      </c>
    </row>
    <row r="2413" spans="1:16" x14ac:dyDescent="0.25">
      <c r="A2413">
        <v>2025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  <c r="M2413" t="str">
        <f t="shared" si="148"/>
        <v>30-45</v>
      </c>
      <c r="N2413" t="str">
        <f t="shared" si="149"/>
        <v>Medium</v>
      </c>
      <c r="O2413" t="str">
        <f t="shared" si="150"/>
        <v>High Balance</v>
      </c>
      <c r="P2413" t="str">
        <f t="shared" si="151"/>
        <v>Long-term</v>
      </c>
    </row>
    <row r="2414" spans="1:16" x14ac:dyDescent="0.25">
      <c r="A2414">
        <v>2025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  <c r="M2414" t="str">
        <f t="shared" si="148"/>
        <v>30-45</v>
      </c>
      <c r="N2414" t="str">
        <f t="shared" si="149"/>
        <v>High</v>
      </c>
      <c r="O2414" t="str">
        <f t="shared" si="150"/>
        <v>Zero Balance</v>
      </c>
      <c r="P2414" t="str">
        <f t="shared" si="151"/>
        <v>New</v>
      </c>
    </row>
    <row r="2415" spans="1:16" x14ac:dyDescent="0.25">
      <c r="A2415">
        <v>2025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  <c r="M2415" t="str">
        <f t="shared" si="148"/>
        <v>&lt;30</v>
      </c>
      <c r="N2415" t="str">
        <f t="shared" si="149"/>
        <v>High</v>
      </c>
      <c r="O2415" t="str">
        <f t="shared" si="150"/>
        <v>High Balance</v>
      </c>
      <c r="P2415" t="str">
        <f t="shared" si="151"/>
        <v>Long-term</v>
      </c>
    </row>
    <row r="2416" spans="1:16" x14ac:dyDescent="0.25">
      <c r="A2416">
        <v>2025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  <c r="M2416" t="str">
        <f t="shared" si="148"/>
        <v>46-60</v>
      </c>
      <c r="N2416" t="str">
        <f t="shared" si="149"/>
        <v>Medium</v>
      </c>
      <c r="O2416" t="str">
        <f t="shared" si="150"/>
        <v>Zero Balance</v>
      </c>
      <c r="P2416" t="str">
        <f t="shared" si="151"/>
        <v>Long-term</v>
      </c>
    </row>
    <row r="2417" spans="1:16" x14ac:dyDescent="0.25">
      <c r="A2417">
        <v>2025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  <c r="M2417" t="str">
        <f t="shared" si="148"/>
        <v>30-45</v>
      </c>
      <c r="N2417" t="str">
        <f t="shared" si="149"/>
        <v>High</v>
      </c>
      <c r="O2417" t="str">
        <f t="shared" si="150"/>
        <v>Low Balance</v>
      </c>
      <c r="P2417" t="str">
        <f t="shared" si="151"/>
        <v>Mid-term</v>
      </c>
    </row>
    <row r="2418" spans="1:16" x14ac:dyDescent="0.25">
      <c r="A2418">
        <v>2025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  <c r="M2418" t="str">
        <f t="shared" si="148"/>
        <v>46-60</v>
      </c>
      <c r="N2418" t="str">
        <f t="shared" si="149"/>
        <v>High</v>
      </c>
      <c r="O2418" t="str">
        <f t="shared" si="150"/>
        <v>High Balance</v>
      </c>
      <c r="P2418" t="str">
        <f t="shared" si="151"/>
        <v>Long-term</v>
      </c>
    </row>
    <row r="2419" spans="1:16" x14ac:dyDescent="0.25">
      <c r="A2419">
        <v>2025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  <c r="M2419" t="str">
        <f t="shared" si="148"/>
        <v>30-45</v>
      </c>
      <c r="N2419" t="str">
        <f t="shared" si="149"/>
        <v>High</v>
      </c>
      <c r="O2419" t="str">
        <f t="shared" si="150"/>
        <v>High Balance</v>
      </c>
      <c r="P2419" t="str">
        <f t="shared" si="151"/>
        <v>Long-term</v>
      </c>
    </row>
    <row r="2420" spans="1:16" x14ac:dyDescent="0.25">
      <c r="A2420">
        <v>2025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  <c r="M2420" t="str">
        <f t="shared" si="148"/>
        <v>30-45</v>
      </c>
      <c r="N2420" t="str">
        <f t="shared" si="149"/>
        <v>Medium</v>
      </c>
      <c r="O2420" t="str">
        <f t="shared" si="150"/>
        <v>Zero Balance</v>
      </c>
      <c r="P2420" t="str">
        <f t="shared" si="151"/>
        <v>Mid-term</v>
      </c>
    </row>
    <row r="2421" spans="1:16" x14ac:dyDescent="0.25">
      <c r="A2421">
        <v>2025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  <c r="M2421" t="str">
        <f t="shared" si="148"/>
        <v>46-60</v>
      </c>
      <c r="N2421" t="str">
        <f t="shared" si="149"/>
        <v>Medium</v>
      </c>
      <c r="O2421" t="str">
        <f t="shared" si="150"/>
        <v>High Balance</v>
      </c>
      <c r="P2421" t="str">
        <f t="shared" si="151"/>
        <v>New</v>
      </c>
    </row>
    <row r="2422" spans="1:16" x14ac:dyDescent="0.25">
      <c r="A2422">
        <v>2025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  <c r="M2422" t="str">
        <f t="shared" si="148"/>
        <v>46-60</v>
      </c>
      <c r="N2422" t="str">
        <f t="shared" si="149"/>
        <v>Medium</v>
      </c>
      <c r="O2422" t="str">
        <f t="shared" si="150"/>
        <v>Low Balance</v>
      </c>
      <c r="P2422" t="str">
        <f t="shared" si="151"/>
        <v>Mid-term</v>
      </c>
    </row>
    <row r="2423" spans="1:16" x14ac:dyDescent="0.25">
      <c r="A2423">
        <v>2025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  <c r="M2423" t="str">
        <f t="shared" si="148"/>
        <v>&lt;30</v>
      </c>
      <c r="N2423" t="str">
        <f t="shared" si="149"/>
        <v>Medium</v>
      </c>
      <c r="O2423" t="str">
        <f t="shared" si="150"/>
        <v>High Balance</v>
      </c>
      <c r="P2423" t="str">
        <f t="shared" si="151"/>
        <v>New</v>
      </c>
    </row>
    <row r="2424" spans="1:16" x14ac:dyDescent="0.25">
      <c r="A2424">
        <v>2025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  <c r="M2424" t="str">
        <f t="shared" si="148"/>
        <v>&lt;30</v>
      </c>
      <c r="N2424" t="str">
        <f t="shared" si="149"/>
        <v>High</v>
      </c>
      <c r="O2424" t="str">
        <f t="shared" si="150"/>
        <v>High Balance</v>
      </c>
      <c r="P2424" t="str">
        <f t="shared" si="151"/>
        <v>Mid-term</v>
      </c>
    </row>
    <row r="2425" spans="1:16" x14ac:dyDescent="0.25">
      <c r="A2425">
        <v>2025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  <c r="M2425" t="str">
        <f t="shared" si="148"/>
        <v>&lt;30</v>
      </c>
      <c r="N2425" t="str">
        <f t="shared" si="149"/>
        <v>Medium</v>
      </c>
      <c r="O2425" t="str">
        <f t="shared" si="150"/>
        <v>Zero Balance</v>
      </c>
      <c r="P2425" t="str">
        <f t="shared" si="151"/>
        <v>Long-term</v>
      </c>
    </row>
    <row r="2426" spans="1:16" x14ac:dyDescent="0.25">
      <c r="A2426">
        <v>2025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  <c r="M2426" t="str">
        <f t="shared" si="148"/>
        <v>30-45</v>
      </c>
      <c r="N2426" t="str">
        <f t="shared" si="149"/>
        <v>Medium</v>
      </c>
      <c r="O2426" t="str">
        <f t="shared" si="150"/>
        <v>Zero Balance</v>
      </c>
      <c r="P2426" t="str">
        <f t="shared" si="151"/>
        <v>New</v>
      </c>
    </row>
    <row r="2427" spans="1:16" x14ac:dyDescent="0.25">
      <c r="A2427">
        <v>2025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  <c r="M2427" t="str">
        <f t="shared" si="148"/>
        <v>30-45</v>
      </c>
      <c r="N2427" t="str">
        <f t="shared" si="149"/>
        <v>Medium</v>
      </c>
      <c r="O2427" t="str">
        <f t="shared" si="150"/>
        <v>High Balance</v>
      </c>
      <c r="P2427" t="str">
        <f t="shared" si="151"/>
        <v>Mid-term</v>
      </c>
    </row>
    <row r="2428" spans="1:16" x14ac:dyDescent="0.25">
      <c r="A2428">
        <v>2025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  <c r="M2428" t="str">
        <f t="shared" si="148"/>
        <v>30-45</v>
      </c>
      <c r="N2428" t="str">
        <f t="shared" si="149"/>
        <v>High</v>
      </c>
      <c r="O2428" t="str">
        <f t="shared" si="150"/>
        <v>High Balance</v>
      </c>
      <c r="P2428" t="str">
        <f t="shared" si="151"/>
        <v>New</v>
      </c>
    </row>
    <row r="2429" spans="1:16" x14ac:dyDescent="0.25">
      <c r="A2429">
        <v>2025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  <c r="M2429" t="str">
        <f t="shared" si="148"/>
        <v>46-60</v>
      </c>
      <c r="N2429" t="str">
        <f t="shared" si="149"/>
        <v>High</v>
      </c>
      <c r="O2429" t="str">
        <f t="shared" si="150"/>
        <v>High Balance</v>
      </c>
      <c r="P2429" t="str">
        <f t="shared" si="151"/>
        <v>Mid-term</v>
      </c>
    </row>
    <row r="2430" spans="1:16" x14ac:dyDescent="0.25">
      <c r="A2430">
        <v>2025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  <c r="M2430" t="str">
        <f t="shared" si="148"/>
        <v>30-45</v>
      </c>
      <c r="N2430" t="str">
        <f t="shared" si="149"/>
        <v>Medium</v>
      </c>
      <c r="O2430" t="str">
        <f t="shared" si="150"/>
        <v>High Balance</v>
      </c>
      <c r="P2430" t="str">
        <f t="shared" si="151"/>
        <v>New</v>
      </c>
    </row>
    <row r="2431" spans="1:16" x14ac:dyDescent="0.25">
      <c r="A2431">
        <v>2025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  <c r="M2431" t="str">
        <f t="shared" si="148"/>
        <v>30-45</v>
      </c>
      <c r="N2431" t="str">
        <f t="shared" si="149"/>
        <v>High</v>
      </c>
      <c r="O2431" t="str">
        <f t="shared" si="150"/>
        <v>Zero Balance</v>
      </c>
      <c r="P2431" t="str">
        <f t="shared" si="151"/>
        <v>Long-term</v>
      </c>
    </row>
    <row r="2432" spans="1:16" x14ac:dyDescent="0.25">
      <c r="A2432">
        <v>2025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  <c r="M2432" t="str">
        <f t="shared" si="148"/>
        <v>30-45</v>
      </c>
      <c r="N2432" t="str">
        <f t="shared" si="149"/>
        <v>High</v>
      </c>
      <c r="O2432" t="str">
        <f t="shared" si="150"/>
        <v>Low Balance</v>
      </c>
      <c r="P2432" t="str">
        <f t="shared" si="151"/>
        <v>Mid-term</v>
      </c>
    </row>
    <row r="2433" spans="1:16" x14ac:dyDescent="0.25">
      <c r="A2433">
        <v>2025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  <c r="M2433" t="str">
        <f t="shared" si="148"/>
        <v>&lt;30</v>
      </c>
      <c r="N2433" t="str">
        <f t="shared" si="149"/>
        <v>Medium</v>
      </c>
      <c r="O2433" t="str">
        <f t="shared" si="150"/>
        <v>Zero Balance</v>
      </c>
      <c r="P2433" t="str">
        <f t="shared" si="151"/>
        <v>Mid-term</v>
      </c>
    </row>
    <row r="2434" spans="1:16" x14ac:dyDescent="0.25">
      <c r="A2434">
        <v>2025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  <c r="M2434" t="str">
        <f t="shared" si="148"/>
        <v>30-45</v>
      </c>
      <c r="N2434" t="str">
        <f t="shared" si="149"/>
        <v>Medium</v>
      </c>
      <c r="O2434" t="str">
        <f t="shared" si="150"/>
        <v>High Balance</v>
      </c>
      <c r="P2434" t="str">
        <f t="shared" si="151"/>
        <v>New</v>
      </c>
    </row>
    <row r="2435" spans="1:16" x14ac:dyDescent="0.25">
      <c r="A2435">
        <v>2025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  <c r="M2435" t="str">
        <f t="shared" ref="M2435:M2498" si="152">IF(E2435&lt;30,"&lt;30",IF(E2435&lt;=45,"30-45",IF(E2435&lt;=60,"46-60","60+")))</f>
        <v>60+</v>
      </c>
      <c r="N2435" t="str">
        <f t="shared" ref="N2435:N2498" si="153">IF(B2435&lt;500,"Low",IF(B2435&lt;700,"Medium","High"))</f>
        <v>High</v>
      </c>
      <c r="O2435" t="str">
        <f t="shared" ref="O2435:O2498" si="154">IF(G2435=0,"Zero Balance",IF(G2435&lt;100000,"Low Balance","High Balance"))</f>
        <v>High Balance</v>
      </c>
      <c r="P2435" t="str">
        <f t="shared" ref="P2435:P2498" si="155">IF(F2435&lt;=3,"New",IF(F2435&lt;=7,"Mid-term","Long-term"))</f>
        <v>Mid-term</v>
      </c>
    </row>
    <row r="2436" spans="1:16" x14ac:dyDescent="0.25">
      <c r="A2436">
        <v>2025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  <c r="M2436" t="str">
        <f t="shared" si="152"/>
        <v>46-60</v>
      </c>
      <c r="N2436" t="str">
        <f t="shared" si="153"/>
        <v>High</v>
      </c>
      <c r="O2436" t="str">
        <f t="shared" si="154"/>
        <v>Low Balance</v>
      </c>
      <c r="P2436" t="str">
        <f t="shared" si="155"/>
        <v>New</v>
      </c>
    </row>
    <row r="2437" spans="1:16" x14ac:dyDescent="0.25">
      <c r="A2437">
        <v>2025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  <c r="M2437" t="str">
        <f t="shared" si="152"/>
        <v>30-45</v>
      </c>
      <c r="N2437" t="str">
        <f t="shared" si="153"/>
        <v>Medium</v>
      </c>
      <c r="O2437" t="str">
        <f t="shared" si="154"/>
        <v>High Balance</v>
      </c>
      <c r="P2437" t="str">
        <f t="shared" si="155"/>
        <v>Long-term</v>
      </c>
    </row>
    <row r="2438" spans="1:16" x14ac:dyDescent="0.25">
      <c r="A2438">
        <v>2025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  <c r="M2438" t="str">
        <f t="shared" si="152"/>
        <v>30-45</v>
      </c>
      <c r="N2438" t="str">
        <f t="shared" si="153"/>
        <v>High</v>
      </c>
      <c r="O2438" t="str">
        <f t="shared" si="154"/>
        <v>Zero Balance</v>
      </c>
      <c r="P2438" t="str">
        <f t="shared" si="155"/>
        <v>Mid-term</v>
      </c>
    </row>
    <row r="2439" spans="1:16" x14ac:dyDescent="0.25">
      <c r="A2439">
        <v>2025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  <c r="M2439" t="str">
        <f t="shared" si="152"/>
        <v>30-45</v>
      </c>
      <c r="N2439" t="str">
        <f t="shared" si="153"/>
        <v>Medium</v>
      </c>
      <c r="O2439" t="str">
        <f t="shared" si="154"/>
        <v>Zero Balance</v>
      </c>
      <c r="P2439" t="str">
        <f t="shared" si="155"/>
        <v>Long-term</v>
      </c>
    </row>
    <row r="2440" spans="1:16" x14ac:dyDescent="0.25">
      <c r="A2440">
        <v>2025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  <c r="M2440" t="str">
        <f t="shared" si="152"/>
        <v>60+</v>
      </c>
      <c r="N2440" t="str">
        <f t="shared" si="153"/>
        <v>Medium</v>
      </c>
      <c r="O2440" t="str">
        <f t="shared" si="154"/>
        <v>Low Balance</v>
      </c>
      <c r="P2440" t="str">
        <f t="shared" si="155"/>
        <v>New</v>
      </c>
    </row>
    <row r="2441" spans="1:16" x14ac:dyDescent="0.25">
      <c r="A2441">
        <v>2025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  <c r="M2441" t="str">
        <f t="shared" si="152"/>
        <v>30-45</v>
      </c>
      <c r="N2441" t="str">
        <f t="shared" si="153"/>
        <v>Medium</v>
      </c>
      <c r="O2441" t="str">
        <f t="shared" si="154"/>
        <v>Zero Balance</v>
      </c>
      <c r="P2441" t="str">
        <f t="shared" si="155"/>
        <v>Mid-term</v>
      </c>
    </row>
    <row r="2442" spans="1:16" x14ac:dyDescent="0.25">
      <c r="A2442">
        <v>2025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  <c r="M2442" t="str">
        <f t="shared" si="152"/>
        <v>46-60</v>
      </c>
      <c r="N2442" t="str">
        <f t="shared" si="153"/>
        <v>High</v>
      </c>
      <c r="O2442" t="str">
        <f t="shared" si="154"/>
        <v>Zero Balance</v>
      </c>
      <c r="P2442" t="str">
        <f t="shared" si="155"/>
        <v>Mid-term</v>
      </c>
    </row>
    <row r="2443" spans="1:16" x14ac:dyDescent="0.25">
      <c r="A2443">
        <v>2025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  <c r="M2443" t="str">
        <f t="shared" si="152"/>
        <v>&lt;30</v>
      </c>
      <c r="N2443" t="str">
        <f t="shared" si="153"/>
        <v>High</v>
      </c>
      <c r="O2443" t="str">
        <f t="shared" si="154"/>
        <v>Zero Balance</v>
      </c>
      <c r="P2443" t="str">
        <f t="shared" si="155"/>
        <v>Long-term</v>
      </c>
    </row>
    <row r="2444" spans="1:16" x14ac:dyDescent="0.25">
      <c r="A2444">
        <v>2025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  <c r="M2444" t="str">
        <f t="shared" si="152"/>
        <v>30-45</v>
      </c>
      <c r="N2444" t="str">
        <f t="shared" si="153"/>
        <v>Medium</v>
      </c>
      <c r="O2444" t="str">
        <f t="shared" si="154"/>
        <v>Zero Balance</v>
      </c>
      <c r="P2444" t="str">
        <f t="shared" si="155"/>
        <v>New</v>
      </c>
    </row>
    <row r="2445" spans="1:16" x14ac:dyDescent="0.25">
      <c r="A2445">
        <v>2025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  <c r="M2445" t="str">
        <f t="shared" si="152"/>
        <v>46-60</v>
      </c>
      <c r="N2445" t="str">
        <f t="shared" si="153"/>
        <v>Medium</v>
      </c>
      <c r="O2445" t="str">
        <f t="shared" si="154"/>
        <v>Zero Balance</v>
      </c>
      <c r="P2445" t="str">
        <f t="shared" si="155"/>
        <v>New</v>
      </c>
    </row>
    <row r="2446" spans="1:16" x14ac:dyDescent="0.25">
      <c r="A2446">
        <v>2025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  <c r="M2446" t="str">
        <f t="shared" si="152"/>
        <v>&lt;30</v>
      </c>
      <c r="N2446" t="str">
        <f t="shared" si="153"/>
        <v>Medium</v>
      </c>
      <c r="O2446" t="str">
        <f t="shared" si="154"/>
        <v>High Balance</v>
      </c>
      <c r="P2446" t="str">
        <f t="shared" si="155"/>
        <v>Mid-term</v>
      </c>
    </row>
    <row r="2447" spans="1:16" x14ac:dyDescent="0.25">
      <c r="A2447">
        <v>2025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  <c r="M2447" t="str">
        <f t="shared" si="152"/>
        <v>30-45</v>
      </c>
      <c r="N2447" t="str">
        <f t="shared" si="153"/>
        <v>Medium</v>
      </c>
      <c r="O2447" t="str">
        <f t="shared" si="154"/>
        <v>Low Balance</v>
      </c>
      <c r="P2447" t="str">
        <f t="shared" si="155"/>
        <v>Mid-term</v>
      </c>
    </row>
    <row r="2448" spans="1:16" x14ac:dyDescent="0.25">
      <c r="A2448">
        <v>2025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  <c r="M2448" t="str">
        <f t="shared" si="152"/>
        <v>46-60</v>
      </c>
      <c r="N2448" t="str">
        <f t="shared" si="153"/>
        <v>High</v>
      </c>
      <c r="O2448" t="str">
        <f t="shared" si="154"/>
        <v>Low Balance</v>
      </c>
      <c r="P2448" t="str">
        <f t="shared" si="155"/>
        <v>Long-term</v>
      </c>
    </row>
    <row r="2449" spans="1:16" x14ac:dyDescent="0.25">
      <c r="A2449">
        <v>2025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  <c r="M2449" t="str">
        <f t="shared" si="152"/>
        <v>&lt;30</v>
      </c>
      <c r="N2449" t="str">
        <f t="shared" si="153"/>
        <v>Medium</v>
      </c>
      <c r="O2449" t="str">
        <f t="shared" si="154"/>
        <v>Low Balance</v>
      </c>
      <c r="P2449" t="str">
        <f t="shared" si="155"/>
        <v>New</v>
      </c>
    </row>
    <row r="2450" spans="1:16" x14ac:dyDescent="0.25">
      <c r="A2450">
        <v>2025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  <c r="M2450" t="str">
        <f t="shared" si="152"/>
        <v>&lt;30</v>
      </c>
      <c r="N2450" t="str">
        <f t="shared" si="153"/>
        <v>High</v>
      </c>
      <c r="O2450" t="str">
        <f t="shared" si="154"/>
        <v>High Balance</v>
      </c>
      <c r="P2450" t="str">
        <f t="shared" si="155"/>
        <v>Long-term</v>
      </c>
    </row>
    <row r="2451" spans="1:16" x14ac:dyDescent="0.25">
      <c r="A2451">
        <v>2025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  <c r="M2451" t="str">
        <f t="shared" si="152"/>
        <v>46-60</v>
      </c>
      <c r="N2451" t="str">
        <f t="shared" si="153"/>
        <v>Medium</v>
      </c>
      <c r="O2451" t="str">
        <f t="shared" si="154"/>
        <v>High Balance</v>
      </c>
      <c r="P2451" t="str">
        <f t="shared" si="155"/>
        <v>Mid-term</v>
      </c>
    </row>
    <row r="2452" spans="1:16" x14ac:dyDescent="0.25">
      <c r="A2452">
        <v>2025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  <c r="M2452" t="str">
        <f t="shared" si="152"/>
        <v>46-60</v>
      </c>
      <c r="N2452" t="str">
        <f t="shared" si="153"/>
        <v>Medium</v>
      </c>
      <c r="O2452" t="str">
        <f t="shared" si="154"/>
        <v>High Balance</v>
      </c>
      <c r="P2452" t="str">
        <f t="shared" si="155"/>
        <v>Long-term</v>
      </c>
    </row>
    <row r="2453" spans="1:16" x14ac:dyDescent="0.25">
      <c r="A2453">
        <v>2025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  <c r="M2453" t="str">
        <f t="shared" si="152"/>
        <v>&lt;30</v>
      </c>
      <c r="N2453" t="str">
        <f t="shared" si="153"/>
        <v>Medium</v>
      </c>
      <c r="O2453" t="str">
        <f t="shared" si="154"/>
        <v>Zero Balance</v>
      </c>
      <c r="P2453" t="str">
        <f t="shared" si="155"/>
        <v>Mid-term</v>
      </c>
    </row>
    <row r="2454" spans="1:16" x14ac:dyDescent="0.25">
      <c r="A2454">
        <v>2025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  <c r="M2454" t="str">
        <f t="shared" si="152"/>
        <v>&lt;30</v>
      </c>
      <c r="N2454" t="str">
        <f t="shared" si="153"/>
        <v>High</v>
      </c>
      <c r="O2454" t="str">
        <f t="shared" si="154"/>
        <v>High Balance</v>
      </c>
      <c r="P2454" t="str">
        <f t="shared" si="155"/>
        <v>New</v>
      </c>
    </row>
    <row r="2455" spans="1:16" x14ac:dyDescent="0.25">
      <c r="A2455">
        <v>2025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  <c r="M2455" t="str">
        <f t="shared" si="152"/>
        <v>46-60</v>
      </c>
      <c r="N2455" t="str">
        <f t="shared" si="153"/>
        <v>High</v>
      </c>
      <c r="O2455" t="str">
        <f t="shared" si="154"/>
        <v>High Balance</v>
      </c>
      <c r="P2455" t="str">
        <f t="shared" si="155"/>
        <v>Long-term</v>
      </c>
    </row>
    <row r="2456" spans="1:16" x14ac:dyDescent="0.25">
      <c r="A2456">
        <v>2025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  <c r="M2456" t="str">
        <f t="shared" si="152"/>
        <v>46-60</v>
      </c>
      <c r="N2456" t="str">
        <f t="shared" si="153"/>
        <v>Medium</v>
      </c>
      <c r="O2456" t="str">
        <f t="shared" si="154"/>
        <v>High Balance</v>
      </c>
      <c r="P2456" t="str">
        <f t="shared" si="155"/>
        <v>New</v>
      </c>
    </row>
    <row r="2457" spans="1:16" x14ac:dyDescent="0.25">
      <c r="A2457">
        <v>2025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  <c r="M2457" t="str">
        <f t="shared" si="152"/>
        <v>46-60</v>
      </c>
      <c r="N2457" t="str">
        <f t="shared" si="153"/>
        <v>Medium</v>
      </c>
      <c r="O2457" t="str">
        <f t="shared" si="154"/>
        <v>Zero Balance</v>
      </c>
      <c r="P2457" t="str">
        <f t="shared" si="155"/>
        <v>Mid-term</v>
      </c>
    </row>
    <row r="2458" spans="1:16" x14ac:dyDescent="0.25">
      <c r="A2458">
        <v>2025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  <c r="M2458" t="str">
        <f t="shared" si="152"/>
        <v>&lt;30</v>
      </c>
      <c r="N2458" t="str">
        <f t="shared" si="153"/>
        <v>Medium</v>
      </c>
      <c r="O2458" t="str">
        <f t="shared" si="154"/>
        <v>High Balance</v>
      </c>
      <c r="P2458" t="str">
        <f t="shared" si="155"/>
        <v>Mid-term</v>
      </c>
    </row>
    <row r="2459" spans="1:16" x14ac:dyDescent="0.25">
      <c r="A2459">
        <v>2025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  <c r="M2459" t="str">
        <f t="shared" si="152"/>
        <v>30-45</v>
      </c>
      <c r="N2459" t="str">
        <f t="shared" si="153"/>
        <v>Medium</v>
      </c>
      <c r="O2459" t="str">
        <f t="shared" si="154"/>
        <v>Zero Balance</v>
      </c>
      <c r="P2459" t="str">
        <f t="shared" si="155"/>
        <v>New</v>
      </c>
    </row>
    <row r="2460" spans="1:16" x14ac:dyDescent="0.25">
      <c r="A2460">
        <v>2025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  <c r="M2460" t="str">
        <f t="shared" si="152"/>
        <v>60+</v>
      </c>
      <c r="N2460" t="str">
        <f t="shared" si="153"/>
        <v>Medium</v>
      </c>
      <c r="O2460" t="str">
        <f t="shared" si="154"/>
        <v>Zero Balance</v>
      </c>
      <c r="P2460" t="str">
        <f t="shared" si="155"/>
        <v>Long-term</v>
      </c>
    </row>
    <row r="2461" spans="1:16" x14ac:dyDescent="0.25">
      <c r="A2461">
        <v>2025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  <c r="M2461" t="str">
        <f t="shared" si="152"/>
        <v>60+</v>
      </c>
      <c r="N2461" t="str">
        <f t="shared" si="153"/>
        <v>Medium</v>
      </c>
      <c r="O2461" t="str">
        <f t="shared" si="154"/>
        <v>Low Balance</v>
      </c>
      <c r="P2461" t="str">
        <f t="shared" si="155"/>
        <v>Long-term</v>
      </c>
    </row>
    <row r="2462" spans="1:16" x14ac:dyDescent="0.25">
      <c r="A2462">
        <v>2025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  <c r="M2462" t="str">
        <f t="shared" si="152"/>
        <v>30-45</v>
      </c>
      <c r="N2462" t="str">
        <f t="shared" si="153"/>
        <v>Medium</v>
      </c>
      <c r="O2462" t="str">
        <f t="shared" si="154"/>
        <v>High Balance</v>
      </c>
      <c r="P2462" t="str">
        <f t="shared" si="155"/>
        <v>New</v>
      </c>
    </row>
    <row r="2463" spans="1:16" x14ac:dyDescent="0.25">
      <c r="A2463">
        <v>2025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  <c r="M2463" t="str">
        <f t="shared" si="152"/>
        <v>30-45</v>
      </c>
      <c r="N2463" t="str">
        <f t="shared" si="153"/>
        <v>Medium</v>
      </c>
      <c r="O2463" t="str">
        <f t="shared" si="154"/>
        <v>High Balance</v>
      </c>
      <c r="P2463" t="str">
        <f t="shared" si="155"/>
        <v>Long-term</v>
      </c>
    </row>
    <row r="2464" spans="1:16" x14ac:dyDescent="0.25">
      <c r="A2464">
        <v>2025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  <c r="M2464" t="str">
        <f t="shared" si="152"/>
        <v>46-60</v>
      </c>
      <c r="N2464" t="str">
        <f t="shared" si="153"/>
        <v>Medium</v>
      </c>
      <c r="O2464" t="str">
        <f t="shared" si="154"/>
        <v>High Balance</v>
      </c>
      <c r="P2464" t="str">
        <f t="shared" si="155"/>
        <v>Long-term</v>
      </c>
    </row>
    <row r="2465" spans="1:16" x14ac:dyDescent="0.25">
      <c r="A2465">
        <v>2025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  <c r="M2465" t="str">
        <f t="shared" si="152"/>
        <v>30-45</v>
      </c>
      <c r="N2465" t="str">
        <f t="shared" si="153"/>
        <v>Medium</v>
      </c>
      <c r="O2465" t="str">
        <f t="shared" si="154"/>
        <v>Zero Balance</v>
      </c>
      <c r="P2465" t="str">
        <f t="shared" si="155"/>
        <v>New</v>
      </c>
    </row>
    <row r="2466" spans="1:16" x14ac:dyDescent="0.25">
      <c r="A2466">
        <v>2025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  <c r="M2466" t="str">
        <f t="shared" si="152"/>
        <v>30-45</v>
      </c>
      <c r="N2466" t="str">
        <f t="shared" si="153"/>
        <v>Medium</v>
      </c>
      <c r="O2466" t="str">
        <f t="shared" si="154"/>
        <v>High Balance</v>
      </c>
      <c r="P2466" t="str">
        <f t="shared" si="155"/>
        <v>Mid-term</v>
      </c>
    </row>
    <row r="2467" spans="1:16" x14ac:dyDescent="0.25">
      <c r="A2467">
        <v>2025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  <c r="M2467" t="str">
        <f t="shared" si="152"/>
        <v>30-45</v>
      </c>
      <c r="N2467" t="str">
        <f t="shared" si="153"/>
        <v>High</v>
      </c>
      <c r="O2467" t="str">
        <f t="shared" si="154"/>
        <v>Low Balance</v>
      </c>
      <c r="P2467" t="str">
        <f t="shared" si="155"/>
        <v>Long-term</v>
      </c>
    </row>
    <row r="2468" spans="1:16" x14ac:dyDescent="0.25">
      <c r="A2468">
        <v>2025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  <c r="M2468" t="str">
        <f t="shared" si="152"/>
        <v>30-45</v>
      </c>
      <c r="N2468" t="str">
        <f t="shared" si="153"/>
        <v>Medium</v>
      </c>
      <c r="O2468" t="str">
        <f t="shared" si="154"/>
        <v>High Balance</v>
      </c>
      <c r="P2468" t="str">
        <f t="shared" si="155"/>
        <v>New</v>
      </c>
    </row>
    <row r="2469" spans="1:16" x14ac:dyDescent="0.25">
      <c r="A2469">
        <v>2025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  <c r="M2469" t="str">
        <f t="shared" si="152"/>
        <v>&lt;30</v>
      </c>
      <c r="N2469" t="str">
        <f t="shared" si="153"/>
        <v>Medium</v>
      </c>
      <c r="O2469" t="str">
        <f t="shared" si="154"/>
        <v>Zero Balance</v>
      </c>
      <c r="P2469" t="str">
        <f t="shared" si="155"/>
        <v>Mid-term</v>
      </c>
    </row>
    <row r="2470" spans="1:16" x14ac:dyDescent="0.25">
      <c r="A2470">
        <v>2025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  <c r="M2470" t="str">
        <f t="shared" si="152"/>
        <v>30-45</v>
      </c>
      <c r="N2470" t="str">
        <f t="shared" si="153"/>
        <v>High</v>
      </c>
      <c r="O2470" t="str">
        <f t="shared" si="154"/>
        <v>Low Balance</v>
      </c>
      <c r="P2470" t="str">
        <f t="shared" si="155"/>
        <v>Long-term</v>
      </c>
    </row>
    <row r="2471" spans="1:16" x14ac:dyDescent="0.25">
      <c r="A2471">
        <v>2025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  <c r="M2471" t="str">
        <f t="shared" si="152"/>
        <v>30-45</v>
      </c>
      <c r="N2471" t="str">
        <f t="shared" si="153"/>
        <v>High</v>
      </c>
      <c r="O2471" t="str">
        <f t="shared" si="154"/>
        <v>High Balance</v>
      </c>
      <c r="P2471" t="str">
        <f t="shared" si="155"/>
        <v>Mid-term</v>
      </c>
    </row>
    <row r="2472" spans="1:16" x14ac:dyDescent="0.25">
      <c r="A2472">
        <v>2025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  <c r="M2472" t="str">
        <f t="shared" si="152"/>
        <v>30-45</v>
      </c>
      <c r="N2472" t="str">
        <f t="shared" si="153"/>
        <v>Medium</v>
      </c>
      <c r="O2472" t="str">
        <f t="shared" si="154"/>
        <v>High Balance</v>
      </c>
      <c r="P2472" t="str">
        <f t="shared" si="155"/>
        <v>New</v>
      </c>
    </row>
    <row r="2473" spans="1:16" x14ac:dyDescent="0.25">
      <c r="A2473">
        <v>2025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  <c r="M2473" t="str">
        <f t="shared" si="152"/>
        <v>46-60</v>
      </c>
      <c r="N2473" t="str">
        <f t="shared" si="153"/>
        <v>Medium</v>
      </c>
      <c r="O2473" t="str">
        <f t="shared" si="154"/>
        <v>High Balance</v>
      </c>
      <c r="P2473" t="str">
        <f t="shared" si="155"/>
        <v>Long-term</v>
      </c>
    </row>
    <row r="2474" spans="1:16" x14ac:dyDescent="0.25">
      <c r="A2474">
        <v>2025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  <c r="M2474" t="str">
        <f t="shared" si="152"/>
        <v>30-45</v>
      </c>
      <c r="N2474" t="str">
        <f t="shared" si="153"/>
        <v>Medium</v>
      </c>
      <c r="O2474" t="str">
        <f t="shared" si="154"/>
        <v>High Balance</v>
      </c>
      <c r="P2474" t="str">
        <f t="shared" si="155"/>
        <v>Mid-term</v>
      </c>
    </row>
    <row r="2475" spans="1:16" x14ac:dyDescent="0.25">
      <c r="A2475">
        <v>2025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  <c r="M2475" t="str">
        <f t="shared" si="152"/>
        <v>46-60</v>
      </c>
      <c r="N2475" t="str">
        <f t="shared" si="153"/>
        <v>Low</v>
      </c>
      <c r="O2475" t="str">
        <f t="shared" si="154"/>
        <v>High Balance</v>
      </c>
      <c r="P2475" t="str">
        <f t="shared" si="155"/>
        <v>Mid-term</v>
      </c>
    </row>
    <row r="2476" spans="1:16" x14ac:dyDescent="0.25">
      <c r="A2476">
        <v>2025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  <c r="M2476" t="str">
        <f t="shared" si="152"/>
        <v>30-45</v>
      </c>
      <c r="N2476" t="str">
        <f t="shared" si="153"/>
        <v>High</v>
      </c>
      <c r="O2476" t="str">
        <f t="shared" si="154"/>
        <v>Zero Balance</v>
      </c>
      <c r="P2476" t="str">
        <f t="shared" si="155"/>
        <v>Long-term</v>
      </c>
    </row>
    <row r="2477" spans="1:16" x14ac:dyDescent="0.25">
      <c r="A2477">
        <v>2025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  <c r="M2477" t="str">
        <f t="shared" si="152"/>
        <v>30-45</v>
      </c>
      <c r="N2477" t="str">
        <f t="shared" si="153"/>
        <v>Medium</v>
      </c>
      <c r="O2477" t="str">
        <f t="shared" si="154"/>
        <v>Zero Balance</v>
      </c>
      <c r="P2477" t="str">
        <f t="shared" si="155"/>
        <v>Long-term</v>
      </c>
    </row>
    <row r="2478" spans="1:16" x14ac:dyDescent="0.25">
      <c r="A2478">
        <v>2025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  <c r="M2478" t="str">
        <f t="shared" si="152"/>
        <v>30-45</v>
      </c>
      <c r="N2478" t="str">
        <f t="shared" si="153"/>
        <v>Low</v>
      </c>
      <c r="O2478" t="str">
        <f t="shared" si="154"/>
        <v>Low Balance</v>
      </c>
      <c r="P2478" t="str">
        <f t="shared" si="155"/>
        <v>Long-term</v>
      </c>
    </row>
    <row r="2479" spans="1:16" x14ac:dyDescent="0.25">
      <c r="A2479">
        <v>2025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  <c r="M2479" t="str">
        <f t="shared" si="152"/>
        <v>30-45</v>
      </c>
      <c r="N2479" t="str">
        <f t="shared" si="153"/>
        <v>Medium</v>
      </c>
      <c r="O2479" t="str">
        <f t="shared" si="154"/>
        <v>High Balance</v>
      </c>
      <c r="P2479" t="str">
        <f t="shared" si="155"/>
        <v>Long-term</v>
      </c>
    </row>
    <row r="2480" spans="1:16" x14ac:dyDescent="0.25">
      <c r="A2480">
        <v>2025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  <c r="M2480" t="str">
        <f t="shared" si="152"/>
        <v>30-45</v>
      </c>
      <c r="N2480" t="str">
        <f t="shared" si="153"/>
        <v>High</v>
      </c>
      <c r="O2480" t="str">
        <f t="shared" si="154"/>
        <v>High Balance</v>
      </c>
      <c r="P2480" t="str">
        <f t="shared" si="155"/>
        <v>Mid-term</v>
      </c>
    </row>
    <row r="2481" spans="1:16" x14ac:dyDescent="0.25">
      <c r="A2481">
        <v>2025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  <c r="M2481" t="str">
        <f t="shared" si="152"/>
        <v>30-45</v>
      </c>
      <c r="N2481" t="str">
        <f t="shared" si="153"/>
        <v>Medium</v>
      </c>
      <c r="O2481" t="str">
        <f t="shared" si="154"/>
        <v>Low Balance</v>
      </c>
      <c r="P2481" t="str">
        <f t="shared" si="155"/>
        <v>Long-term</v>
      </c>
    </row>
    <row r="2482" spans="1:16" x14ac:dyDescent="0.25">
      <c r="A2482">
        <v>2025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  <c r="M2482" t="str">
        <f t="shared" si="152"/>
        <v>30-45</v>
      </c>
      <c r="N2482" t="str">
        <f t="shared" si="153"/>
        <v>Medium</v>
      </c>
      <c r="O2482" t="str">
        <f t="shared" si="154"/>
        <v>Low Balance</v>
      </c>
      <c r="P2482" t="str">
        <f t="shared" si="155"/>
        <v>New</v>
      </c>
    </row>
    <row r="2483" spans="1:16" x14ac:dyDescent="0.25">
      <c r="A2483">
        <v>2025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  <c r="M2483" t="str">
        <f t="shared" si="152"/>
        <v>46-60</v>
      </c>
      <c r="N2483" t="str">
        <f t="shared" si="153"/>
        <v>Low</v>
      </c>
      <c r="O2483" t="str">
        <f t="shared" si="154"/>
        <v>Zero Balance</v>
      </c>
      <c r="P2483" t="str">
        <f t="shared" si="155"/>
        <v>New</v>
      </c>
    </row>
    <row r="2484" spans="1:16" x14ac:dyDescent="0.25">
      <c r="A2484">
        <v>2025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  <c r="M2484" t="str">
        <f t="shared" si="152"/>
        <v>30-45</v>
      </c>
      <c r="N2484" t="str">
        <f t="shared" si="153"/>
        <v>Medium</v>
      </c>
      <c r="O2484" t="str">
        <f t="shared" si="154"/>
        <v>High Balance</v>
      </c>
      <c r="P2484" t="str">
        <f t="shared" si="155"/>
        <v>Mid-term</v>
      </c>
    </row>
    <row r="2485" spans="1:16" x14ac:dyDescent="0.25">
      <c r="A2485">
        <v>2025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  <c r="M2485" t="str">
        <f t="shared" si="152"/>
        <v>30-45</v>
      </c>
      <c r="N2485" t="str">
        <f t="shared" si="153"/>
        <v>High</v>
      </c>
      <c r="O2485" t="str">
        <f t="shared" si="154"/>
        <v>Zero Balance</v>
      </c>
      <c r="P2485" t="str">
        <f t="shared" si="155"/>
        <v>New</v>
      </c>
    </row>
    <row r="2486" spans="1:16" x14ac:dyDescent="0.25">
      <c r="A2486">
        <v>2025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  <c r="M2486" t="str">
        <f t="shared" si="152"/>
        <v>30-45</v>
      </c>
      <c r="N2486" t="str">
        <f t="shared" si="153"/>
        <v>High</v>
      </c>
      <c r="O2486" t="str">
        <f t="shared" si="154"/>
        <v>Low Balance</v>
      </c>
      <c r="P2486" t="str">
        <f t="shared" si="155"/>
        <v>Mid-term</v>
      </c>
    </row>
    <row r="2487" spans="1:16" x14ac:dyDescent="0.25">
      <c r="A2487">
        <v>2025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  <c r="M2487" t="str">
        <f t="shared" si="152"/>
        <v>30-45</v>
      </c>
      <c r="N2487" t="str">
        <f t="shared" si="153"/>
        <v>High</v>
      </c>
      <c r="O2487" t="str">
        <f t="shared" si="154"/>
        <v>High Balance</v>
      </c>
      <c r="P2487" t="str">
        <f t="shared" si="155"/>
        <v>Mid-term</v>
      </c>
    </row>
    <row r="2488" spans="1:16" x14ac:dyDescent="0.25">
      <c r="A2488">
        <v>2025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  <c r="M2488" t="str">
        <f t="shared" si="152"/>
        <v>30-45</v>
      </c>
      <c r="N2488" t="str">
        <f t="shared" si="153"/>
        <v>Medium</v>
      </c>
      <c r="O2488" t="str">
        <f t="shared" si="154"/>
        <v>Zero Balance</v>
      </c>
      <c r="P2488" t="str">
        <f t="shared" si="155"/>
        <v>Mid-term</v>
      </c>
    </row>
    <row r="2489" spans="1:16" x14ac:dyDescent="0.25">
      <c r="A2489">
        <v>2025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  <c r="M2489" t="str">
        <f t="shared" si="152"/>
        <v>30-45</v>
      </c>
      <c r="N2489" t="str">
        <f t="shared" si="153"/>
        <v>High</v>
      </c>
      <c r="O2489" t="str">
        <f t="shared" si="154"/>
        <v>Zero Balance</v>
      </c>
      <c r="P2489" t="str">
        <f t="shared" si="155"/>
        <v>New</v>
      </c>
    </row>
    <row r="2490" spans="1:16" x14ac:dyDescent="0.25">
      <c r="A2490">
        <v>2025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  <c r="M2490" t="str">
        <f t="shared" si="152"/>
        <v>&lt;30</v>
      </c>
      <c r="N2490" t="str">
        <f t="shared" si="153"/>
        <v>Medium</v>
      </c>
      <c r="O2490" t="str">
        <f t="shared" si="154"/>
        <v>Zero Balance</v>
      </c>
      <c r="P2490" t="str">
        <f t="shared" si="155"/>
        <v>New</v>
      </c>
    </row>
    <row r="2491" spans="1:16" x14ac:dyDescent="0.25">
      <c r="A2491">
        <v>2025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  <c r="M2491" t="str">
        <f t="shared" si="152"/>
        <v>&lt;30</v>
      </c>
      <c r="N2491" t="str">
        <f t="shared" si="153"/>
        <v>High</v>
      </c>
      <c r="O2491" t="str">
        <f t="shared" si="154"/>
        <v>High Balance</v>
      </c>
      <c r="P2491" t="str">
        <f t="shared" si="155"/>
        <v>Mid-term</v>
      </c>
    </row>
    <row r="2492" spans="1:16" x14ac:dyDescent="0.25">
      <c r="A2492">
        <v>2025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  <c r="M2492" t="str">
        <f t="shared" si="152"/>
        <v>30-45</v>
      </c>
      <c r="N2492" t="str">
        <f t="shared" si="153"/>
        <v>Medium</v>
      </c>
      <c r="O2492" t="str">
        <f t="shared" si="154"/>
        <v>High Balance</v>
      </c>
      <c r="P2492" t="str">
        <f t="shared" si="155"/>
        <v>Mid-term</v>
      </c>
    </row>
    <row r="2493" spans="1:16" x14ac:dyDescent="0.25">
      <c r="A2493">
        <v>2025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  <c r="M2493" t="str">
        <f t="shared" si="152"/>
        <v>&lt;30</v>
      </c>
      <c r="N2493" t="str">
        <f t="shared" si="153"/>
        <v>Medium</v>
      </c>
      <c r="O2493" t="str">
        <f t="shared" si="154"/>
        <v>Zero Balance</v>
      </c>
      <c r="P2493" t="str">
        <f t="shared" si="155"/>
        <v>Mid-term</v>
      </c>
    </row>
    <row r="2494" spans="1:16" x14ac:dyDescent="0.25">
      <c r="A2494">
        <v>2025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  <c r="M2494" t="str">
        <f t="shared" si="152"/>
        <v>30-45</v>
      </c>
      <c r="N2494" t="str">
        <f t="shared" si="153"/>
        <v>Medium</v>
      </c>
      <c r="O2494" t="str">
        <f t="shared" si="154"/>
        <v>High Balance</v>
      </c>
      <c r="P2494" t="str">
        <f t="shared" si="155"/>
        <v>New</v>
      </c>
    </row>
    <row r="2495" spans="1:16" x14ac:dyDescent="0.25">
      <c r="A2495">
        <v>2025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  <c r="M2495" t="str">
        <f t="shared" si="152"/>
        <v>&lt;30</v>
      </c>
      <c r="N2495" t="str">
        <f t="shared" si="153"/>
        <v>High</v>
      </c>
      <c r="O2495" t="str">
        <f t="shared" si="154"/>
        <v>Low Balance</v>
      </c>
      <c r="P2495" t="str">
        <f t="shared" si="155"/>
        <v>Long-term</v>
      </c>
    </row>
    <row r="2496" spans="1:16" x14ac:dyDescent="0.25">
      <c r="A2496">
        <v>2025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  <c r="M2496" t="str">
        <f t="shared" si="152"/>
        <v>46-60</v>
      </c>
      <c r="N2496" t="str">
        <f t="shared" si="153"/>
        <v>Medium</v>
      </c>
      <c r="O2496" t="str">
        <f t="shared" si="154"/>
        <v>High Balance</v>
      </c>
      <c r="P2496" t="str">
        <f t="shared" si="155"/>
        <v>Mid-term</v>
      </c>
    </row>
    <row r="2497" spans="1:16" x14ac:dyDescent="0.25">
      <c r="A2497">
        <v>2025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  <c r="M2497" t="str">
        <f t="shared" si="152"/>
        <v>46-60</v>
      </c>
      <c r="N2497" t="str">
        <f t="shared" si="153"/>
        <v>Low</v>
      </c>
      <c r="O2497" t="str">
        <f t="shared" si="154"/>
        <v>High Balance</v>
      </c>
      <c r="P2497" t="str">
        <f t="shared" si="155"/>
        <v>New</v>
      </c>
    </row>
    <row r="2498" spans="1:16" x14ac:dyDescent="0.25">
      <c r="A2498">
        <v>2025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  <c r="M2498" t="str">
        <f t="shared" si="152"/>
        <v>30-45</v>
      </c>
      <c r="N2498" t="str">
        <f t="shared" si="153"/>
        <v>Medium</v>
      </c>
      <c r="O2498" t="str">
        <f t="shared" si="154"/>
        <v>Zero Balance</v>
      </c>
      <c r="P2498" t="str">
        <f t="shared" si="155"/>
        <v>Mid-term</v>
      </c>
    </row>
    <row r="2499" spans="1:16" x14ac:dyDescent="0.25">
      <c r="A2499">
        <v>2025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  <c r="M2499" t="str">
        <f t="shared" ref="M2499:M2562" si="156">IF(E2499&lt;30,"&lt;30",IF(E2499&lt;=45,"30-45",IF(E2499&lt;=60,"46-60","60+")))</f>
        <v>&lt;30</v>
      </c>
      <c r="N2499" t="str">
        <f t="shared" ref="N2499:N2562" si="157">IF(B2499&lt;500,"Low",IF(B2499&lt;700,"Medium","High"))</f>
        <v>Medium</v>
      </c>
      <c r="O2499" t="str">
        <f t="shared" ref="O2499:O2562" si="158">IF(G2499=0,"Zero Balance",IF(G2499&lt;100000,"Low Balance","High Balance"))</f>
        <v>Zero Balance</v>
      </c>
      <c r="P2499" t="str">
        <f t="shared" ref="P2499:P2562" si="159">IF(F2499&lt;=3,"New",IF(F2499&lt;=7,"Mid-term","Long-term"))</f>
        <v>New</v>
      </c>
    </row>
    <row r="2500" spans="1:16" x14ac:dyDescent="0.25">
      <c r="A2500">
        <v>2025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  <c r="M2500" t="str">
        <f t="shared" si="156"/>
        <v>30-45</v>
      </c>
      <c r="N2500" t="str">
        <f t="shared" si="157"/>
        <v>High</v>
      </c>
      <c r="O2500" t="str">
        <f t="shared" si="158"/>
        <v>Zero Balance</v>
      </c>
      <c r="P2500" t="str">
        <f t="shared" si="159"/>
        <v>Long-term</v>
      </c>
    </row>
    <row r="2501" spans="1:16" x14ac:dyDescent="0.25">
      <c r="A2501">
        <v>2025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  <c r="M2501" t="str">
        <f t="shared" si="156"/>
        <v>30-45</v>
      </c>
      <c r="N2501" t="str">
        <f t="shared" si="157"/>
        <v>Medium</v>
      </c>
      <c r="O2501" t="str">
        <f t="shared" si="158"/>
        <v>Low Balance</v>
      </c>
      <c r="P2501" t="str">
        <f t="shared" si="159"/>
        <v>Long-term</v>
      </c>
    </row>
    <row r="2502" spans="1:16" x14ac:dyDescent="0.25">
      <c r="A2502">
        <v>2025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  <c r="M2502" t="str">
        <f t="shared" si="156"/>
        <v>30-45</v>
      </c>
      <c r="N2502" t="str">
        <f t="shared" si="157"/>
        <v>High</v>
      </c>
      <c r="O2502" t="str">
        <f t="shared" si="158"/>
        <v>Zero Balance</v>
      </c>
      <c r="P2502" t="str">
        <f t="shared" si="159"/>
        <v>Long-term</v>
      </c>
    </row>
    <row r="2503" spans="1:16" x14ac:dyDescent="0.25">
      <c r="A2503">
        <v>2025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  <c r="M2503" t="str">
        <f t="shared" si="156"/>
        <v>30-45</v>
      </c>
      <c r="N2503" t="str">
        <f t="shared" si="157"/>
        <v>Medium</v>
      </c>
      <c r="O2503" t="str">
        <f t="shared" si="158"/>
        <v>High Balance</v>
      </c>
      <c r="P2503" t="str">
        <f t="shared" si="159"/>
        <v>Mid-term</v>
      </c>
    </row>
    <row r="2504" spans="1:16" x14ac:dyDescent="0.25">
      <c r="A2504">
        <v>2025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  <c r="M2504" t="str">
        <f t="shared" si="156"/>
        <v>30-45</v>
      </c>
      <c r="N2504" t="str">
        <f t="shared" si="157"/>
        <v>Medium</v>
      </c>
      <c r="O2504" t="str">
        <f t="shared" si="158"/>
        <v>Zero Balance</v>
      </c>
      <c r="P2504" t="str">
        <f t="shared" si="159"/>
        <v>New</v>
      </c>
    </row>
    <row r="2505" spans="1:16" x14ac:dyDescent="0.25">
      <c r="A2505">
        <v>2025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  <c r="M2505" t="str">
        <f t="shared" si="156"/>
        <v>30-45</v>
      </c>
      <c r="N2505" t="str">
        <f t="shared" si="157"/>
        <v>Low</v>
      </c>
      <c r="O2505" t="str">
        <f t="shared" si="158"/>
        <v>High Balance</v>
      </c>
      <c r="P2505" t="str">
        <f t="shared" si="159"/>
        <v>Mid-term</v>
      </c>
    </row>
    <row r="2506" spans="1:16" x14ac:dyDescent="0.25">
      <c r="A2506">
        <v>2025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  <c r="M2506" t="str">
        <f t="shared" si="156"/>
        <v>30-45</v>
      </c>
      <c r="N2506" t="str">
        <f t="shared" si="157"/>
        <v>Medium</v>
      </c>
      <c r="O2506" t="str">
        <f t="shared" si="158"/>
        <v>Zero Balance</v>
      </c>
      <c r="P2506" t="str">
        <f t="shared" si="159"/>
        <v>New</v>
      </c>
    </row>
    <row r="2507" spans="1:16" x14ac:dyDescent="0.25">
      <c r="A2507">
        <v>2025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  <c r="M2507" t="str">
        <f t="shared" si="156"/>
        <v>30-45</v>
      </c>
      <c r="N2507" t="str">
        <f t="shared" si="157"/>
        <v>Medium</v>
      </c>
      <c r="O2507" t="str">
        <f t="shared" si="158"/>
        <v>High Balance</v>
      </c>
      <c r="P2507" t="str">
        <f t="shared" si="159"/>
        <v>Mid-term</v>
      </c>
    </row>
    <row r="2508" spans="1:16" x14ac:dyDescent="0.25">
      <c r="A2508">
        <v>2025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  <c r="M2508" t="str">
        <f t="shared" si="156"/>
        <v>30-45</v>
      </c>
      <c r="N2508" t="str">
        <f t="shared" si="157"/>
        <v>Medium</v>
      </c>
      <c r="O2508" t="str">
        <f t="shared" si="158"/>
        <v>Zero Balance</v>
      </c>
      <c r="P2508" t="str">
        <f t="shared" si="159"/>
        <v>Long-term</v>
      </c>
    </row>
    <row r="2509" spans="1:16" x14ac:dyDescent="0.25">
      <c r="A2509">
        <v>2025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  <c r="M2509" t="str">
        <f t="shared" si="156"/>
        <v>30-45</v>
      </c>
      <c r="N2509" t="str">
        <f t="shared" si="157"/>
        <v>Medium</v>
      </c>
      <c r="O2509" t="str">
        <f t="shared" si="158"/>
        <v>Zero Balance</v>
      </c>
      <c r="P2509" t="str">
        <f t="shared" si="159"/>
        <v>New</v>
      </c>
    </row>
    <row r="2510" spans="1:16" x14ac:dyDescent="0.25">
      <c r="A2510">
        <v>2025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  <c r="M2510" t="str">
        <f t="shared" si="156"/>
        <v>46-60</v>
      </c>
      <c r="N2510" t="str">
        <f t="shared" si="157"/>
        <v>Medium</v>
      </c>
      <c r="O2510" t="str">
        <f t="shared" si="158"/>
        <v>Low Balance</v>
      </c>
      <c r="P2510" t="str">
        <f t="shared" si="159"/>
        <v>New</v>
      </c>
    </row>
    <row r="2511" spans="1:16" x14ac:dyDescent="0.25">
      <c r="A2511">
        <v>2025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  <c r="M2511" t="str">
        <f t="shared" si="156"/>
        <v>46-60</v>
      </c>
      <c r="N2511" t="str">
        <f t="shared" si="157"/>
        <v>Medium</v>
      </c>
      <c r="O2511" t="str">
        <f t="shared" si="158"/>
        <v>Zero Balance</v>
      </c>
      <c r="P2511" t="str">
        <f t="shared" si="159"/>
        <v>Long-term</v>
      </c>
    </row>
    <row r="2512" spans="1:16" x14ac:dyDescent="0.25">
      <c r="A2512">
        <v>2025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  <c r="M2512" t="str">
        <f t="shared" si="156"/>
        <v>46-60</v>
      </c>
      <c r="N2512" t="str">
        <f t="shared" si="157"/>
        <v>Medium</v>
      </c>
      <c r="O2512" t="str">
        <f t="shared" si="158"/>
        <v>Low Balance</v>
      </c>
      <c r="P2512" t="str">
        <f t="shared" si="159"/>
        <v>New</v>
      </c>
    </row>
    <row r="2513" spans="1:16" x14ac:dyDescent="0.25">
      <c r="A2513">
        <v>2025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  <c r="M2513" t="str">
        <f t="shared" si="156"/>
        <v>30-45</v>
      </c>
      <c r="N2513" t="str">
        <f t="shared" si="157"/>
        <v>Medium</v>
      </c>
      <c r="O2513" t="str">
        <f t="shared" si="158"/>
        <v>High Balance</v>
      </c>
      <c r="P2513" t="str">
        <f t="shared" si="159"/>
        <v>Mid-term</v>
      </c>
    </row>
    <row r="2514" spans="1:16" x14ac:dyDescent="0.25">
      <c r="A2514">
        <v>2025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  <c r="M2514" t="str">
        <f t="shared" si="156"/>
        <v>46-60</v>
      </c>
      <c r="N2514" t="str">
        <f t="shared" si="157"/>
        <v>High</v>
      </c>
      <c r="O2514" t="str">
        <f t="shared" si="158"/>
        <v>High Balance</v>
      </c>
      <c r="P2514" t="str">
        <f t="shared" si="159"/>
        <v>New</v>
      </c>
    </row>
    <row r="2515" spans="1:16" x14ac:dyDescent="0.25">
      <c r="A2515">
        <v>2025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  <c r="M2515" t="str">
        <f t="shared" si="156"/>
        <v>30-45</v>
      </c>
      <c r="N2515" t="str">
        <f t="shared" si="157"/>
        <v>Medium</v>
      </c>
      <c r="O2515" t="str">
        <f t="shared" si="158"/>
        <v>Zero Balance</v>
      </c>
      <c r="P2515" t="str">
        <f t="shared" si="159"/>
        <v>Long-term</v>
      </c>
    </row>
    <row r="2516" spans="1:16" x14ac:dyDescent="0.25">
      <c r="A2516">
        <v>2025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  <c r="M2516" t="str">
        <f t="shared" si="156"/>
        <v>&lt;30</v>
      </c>
      <c r="N2516" t="str">
        <f t="shared" si="157"/>
        <v>Medium</v>
      </c>
      <c r="O2516" t="str">
        <f t="shared" si="158"/>
        <v>High Balance</v>
      </c>
      <c r="P2516" t="str">
        <f t="shared" si="159"/>
        <v>Mid-term</v>
      </c>
    </row>
    <row r="2517" spans="1:16" x14ac:dyDescent="0.25">
      <c r="A2517">
        <v>2025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  <c r="M2517" t="str">
        <f t="shared" si="156"/>
        <v>30-45</v>
      </c>
      <c r="N2517" t="str">
        <f t="shared" si="157"/>
        <v>Medium</v>
      </c>
      <c r="O2517" t="str">
        <f t="shared" si="158"/>
        <v>Zero Balance</v>
      </c>
      <c r="P2517" t="str">
        <f t="shared" si="159"/>
        <v>Mid-term</v>
      </c>
    </row>
    <row r="2518" spans="1:16" x14ac:dyDescent="0.25">
      <c r="A2518">
        <v>2025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  <c r="M2518" t="str">
        <f t="shared" si="156"/>
        <v>30-45</v>
      </c>
      <c r="N2518" t="str">
        <f t="shared" si="157"/>
        <v>High</v>
      </c>
      <c r="O2518" t="str">
        <f t="shared" si="158"/>
        <v>Zero Balance</v>
      </c>
      <c r="P2518" t="str">
        <f t="shared" si="159"/>
        <v>Mid-term</v>
      </c>
    </row>
    <row r="2519" spans="1:16" x14ac:dyDescent="0.25">
      <c r="A2519">
        <v>2025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  <c r="M2519" t="str">
        <f t="shared" si="156"/>
        <v>30-45</v>
      </c>
      <c r="N2519" t="str">
        <f t="shared" si="157"/>
        <v>Medium</v>
      </c>
      <c r="O2519" t="str">
        <f t="shared" si="158"/>
        <v>High Balance</v>
      </c>
      <c r="P2519" t="str">
        <f t="shared" si="159"/>
        <v>New</v>
      </c>
    </row>
    <row r="2520" spans="1:16" x14ac:dyDescent="0.25">
      <c r="A2520">
        <v>2025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  <c r="M2520" t="str">
        <f t="shared" si="156"/>
        <v>46-60</v>
      </c>
      <c r="N2520" t="str">
        <f t="shared" si="157"/>
        <v>High</v>
      </c>
      <c r="O2520" t="str">
        <f t="shared" si="158"/>
        <v>Low Balance</v>
      </c>
      <c r="P2520" t="str">
        <f t="shared" si="159"/>
        <v>New</v>
      </c>
    </row>
    <row r="2521" spans="1:16" x14ac:dyDescent="0.25">
      <c r="A2521">
        <v>2025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  <c r="M2521" t="str">
        <f t="shared" si="156"/>
        <v>60+</v>
      </c>
      <c r="N2521" t="str">
        <f t="shared" si="157"/>
        <v>Medium</v>
      </c>
      <c r="O2521" t="str">
        <f t="shared" si="158"/>
        <v>High Balance</v>
      </c>
      <c r="P2521" t="str">
        <f t="shared" si="159"/>
        <v>New</v>
      </c>
    </row>
    <row r="2522" spans="1:16" x14ac:dyDescent="0.25">
      <c r="A2522">
        <v>2025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  <c r="M2522" t="str">
        <f t="shared" si="156"/>
        <v>60+</v>
      </c>
      <c r="N2522" t="str">
        <f t="shared" si="157"/>
        <v>Low</v>
      </c>
      <c r="O2522" t="str">
        <f t="shared" si="158"/>
        <v>High Balance</v>
      </c>
      <c r="P2522" t="str">
        <f t="shared" si="159"/>
        <v>Mid-term</v>
      </c>
    </row>
    <row r="2523" spans="1:16" x14ac:dyDescent="0.25">
      <c r="A2523">
        <v>2025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  <c r="M2523" t="str">
        <f t="shared" si="156"/>
        <v>&lt;30</v>
      </c>
      <c r="N2523" t="str">
        <f t="shared" si="157"/>
        <v>Medium</v>
      </c>
      <c r="O2523" t="str">
        <f t="shared" si="158"/>
        <v>High Balance</v>
      </c>
      <c r="P2523" t="str">
        <f t="shared" si="159"/>
        <v>Mid-term</v>
      </c>
    </row>
    <row r="2524" spans="1:16" x14ac:dyDescent="0.25">
      <c r="A2524">
        <v>2025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  <c r="M2524" t="str">
        <f t="shared" si="156"/>
        <v>30-45</v>
      </c>
      <c r="N2524" t="str">
        <f t="shared" si="157"/>
        <v>Medium</v>
      </c>
      <c r="O2524" t="str">
        <f t="shared" si="158"/>
        <v>Zero Balance</v>
      </c>
      <c r="P2524" t="str">
        <f t="shared" si="159"/>
        <v>New</v>
      </c>
    </row>
    <row r="2525" spans="1:16" x14ac:dyDescent="0.25">
      <c r="A2525">
        <v>2025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  <c r="M2525" t="str">
        <f t="shared" si="156"/>
        <v>&lt;30</v>
      </c>
      <c r="N2525" t="str">
        <f t="shared" si="157"/>
        <v>High</v>
      </c>
      <c r="O2525" t="str">
        <f t="shared" si="158"/>
        <v>Zero Balance</v>
      </c>
      <c r="P2525" t="str">
        <f t="shared" si="159"/>
        <v>New</v>
      </c>
    </row>
    <row r="2526" spans="1:16" x14ac:dyDescent="0.25">
      <c r="A2526">
        <v>2025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  <c r="M2526" t="str">
        <f t="shared" si="156"/>
        <v>46-60</v>
      </c>
      <c r="N2526" t="str">
        <f t="shared" si="157"/>
        <v>High</v>
      </c>
      <c r="O2526" t="str">
        <f t="shared" si="158"/>
        <v>Zero Balance</v>
      </c>
      <c r="P2526" t="str">
        <f t="shared" si="159"/>
        <v>Mid-term</v>
      </c>
    </row>
    <row r="2527" spans="1:16" x14ac:dyDescent="0.25">
      <c r="A2527">
        <v>2025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  <c r="M2527" t="str">
        <f t="shared" si="156"/>
        <v>30-45</v>
      </c>
      <c r="N2527" t="str">
        <f t="shared" si="157"/>
        <v>Medium</v>
      </c>
      <c r="O2527" t="str">
        <f t="shared" si="158"/>
        <v>High Balance</v>
      </c>
      <c r="P2527" t="str">
        <f t="shared" si="159"/>
        <v>Long-term</v>
      </c>
    </row>
    <row r="2528" spans="1:16" x14ac:dyDescent="0.25">
      <c r="A2528">
        <v>2025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  <c r="M2528" t="str">
        <f t="shared" si="156"/>
        <v>&lt;30</v>
      </c>
      <c r="N2528" t="str">
        <f t="shared" si="157"/>
        <v>Medium</v>
      </c>
      <c r="O2528" t="str">
        <f t="shared" si="158"/>
        <v>Zero Balance</v>
      </c>
      <c r="P2528" t="str">
        <f t="shared" si="159"/>
        <v>Mid-term</v>
      </c>
    </row>
    <row r="2529" spans="1:16" x14ac:dyDescent="0.25">
      <c r="A2529">
        <v>2025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  <c r="M2529" t="str">
        <f t="shared" si="156"/>
        <v>30-45</v>
      </c>
      <c r="N2529" t="str">
        <f t="shared" si="157"/>
        <v>High</v>
      </c>
      <c r="O2529" t="str">
        <f t="shared" si="158"/>
        <v>Zero Balance</v>
      </c>
      <c r="P2529" t="str">
        <f t="shared" si="159"/>
        <v>Mid-term</v>
      </c>
    </row>
    <row r="2530" spans="1:16" x14ac:dyDescent="0.25">
      <c r="A2530">
        <v>2025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  <c r="M2530" t="str">
        <f t="shared" si="156"/>
        <v>&lt;30</v>
      </c>
      <c r="N2530" t="str">
        <f t="shared" si="157"/>
        <v>Medium</v>
      </c>
      <c r="O2530" t="str">
        <f t="shared" si="158"/>
        <v>High Balance</v>
      </c>
      <c r="P2530" t="str">
        <f t="shared" si="159"/>
        <v>Long-term</v>
      </c>
    </row>
    <row r="2531" spans="1:16" x14ac:dyDescent="0.25">
      <c r="A2531">
        <v>2025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  <c r="M2531" t="str">
        <f t="shared" si="156"/>
        <v>&lt;30</v>
      </c>
      <c r="N2531" t="str">
        <f t="shared" si="157"/>
        <v>High</v>
      </c>
      <c r="O2531" t="str">
        <f t="shared" si="158"/>
        <v>Low Balance</v>
      </c>
      <c r="P2531" t="str">
        <f t="shared" si="159"/>
        <v>Long-term</v>
      </c>
    </row>
    <row r="2532" spans="1:16" x14ac:dyDescent="0.25">
      <c r="A2532">
        <v>2025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  <c r="M2532" t="str">
        <f t="shared" si="156"/>
        <v>30-45</v>
      </c>
      <c r="N2532" t="str">
        <f t="shared" si="157"/>
        <v>Medium</v>
      </c>
      <c r="O2532" t="str">
        <f t="shared" si="158"/>
        <v>Low Balance</v>
      </c>
      <c r="P2532" t="str">
        <f t="shared" si="159"/>
        <v>New</v>
      </c>
    </row>
    <row r="2533" spans="1:16" x14ac:dyDescent="0.25">
      <c r="A2533">
        <v>2025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  <c r="M2533" t="str">
        <f t="shared" si="156"/>
        <v>46-60</v>
      </c>
      <c r="N2533" t="str">
        <f t="shared" si="157"/>
        <v>Medium</v>
      </c>
      <c r="O2533" t="str">
        <f t="shared" si="158"/>
        <v>High Balance</v>
      </c>
      <c r="P2533" t="str">
        <f t="shared" si="159"/>
        <v>Mid-term</v>
      </c>
    </row>
    <row r="2534" spans="1:16" x14ac:dyDescent="0.25">
      <c r="A2534">
        <v>2025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  <c r="M2534" t="str">
        <f t="shared" si="156"/>
        <v>46-60</v>
      </c>
      <c r="N2534" t="str">
        <f t="shared" si="157"/>
        <v>High</v>
      </c>
      <c r="O2534" t="str">
        <f t="shared" si="158"/>
        <v>Zero Balance</v>
      </c>
      <c r="P2534" t="str">
        <f t="shared" si="159"/>
        <v>New</v>
      </c>
    </row>
    <row r="2535" spans="1:16" x14ac:dyDescent="0.25">
      <c r="A2535">
        <v>2025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  <c r="M2535" t="str">
        <f t="shared" si="156"/>
        <v>60+</v>
      </c>
      <c r="N2535" t="str">
        <f t="shared" si="157"/>
        <v>Medium</v>
      </c>
      <c r="O2535" t="str">
        <f t="shared" si="158"/>
        <v>High Balance</v>
      </c>
      <c r="P2535" t="str">
        <f t="shared" si="159"/>
        <v>Mid-term</v>
      </c>
    </row>
    <row r="2536" spans="1:16" x14ac:dyDescent="0.25">
      <c r="A2536">
        <v>2025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  <c r="M2536" t="str">
        <f t="shared" si="156"/>
        <v>30-45</v>
      </c>
      <c r="N2536" t="str">
        <f t="shared" si="157"/>
        <v>High</v>
      </c>
      <c r="O2536" t="str">
        <f t="shared" si="158"/>
        <v>High Balance</v>
      </c>
      <c r="P2536" t="str">
        <f t="shared" si="159"/>
        <v>Mid-term</v>
      </c>
    </row>
    <row r="2537" spans="1:16" x14ac:dyDescent="0.25">
      <c r="A2537">
        <v>2025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  <c r="M2537" t="str">
        <f t="shared" si="156"/>
        <v>30-45</v>
      </c>
      <c r="N2537" t="str">
        <f t="shared" si="157"/>
        <v>Medium</v>
      </c>
      <c r="O2537" t="str">
        <f t="shared" si="158"/>
        <v>High Balance</v>
      </c>
      <c r="P2537" t="str">
        <f t="shared" si="159"/>
        <v>New</v>
      </c>
    </row>
    <row r="2538" spans="1:16" x14ac:dyDescent="0.25">
      <c r="A2538">
        <v>2025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  <c r="M2538" t="str">
        <f t="shared" si="156"/>
        <v>46-60</v>
      </c>
      <c r="N2538" t="str">
        <f t="shared" si="157"/>
        <v>Medium</v>
      </c>
      <c r="O2538" t="str">
        <f t="shared" si="158"/>
        <v>Zero Balance</v>
      </c>
      <c r="P2538" t="str">
        <f t="shared" si="159"/>
        <v>New</v>
      </c>
    </row>
    <row r="2539" spans="1:16" x14ac:dyDescent="0.25">
      <c r="A2539">
        <v>2025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  <c r="M2539" t="str">
        <f t="shared" si="156"/>
        <v>30-45</v>
      </c>
      <c r="N2539" t="str">
        <f t="shared" si="157"/>
        <v>Medium</v>
      </c>
      <c r="O2539" t="str">
        <f t="shared" si="158"/>
        <v>Low Balance</v>
      </c>
      <c r="P2539" t="str">
        <f t="shared" si="159"/>
        <v>New</v>
      </c>
    </row>
    <row r="2540" spans="1:16" x14ac:dyDescent="0.25">
      <c r="A2540">
        <v>2025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  <c r="M2540" t="str">
        <f t="shared" si="156"/>
        <v>30-45</v>
      </c>
      <c r="N2540" t="str">
        <f t="shared" si="157"/>
        <v>High</v>
      </c>
      <c r="O2540" t="str">
        <f t="shared" si="158"/>
        <v>Zero Balance</v>
      </c>
      <c r="P2540" t="str">
        <f t="shared" si="159"/>
        <v>Mid-term</v>
      </c>
    </row>
    <row r="2541" spans="1:16" x14ac:dyDescent="0.25">
      <c r="A2541">
        <v>2025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  <c r="M2541" t="str">
        <f t="shared" si="156"/>
        <v>46-60</v>
      </c>
      <c r="N2541" t="str">
        <f t="shared" si="157"/>
        <v>Medium</v>
      </c>
      <c r="O2541" t="str">
        <f t="shared" si="158"/>
        <v>Low Balance</v>
      </c>
      <c r="P2541" t="str">
        <f t="shared" si="159"/>
        <v>Mid-term</v>
      </c>
    </row>
    <row r="2542" spans="1:16" x14ac:dyDescent="0.25">
      <c r="A2542">
        <v>2025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  <c r="M2542" t="str">
        <f t="shared" si="156"/>
        <v>30-45</v>
      </c>
      <c r="N2542" t="str">
        <f t="shared" si="157"/>
        <v>Medium</v>
      </c>
      <c r="O2542" t="str">
        <f t="shared" si="158"/>
        <v>High Balance</v>
      </c>
      <c r="P2542" t="str">
        <f t="shared" si="159"/>
        <v>Long-term</v>
      </c>
    </row>
    <row r="2543" spans="1:16" x14ac:dyDescent="0.25">
      <c r="A2543">
        <v>2025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  <c r="M2543" t="str">
        <f t="shared" si="156"/>
        <v>60+</v>
      </c>
      <c r="N2543" t="str">
        <f t="shared" si="157"/>
        <v>Medium</v>
      </c>
      <c r="O2543" t="str">
        <f t="shared" si="158"/>
        <v>High Balance</v>
      </c>
      <c r="P2543" t="str">
        <f t="shared" si="159"/>
        <v>New</v>
      </c>
    </row>
    <row r="2544" spans="1:16" x14ac:dyDescent="0.25">
      <c r="A2544">
        <v>2025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  <c r="M2544" t="str">
        <f t="shared" si="156"/>
        <v>30-45</v>
      </c>
      <c r="N2544" t="str">
        <f t="shared" si="157"/>
        <v>Medium</v>
      </c>
      <c r="O2544" t="str">
        <f t="shared" si="158"/>
        <v>Low Balance</v>
      </c>
      <c r="P2544" t="str">
        <f t="shared" si="159"/>
        <v>Long-term</v>
      </c>
    </row>
    <row r="2545" spans="1:16" x14ac:dyDescent="0.25">
      <c r="A2545">
        <v>2025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  <c r="M2545" t="str">
        <f t="shared" si="156"/>
        <v>&lt;30</v>
      </c>
      <c r="N2545" t="str">
        <f t="shared" si="157"/>
        <v>High</v>
      </c>
      <c r="O2545" t="str">
        <f t="shared" si="158"/>
        <v>Zero Balance</v>
      </c>
      <c r="P2545" t="str">
        <f t="shared" si="159"/>
        <v>New</v>
      </c>
    </row>
    <row r="2546" spans="1:16" x14ac:dyDescent="0.25">
      <c r="A2546">
        <v>2025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  <c r="M2546" t="str">
        <f t="shared" si="156"/>
        <v>30-45</v>
      </c>
      <c r="N2546" t="str">
        <f t="shared" si="157"/>
        <v>Medium</v>
      </c>
      <c r="O2546" t="str">
        <f t="shared" si="158"/>
        <v>Low Balance</v>
      </c>
      <c r="P2546" t="str">
        <f t="shared" si="159"/>
        <v>Mid-term</v>
      </c>
    </row>
    <row r="2547" spans="1:16" x14ac:dyDescent="0.25">
      <c r="A2547">
        <v>2025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  <c r="M2547" t="str">
        <f t="shared" si="156"/>
        <v>30-45</v>
      </c>
      <c r="N2547" t="str">
        <f t="shared" si="157"/>
        <v>Medium</v>
      </c>
      <c r="O2547" t="str">
        <f t="shared" si="158"/>
        <v>Zero Balance</v>
      </c>
      <c r="P2547" t="str">
        <f t="shared" si="159"/>
        <v>New</v>
      </c>
    </row>
    <row r="2548" spans="1:16" x14ac:dyDescent="0.25">
      <c r="A2548">
        <v>2025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  <c r="M2548" t="str">
        <f t="shared" si="156"/>
        <v>46-60</v>
      </c>
      <c r="N2548" t="str">
        <f t="shared" si="157"/>
        <v>Medium</v>
      </c>
      <c r="O2548" t="str">
        <f t="shared" si="158"/>
        <v>Zero Balance</v>
      </c>
      <c r="P2548" t="str">
        <f t="shared" si="159"/>
        <v>New</v>
      </c>
    </row>
    <row r="2549" spans="1:16" x14ac:dyDescent="0.25">
      <c r="A2549">
        <v>2025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  <c r="M2549" t="str">
        <f t="shared" si="156"/>
        <v>46-60</v>
      </c>
      <c r="N2549" t="str">
        <f t="shared" si="157"/>
        <v>Medium</v>
      </c>
      <c r="O2549" t="str">
        <f t="shared" si="158"/>
        <v>High Balance</v>
      </c>
      <c r="P2549" t="str">
        <f t="shared" si="159"/>
        <v>New</v>
      </c>
    </row>
    <row r="2550" spans="1:16" x14ac:dyDescent="0.25">
      <c r="A2550">
        <v>2025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  <c r="M2550" t="str">
        <f t="shared" si="156"/>
        <v>46-60</v>
      </c>
      <c r="N2550" t="str">
        <f t="shared" si="157"/>
        <v>Medium</v>
      </c>
      <c r="O2550" t="str">
        <f t="shared" si="158"/>
        <v>Zero Balance</v>
      </c>
      <c r="P2550" t="str">
        <f t="shared" si="159"/>
        <v>Mid-term</v>
      </c>
    </row>
    <row r="2551" spans="1:16" x14ac:dyDescent="0.25">
      <c r="A2551">
        <v>2025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  <c r="M2551" t="str">
        <f t="shared" si="156"/>
        <v>30-45</v>
      </c>
      <c r="N2551" t="str">
        <f t="shared" si="157"/>
        <v>Medium</v>
      </c>
      <c r="O2551" t="str">
        <f t="shared" si="158"/>
        <v>Zero Balance</v>
      </c>
      <c r="P2551" t="str">
        <f t="shared" si="159"/>
        <v>Long-term</v>
      </c>
    </row>
    <row r="2552" spans="1:16" x14ac:dyDescent="0.25">
      <c r="A2552">
        <v>2025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  <c r="M2552" t="str">
        <f t="shared" si="156"/>
        <v>30-45</v>
      </c>
      <c r="N2552" t="str">
        <f t="shared" si="157"/>
        <v>High</v>
      </c>
      <c r="O2552" t="str">
        <f t="shared" si="158"/>
        <v>Zero Balance</v>
      </c>
      <c r="P2552" t="str">
        <f t="shared" si="159"/>
        <v>New</v>
      </c>
    </row>
    <row r="2553" spans="1:16" x14ac:dyDescent="0.25">
      <c r="A2553">
        <v>2025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  <c r="M2553" t="str">
        <f t="shared" si="156"/>
        <v>46-60</v>
      </c>
      <c r="N2553" t="str">
        <f t="shared" si="157"/>
        <v>Medium</v>
      </c>
      <c r="O2553" t="str">
        <f t="shared" si="158"/>
        <v>Zero Balance</v>
      </c>
      <c r="P2553" t="str">
        <f t="shared" si="159"/>
        <v>New</v>
      </c>
    </row>
    <row r="2554" spans="1:16" x14ac:dyDescent="0.25">
      <c r="A2554">
        <v>2025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  <c r="M2554" t="str">
        <f t="shared" si="156"/>
        <v>46-60</v>
      </c>
      <c r="N2554" t="str">
        <f t="shared" si="157"/>
        <v>Medium</v>
      </c>
      <c r="O2554" t="str">
        <f t="shared" si="158"/>
        <v>Low Balance</v>
      </c>
      <c r="P2554" t="str">
        <f t="shared" si="159"/>
        <v>Mid-term</v>
      </c>
    </row>
    <row r="2555" spans="1:16" x14ac:dyDescent="0.25">
      <c r="A2555">
        <v>2025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  <c r="M2555" t="str">
        <f t="shared" si="156"/>
        <v>60+</v>
      </c>
      <c r="N2555" t="str">
        <f t="shared" si="157"/>
        <v>High</v>
      </c>
      <c r="O2555" t="str">
        <f t="shared" si="158"/>
        <v>Zero Balance</v>
      </c>
      <c r="P2555" t="str">
        <f t="shared" si="159"/>
        <v>Long-term</v>
      </c>
    </row>
    <row r="2556" spans="1:16" x14ac:dyDescent="0.25">
      <c r="A2556">
        <v>2025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  <c r="M2556" t="str">
        <f t="shared" si="156"/>
        <v>30-45</v>
      </c>
      <c r="N2556" t="str">
        <f t="shared" si="157"/>
        <v>High</v>
      </c>
      <c r="O2556" t="str">
        <f t="shared" si="158"/>
        <v>High Balance</v>
      </c>
      <c r="P2556" t="str">
        <f t="shared" si="159"/>
        <v>New</v>
      </c>
    </row>
    <row r="2557" spans="1:16" x14ac:dyDescent="0.25">
      <c r="A2557">
        <v>2025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  <c r="M2557" t="str">
        <f t="shared" si="156"/>
        <v>30-45</v>
      </c>
      <c r="N2557" t="str">
        <f t="shared" si="157"/>
        <v>High</v>
      </c>
      <c r="O2557" t="str">
        <f t="shared" si="158"/>
        <v>High Balance</v>
      </c>
      <c r="P2557" t="str">
        <f t="shared" si="159"/>
        <v>Long-term</v>
      </c>
    </row>
    <row r="2558" spans="1:16" x14ac:dyDescent="0.25">
      <c r="A2558">
        <v>2025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  <c r="M2558" t="str">
        <f t="shared" si="156"/>
        <v>30-45</v>
      </c>
      <c r="N2558" t="str">
        <f t="shared" si="157"/>
        <v>Medium</v>
      </c>
      <c r="O2558" t="str">
        <f t="shared" si="158"/>
        <v>Zero Balance</v>
      </c>
      <c r="P2558" t="str">
        <f t="shared" si="159"/>
        <v>Mid-term</v>
      </c>
    </row>
    <row r="2559" spans="1:16" x14ac:dyDescent="0.25">
      <c r="A2559">
        <v>2025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  <c r="M2559" t="str">
        <f t="shared" si="156"/>
        <v>&lt;30</v>
      </c>
      <c r="N2559" t="str">
        <f t="shared" si="157"/>
        <v>High</v>
      </c>
      <c r="O2559" t="str">
        <f t="shared" si="158"/>
        <v>Low Balance</v>
      </c>
      <c r="P2559" t="str">
        <f t="shared" si="159"/>
        <v>Mid-term</v>
      </c>
    </row>
    <row r="2560" spans="1:16" x14ac:dyDescent="0.25">
      <c r="A2560">
        <v>2025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  <c r="M2560" t="str">
        <f t="shared" si="156"/>
        <v>30-45</v>
      </c>
      <c r="N2560" t="str">
        <f t="shared" si="157"/>
        <v>High</v>
      </c>
      <c r="O2560" t="str">
        <f t="shared" si="158"/>
        <v>High Balance</v>
      </c>
      <c r="P2560" t="str">
        <f t="shared" si="159"/>
        <v>Long-term</v>
      </c>
    </row>
    <row r="2561" spans="1:16" x14ac:dyDescent="0.25">
      <c r="A2561">
        <v>2025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  <c r="M2561" t="str">
        <f t="shared" si="156"/>
        <v>30-45</v>
      </c>
      <c r="N2561" t="str">
        <f t="shared" si="157"/>
        <v>Medium</v>
      </c>
      <c r="O2561" t="str">
        <f t="shared" si="158"/>
        <v>High Balance</v>
      </c>
      <c r="P2561" t="str">
        <f t="shared" si="159"/>
        <v>New</v>
      </c>
    </row>
    <row r="2562" spans="1:16" x14ac:dyDescent="0.25">
      <c r="A2562">
        <v>2025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  <c r="M2562" t="str">
        <f t="shared" si="156"/>
        <v>30-45</v>
      </c>
      <c r="N2562" t="str">
        <f t="shared" si="157"/>
        <v>Medium</v>
      </c>
      <c r="O2562" t="str">
        <f t="shared" si="158"/>
        <v>Zero Balance</v>
      </c>
      <c r="P2562" t="str">
        <f t="shared" si="159"/>
        <v>Mid-term</v>
      </c>
    </row>
    <row r="2563" spans="1:16" x14ac:dyDescent="0.25">
      <c r="A2563">
        <v>2025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  <c r="M2563" t="str">
        <f t="shared" ref="M2563:M2626" si="160">IF(E2563&lt;30,"&lt;30",IF(E2563&lt;=45,"30-45",IF(E2563&lt;=60,"46-60","60+")))</f>
        <v>30-45</v>
      </c>
      <c r="N2563" t="str">
        <f t="shared" ref="N2563:N2626" si="161">IF(B2563&lt;500,"Low",IF(B2563&lt;700,"Medium","High"))</f>
        <v>Medium</v>
      </c>
      <c r="O2563" t="str">
        <f t="shared" ref="O2563:O2626" si="162">IF(G2563=0,"Zero Balance",IF(G2563&lt;100000,"Low Balance","High Balance"))</f>
        <v>High Balance</v>
      </c>
      <c r="P2563" t="str">
        <f t="shared" ref="P2563:P2626" si="163">IF(F2563&lt;=3,"New",IF(F2563&lt;=7,"Mid-term","Long-term"))</f>
        <v>New</v>
      </c>
    </row>
    <row r="2564" spans="1:16" x14ac:dyDescent="0.25">
      <c r="A2564">
        <v>2025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  <c r="M2564" t="str">
        <f t="shared" si="160"/>
        <v>46-60</v>
      </c>
      <c r="N2564" t="str">
        <f t="shared" si="161"/>
        <v>High</v>
      </c>
      <c r="O2564" t="str">
        <f t="shared" si="162"/>
        <v>High Balance</v>
      </c>
      <c r="P2564" t="str">
        <f t="shared" si="163"/>
        <v>Long-term</v>
      </c>
    </row>
    <row r="2565" spans="1:16" x14ac:dyDescent="0.25">
      <c r="A2565">
        <v>2025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  <c r="M2565" t="str">
        <f t="shared" si="160"/>
        <v>&lt;30</v>
      </c>
      <c r="N2565" t="str">
        <f t="shared" si="161"/>
        <v>High</v>
      </c>
      <c r="O2565" t="str">
        <f t="shared" si="162"/>
        <v>Zero Balance</v>
      </c>
      <c r="P2565" t="str">
        <f t="shared" si="163"/>
        <v>Mid-term</v>
      </c>
    </row>
    <row r="2566" spans="1:16" x14ac:dyDescent="0.25">
      <c r="A2566">
        <v>2025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  <c r="M2566" t="str">
        <f t="shared" si="160"/>
        <v>30-45</v>
      </c>
      <c r="N2566" t="str">
        <f t="shared" si="161"/>
        <v>Medium</v>
      </c>
      <c r="O2566" t="str">
        <f t="shared" si="162"/>
        <v>High Balance</v>
      </c>
      <c r="P2566" t="str">
        <f t="shared" si="163"/>
        <v>Mid-term</v>
      </c>
    </row>
    <row r="2567" spans="1:16" x14ac:dyDescent="0.25">
      <c r="A2567">
        <v>2025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  <c r="M2567" t="str">
        <f t="shared" si="160"/>
        <v>46-60</v>
      </c>
      <c r="N2567" t="str">
        <f t="shared" si="161"/>
        <v>High</v>
      </c>
      <c r="O2567" t="str">
        <f t="shared" si="162"/>
        <v>Low Balance</v>
      </c>
      <c r="P2567" t="str">
        <f t="shared" si="163"/>
        <v>Mid-term</v>
      </c>
    </row>
    <row r="2568" spans="1:16" x14ac:dyDescent="0.25">
      <c r="A2568">
        <v>2025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  <c r="M2568" t="str">
        <f t="shared" si="160"/>
        <v>&lt;30</v>
      </c>
      <c r="N2568" t="str">
        <f t="shared" si="161"/>
        <v>Medium</v>
      </c>
      <c r="O2568" t="str">
        <f t="shared" si="162"/>
        <v>High Balance</v>
      </c>
      <c r="P2568" t="str">
        <f t="shared" si="163"/>
        <v>Mid-term</v>
      </c>
    </row>
    <row r="2569" spans="1:16" x14ac:dyDescent="0.25">
      <c r="A2569">
        <v>2025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  <c r="M2569" t="str">
        <f t="shared" si="160"/>
        <v>30-45</v>
      </c>
      <c r="N2569" t="str">
        <f t="shared" si="161"/>
        <v>Medium</v>
      </c>
      <c r="O2569" t="str">
        <f t="shared" si="162"/>
        <v>Zero Balance</v>
      </c>
      <c r="P2569" t="str">
        <f t="shared" si="163"/>
        <v>New</v>
      </c>
    </row>
    <row r="2570" spans="1:16" x14ac:dyDescent="0.25">
      <c r="A2570">
        <v>2025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  <c r="M2570" t="str">
        <f t="shared" si="160"/>
        <v>46-60</v>
      </c>
      <c r="N2570" t="str">
        <f t="shared" si="161"/>
        <v>Medium</v>
      </c>
      <c r="O2570" t="str">
        <f t="shared" si="162"/>
        <v>High Balance</v>
      </c>
      <c r="P2570" t="str">
        <f t="shared" si="163"/>
        <v>Mid-term</v>
      </c>
    </row>
    <row r="2571" spans="1:16" x14ac:dyDescent="0.25">
      <c r="A2571">
        <v>2025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  <c r="M2571" t="str">
        <f t="shared" si="160"/>
        <v>30-45</v>
      </c>
      <c r="N2571" t="str">
        <f t="shared" si="161"/>
        <v>Medium</v>
      </c>
      <c r="O2571" t="str">
        <f t="shared" si="162"/>
        <v>High Balance</v>
      </c>
      <c r="P2571" t="str">
        <f t="shared" si="163"/>
        <v>New</v>
      </c>
    </row>
    <row r="2572" spans="1:16" x14ac:dyDescent="0.25">
      <c r="A2572">
        <v>2025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  <c r="M2572" t="str">
        <f t="shared" si="160"/>
        <v>30-45</v>
      </c>
      <c r="N2572" t="str">
        <f t="shared" si="161"/>
        <v>Medium</v>
      </c>
      <c r="O2572" t="str">
        <f t="shared" si="162"/>
        <v>High Balance</v>
      </c>
      <c r="P2572" t="str">
        <f t="shared" si="163"/>
        <v>Mid-term</v>
      </c>
    </row>
    <row r="2573" spans="1:16" x14ac:dyDescent="0.25">
      <c r="A2573">
        <v>2025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  <c r="M2573" t="str">
        <f t="shared" si="160"/>
        <v>30-45</v>
      </c>
      <c r="N2573" t="str">
        <f t="shared" si="161"/>
        <v>Medium</v>
      </c>
      <c r="O2573" t="str">
        <f t="shared" si="162"/>
        <v>High Balance</v>
      </c>
      <c r="P2573" t="str">
        <f t="shared" si="163"/>
        <v>Mid-term</v>
      </c>
    </row>
    <row r="2574" spans="1:16" x14ac:dyDescent="0.25">
      <c r="A2574">
        <v>2025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  <c r="M2574" t="str">
        <f t="shared" si="160"/>
        <v>46-60</v>
      </c>
      <c r="N2574" t="str">
        <f t="shared" si="161"/>
        <v>High</v>
      </c>
      <c r="O2574" t="str">
        <f t="shared" si="162"/>
        <v>Low Balance</v>
      </c>
      <c r="P2574" t="str">
        <f t="shared" si="163"/>
        <v>Long-term</v>
      </c>
    </row>
    <row r="2575" spans="1:16" x14ac:dyDescent="0.25">
      <c r="A2575">
        <v>2025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  <c r="M2575" t="str">
        <f t="shared" si="160"/>
        <v>30-45</v>
      </c>
      <c r="N2575" t="str">
        <f t="shared" si="161"/>
        <v>Medium</v>
      </c>
      <c r="O2575" t="str">
        <f t="shared" si="162"/>
        <v>Zero Balance</v>
      </c>
      <c r="P2575" t="str">
        <f t="shared" si="163"/>
        <v>New</v>
      </c>
    </row>
    <row r="2576" spans="1:16" x14ac:dyDescent="0.25">
      <c r="A2576">
        <v>2025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  <c r="M2576" t="str">
        <f t="shared" si="160"/>
        <v>46-60</v>
      </c>
      <c r="N2576" t="str">
        <f t="shared" si="161"/>
        <v>Medium</v>
      </c>
      <c r="O2576" t="str">
        <f t="shared" si="162"/>
        <v>High Balance</v>
      </c>
      <c r="P2576" t="str">
        <f t="shared" si="163"/>
        <v>Long-term</v>
      </c>
    </row>
    <row r="2577" spans="1:16" x14ac:dyDescent="0.25">
      <c r="A2577">
        <v>2025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  <c r="M2577" t="str">
        <f t="shared" si="160"/>
        <v>46-60</v>
      </c>
      <c r="N2577" t="str">
        <f t="shared" si="161"/>
        <v>Medium</v>
      </c>
      <c r="O2577" t="str">
        <f t="shared" si="162"/>
        <v>High Balance</v>
      </c>
      <c r="P2577" t="str">
        <f t="shared" si="163"/>
        <v>Mid-term</v>
      </c>
    </row>
    <row r="2578" spans="1:16" x14ac:dyDescent="0.25">
      <c r="A2578">
        <v>2025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  <c r="M2578" t="str">
        <f t="shared" si="160"/>
        <v>30-45</v>
      </c>
      <c r="N2578" t="str">
        <f t="shared" si="161"/>
        <v>Medium</v>
      </c>
      <c r="O2578" t="str">
        <f t="shared" si="162"/>
        <v>Low Balance</v>
      </c>
      <c r="P2578" t="str">
        <f t="shared" si="163"/>
        <v>Mid-term</v>
      </c>
    </row>
    <row r="2579" spans="1:16" x14ac:dyDescent="0.25">
      <c r="A2579">
        <v>2025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  <c r="M2579" t="str">
        <f t="shared" si="160"/>
        <v>&lt;30</v>
      </c>
      <c r="N2579" t="str">
        <f t="shared" si="161"/>
        <v>Medium</v>
      </c>
      <c r="O2579" t="str">
        <f t="shared" si="162"/>
        <v>High Balance</v>
      </c>
      <c r="P2579" t="str">
        <f t="shared" si="163"/>
        <v>Long-term</v>
      </c>
    </row>
    <row r="2580" spans="1:16" x14ac:dyDescent="0.25">
      <c r="A2580">
        <v>2025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  <c r="M2580" t="str">
        <f t="shared" si="160"/>
        <v>30-45</v>
      </c>
      <c r="N2580" t="str">
        <f t="shared" si="161"/>
        <v>Medium</v>
      </c>
      <c r="O2580" t="str">
        <f t="shared" si="162"/>
        <v>High Balance</v>
      </c>
      <c r="P2580" t="str">
        <f t="shared" si="163"/>
        <v>New</v>
      </c>
    </row>
    <row r="2581" spans="1:16" x14ac:dyDescent="0.25">
      <c r="A2581">
        <v>2025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  <c r="M2581" t="str">
        <f t="shared" si="160"/>
        <v>30-45</v>
      </c>
      <c r="N2581" t="str">
        <f t="shared" si="161"/>
        <v>Low</v>
      </c>
      <c r="O2581" t="str">
        <f t="shared" si="162"/>
        <v>High Balance</v>
      </c>
      <c r="P2581" t="str">
        <f t="shared" si="163"/>
        <v>New</v>
      </c>
    </row>
    <row r="2582" spans="1:16" x14ac:dyDescent="0.25">
      <c r="A2582">
        <v>2025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  <c r="M2582" t="str">
        <f t="shared" si="160"/>
        <v>30-45</v>
      </c>
      <c r="N2582" t="str">
        <f t="shared" si="161"/>
        <v>Medium</v>
      </c>
      <c r="O2582" t="str">
        <f t="shared" si="162"/>
        <v>High Balance</v>
      </c>
      <c r="P2582" t="str">
        <f t="shared" si="163"/>
        <v>Mid-term</v>
      </c>
    </row>
    <row r="2583" spans="1:16" x14ac:dyDescent="0.25">
      <c r="A2583">
        <v>2025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  <c r="M2583" t="str">
        <f t="shared" si="160"/>
        <v>30-45</v>
      </c>
      <c r="N2583" t="str">
        <f t="shared" si="161"/>
        <v>High</v>
      </c>
      <c r="O2583" t="str">
        <f t="shared" si="162"/>
        <v>Zero Balance</v>
      </c>
      <c r="P2583" t="str">
        <f t="shared" si="163"/>
        <v>New</v>
      </c>
    </row>
    <row r="2584" spans="1:16" x14ac:dyDescent="0.25">
      <c r="A2584">
        <v>2025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  <c r="M2584" t="str">
        <f t="shared" si="160"/>
        <v>46-60</v>
      </c>
      <c r="N2584" t="str">
        <f t="shared" si="161"/>
        <v>Medium</v>
      </c>
      <c r="O2584" t="str">
        <f t="shared" si="162"/>
        <v>High Balance</v>
      </c>
      <c r="P2584" t="str">
        <f t="shared" si="163"/>
        <v>Mid-term</v>
      </c>
    </row>
    <row r="2585" spans="1:16" x14ac:dyDescent="0.25">
      <c r="A2585">
        <v>2025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  <c r="M2585" t="str">
        <f t="shared" si="160"/>
        <v>30-45</v>
      </c>
      <c r="N2585" t="str">
        <f t="shared" si="161"/>
        <v>High</v>
      </c>
      <c r="O2585" t="str">
        <f t="shared" si="162"/>
        <v>Zero Balance</v>
      </c>
      <c r="P2585" t="str">
        <f t="shared" si="163"/>
        <v>Mid-term</v>
      </c>
    </row>
    <row r="2586" spans="1:16" x14ac:dyDescent="0.25">
      <c r="A2586">
        <v>2025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  <c r="M2586" t="str">
        <f t="shared" si="160"/>
        <v>30-45</v>
      </c>
      <c r="N2586" t="str">
        <f t="shared" si="161"/>
        <v>High</v>
      </c>
      <c r="O2586" t="str">
        <f t="shared" si="162"/>
        <v>Zero Balance</v>
      </c>
      <c r="P2586" t="str">
        <f t="shared" si="163"/>
        <v>New</v>
      </c>
    </row>
    <row r="2587" spans="1:16" x14ac:dyDescent="0.25">
      <c r="A2587">
        <v>2025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  <c r="M2587" t="str">
        <f t="shared" si="160"/>
        <v>&lt;30</v>
      </c>
      <c r="N2587" t="str">
        <f t="shared" si="161"/>
        <v>High</v>
      </c>
      <c r="O2587" t="str">
        <f t="shared" si="162"/>
        <v>Zero Balance</v>
      </c>
      <c r="P2587" t="str">
        <f t="shared" si="163"/>
        <v>Long-term</v>
      </c>
    </row>
    <row r="2588" spans="1:16" x14ac:dyDescent="0.25">
      <c r="A2588">
        <v>2025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  <c r="M2588" t="str">
        <f t="shared" si="160"/>
        <v>46-60</v>
      </c>
      <c r="N2588" t="str">
        <f t="shared" si="161"/>
        <v>Medium</v>
      </c>
      <c r="O2588" t="str">
        <f t="shared" si="162"/>
        <v>High Balance</v>
      </c>
      <c r="P2588" t="str">
        <f t="shared" si="163"/>
        <v>Mid-term</v>
      </c>
    </row>
    <row r="2589" spans="1:16" x14ac:dyDescent="0.25">
      <c r="A2589">
        <v>2025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  <c r="M2589" t="str">
        <f t="shared" si="160"/>
        <v>30-45</v>
      </c>
      <c r="N2589" t="str">
        <f t="shared" si="161"/>
        <v>Medium</v>
      </c>
      <c r="O2589" t="str">
        <f t="shared" si="162"/>
        <v>Zero Balance</v>
      </c>
      <c r="P2589" t="str">
        <f t="shared" si="163"/>
        <v>Long-term</v>
      </c>
    </row>
    <row r="2590" spans="1:16" x14ac:dyDescent="0.25">
      <c r="A2590">
        <v>2025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  <c r="M2590" t="str">
        <f t="shared" si="160"/>
        <v>30-45</v>
      </c>
      <c r="N2590" t="str">
        <f t="shared" si="161"/>
        <v>High</v>
      </c>
      <c r="O2590" t="str">
        <f t="shared" si="162"/>
        <v>Zero Balance</v>
      </c>
      <c r="P2590" t="str">
        <f t="shared" si="163"/>
        <v>Mid-term</v>
      </c>
    </row>
    <row r="2591" spans="1:16" x14ac:dyDescent="0.25">
      <c r="A2591">
        <v>2025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  <c r="M2591" t="str">
        <f t="shared" si="160"/>
        <v>30-45</v>
      </c>
      <c r="N2591" t="str">
        <f t="shared" si="161"/>
        <v>High</v>
      </c>
      <c r="O2591" t="str">
        <f t="shared" si="162"/>
        <v>High Balance</v>
      </c>
      <c r="P2591" t="str">
        <f t="shared" si="163"/>
        <v>Long-term</v>
      </c>
    </row>
    <row r="2592" spans="1:16" x14ac:dyDescent="0.25">
      <c r="A2592">
        <v>2025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  <c r="M2592" t="str">
        <f t="shared" si="160"/>
        <v>&lt;30</v>
      </c>
      <c r="N2592" t="str">
        <f t="shared" si="161"/>
        <v>High</v>
      </c>
      <c r="O2592" t="str">
        <f t="shared" si="162"/>
        <v>High Balance</v>
      </c>
      <c r="P2592" t="str">
        <f t="shared" si="163"/>
        <v>Mid-term</v>
      </c>
    </row>
    <row r="2593" spans="1:16" x14ac:dyDescent="0.25">
      <c r="A2593">
        <v>2025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  <c r="M2593" t="str">
        <f t="shared" si="160"/>
        <v>30-45</v>
      </c>
      <c r="N2593" t="str">
        <f t="shared" si="161"/>
        <v>Medium</v>
      </c>
      <c r="O2593" t="str">
        <f t="shared" si="162"/>
        <v>High Balance</v>
      </c>
      <c r="P2593" t="str">
        <f t="shared" si="163"/>
        <v>New</v>
      </c>
    </row>
    <row r="2594" spans="1:16" x14ac:dyDescent="0.25">
      <c r="A2594">
        <v>2025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  <c r="M2594" t="str">
        <f t="shared" si="160"/>
        <v>30-45</v>
      </c>
      <c r="N2594" t="str">
        <f t="shared" si="161"/>
        <v>Medium</v>
      </c>
      <c r="O2594" t="str">
        <f t="shared" si="162"/>
        <v>Low Balance</v>
      </c>
      <c r="P2594" t="str">
        <f t="shared" si="163"/>
        <v>Mid-term</v>
      </c>
    </row>
    <row r="2595" spans="1:16" x14ac:dyDescent="0.25">
      <c r="A2595">
        <v>2025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  <c r="M2595" t="str">
        <f t="shared" si="160"/>
        <v>46-60</v>
      </c>
      <c r="N2595" t="str">
        <f t="shared" si="161"/>
        <v>Medium</v>
      </c>
      <c r="O2595" t="str">
        <f t="shared" si="162"/>
        <v>High Balance</v>
      </c>
      <c r="P2595" t="str">
        <f t="shared" si="163"/>
        <v>Mid-term</v>
      </c>
    </row>
    <row r="2596" spans="1:16" x14ac:dyDescent="0.25">
      <c r="A2596">
        <v>2025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  <c r="M2596" t="str">
        <f t="shared" si="160"/>
        <v>46-60</v>
      </c>
      <c r="N2596" t="str">
        <f t="shared" si="161"/>
        <v>Medium</v>
      </c>
      <c r="O2596" t="str">
        <f t="shared" si="162"/>
        <v>High Balance</v>
      </c>
      <c r="P2596" t="str">
        <f t="shared" si="163"/>
        <v>Mid-term</v>
      </c>
    </row>
    <row r="2597" spans="1:16" x14ac:dyDescent="0.25">
      <c r="A2597">
        <v>2025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  <c r="M2597" t="str">
        <f t="shared" si="160"/>
        <v>&lt;30</v>
      </c>
      <c r="N2597" t="str">
        <f t="shared" si="161"/>
        <v>Medium</v>
      </c>
      <c r="O2597" t="str">
        <f t="shared" si="162"/>
        <v>High Balance</v>
      </c>
      <c r="P2597" t="str">
        <f t="shared" si="163"/>
        <v>Long-term</v>
      </c>
    </row>
    <row r="2598" spans="1:16" x14ac:dyDescent="0.25">
      <c r="A2598">
        <v>2025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  <c r="M2598" t="str">
        <f t="shared" si="160"/>
        <v>&lt;30</v>
      </c>
      <c r="N2598" t="str">
        <f t="shared" si="161"/>
        <v>High</v>
      </c>
      <c r="O2598" t="str">
        <f t="shared" si="162"/>
        <v>High Balance</v>
      </c>
      <c r="P2598" t="str">
        <f t="shared" si="163"/>
        <v>Mid-term</v>
      </c>
    </row>
    <row r="2599" spans="1:16" x14ac:dyDescent="0.25">
      <c r="A2599">
        <v>2025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  <c r="M2599" t="str">
        <f t="shared" si="160"/>
        <v>30-45</v>
      </c>
      <c r="N2599" t="str">
        <f t="shared" si="161"/>
        <v>Medium</v>
      </c>
      <c r="O2599" t="str">
        <f t="shared" si="162"/>
        <v>High Balance</v>
      </c>
      <c r="P2599" t="str">
        <f t="shared" si="163"/>
        <v>New</v>
      </c>
    </row>
    <row r="2600" spans="1:16" x14ac:dyDescent="0.25">
      <c r="A2600">
        <v>2025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  <c r="M2600" t="str">
        <f t="shared" si="160"/>
        <v>46-60</v>
      </c>
      <c r="N2600" t="str">
        <f t="shared" si="161"/>
        <v>Medium</v>
      </c>
      <c r="O2600" t="str">
        <f t="shared" si="162"/>
        <v>Zero Balance</v>
      </c>
      <c r="P2600" t="str">
        <f t="shared" si="163"/>
        <v>New</v>
      </c>
    </row>
    <row r="2601" spans="1:16" x14ac:dyDescent="0.25">
      <c r="A2601">
        <v>2025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  <c r="M2601" t="str">
        <f t="shared" si="160"/>
        <v>60+</v>
      </c>
      <c r="N2601" t="str">
        <f t="shared" si="161"/>
        <v>Medium</v>
      </c>
      <c r="O2601" t="str">
        <f t="shared" si="162"/>
        <v>Low Balance</v>
      </c>
      <c r="P2601" t="str">
        <f t="shared" si="163"/>
        <v>Mid-term</v>
      </c>
    </row>
    <row r="2602" spans="1:16" x14ac:dyDescent="0.25">
      <c r="A2602">
        <v>2025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  <c r="M2602" t="str">
        <f t="shared" si="160"/>
        <v>&lt;30</v>
      </c>
      <c r="N2602" t="str">
        <f t="shared" si="161"/>
        <v>Medium</v>
      </c>
      <c r="O2602" t="str">
        <f t="shared" si="162"/>
        <v>Zero Balance</v>
      </c>
      <c r="P2602" t="str">
        <f t="shared" si="163"/>
        <v>Long-term</v>
      </c>
    </row>
    <row r="2603" spans="1:16" x14ac:dyDescent="0.25">
      <c r="A2603">
        <v>2025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  <c r="M2603" t="str">
        <f t="shared" si="160"/>
        <v>30-45</v>
      </c>
      <c r="N2603" t="str">
        <f t="shared" si="161"/>
        <v>Medium</v>
      </c>
      <c r="O2603" t="str">
        <f t="shared" si="162"/>
        <v>Zero Balance</v>
      </c>
      <c r="P2603" t="str">
        <f t="shared" si="163"/>
        <v>Long-term</v>
      </c>
    </row>
    <row r="2604" spans="1:16" x14ac:dyDescent="0.25">
      <c r="A2604">
        <v>2025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  <c r="M2604" t="str">
        <f t="shared" si="160"/>
        <v>&lt;30</v>
      </c>
      <c r="N2604" t="str">
        <f t="shared" si="161"/>
        <v>Medium</v>
      </c>
      <c r="O2604" t="str">
        <f t="shared" si="162"/>
        <v>High Balance</v>
      </c>
      <c r="P2604" t="str">
        <f t="shared" si="163"/>
        <v>New</v>
      </c>
    </row>
    <row r="2605" spans="1:16" x14ac:dyDescent="0.25">
      <c r="A2605">
        <v>2025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  <c r="M2605" t="str">
        <f t="shared" si="160"/>
        <v>30-45</v>
      </c>
      <c r="N2605" t="str">
        <f t="shared" si="161"/>
        <v>Medium</v>
      </c>
      <c r="O2605" t="str">
        <f t="shared" si="162"/>
        <v>High Balance</v>
      </c>
      <c r="P2605" t="str">
        <f t="shared" si="163"/>
        <v>Mid-term</v>
      </c>
    </row>
    <row r="2606" spans="1:16" x14ac:dyDescent="0.25">
      <c r="A2606">
        <v>2025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  <c r="M2606" t="str">
        <f t="shared" si="160"/>
        <v>&lt;30</v>
      </c>
      <c r="N2606" t="str">
        <f t="shared" si="161"/>
        <v>Medium</v>
      </c>
      <c r="O2606" t="str">
        <f t="shared" si="162"/>
        <v>High Balance</v>
      </c>
      <c r="P2606" t="str">
        <f t="shared" si="163"/>
        <v>Mid-term</v>
      </c>
    </row>
    <row r="2607" spans="1:16" x14ac:dyDescent="0.25">
      <c r="A2607">
        <v>2025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  <c r="M2607" t="str">
        <f t="shared" si="160"/>
        <v>30-45</v>
      </c>
      <c r="N2607" t="str">
        <f t="shared" si="161"/>
        <v>Medium</v>
      </c>
      <c r="O2607" t="str">
        <f t="shared" si="162"/>
        <v>Low Balance</v>
      </c>
      <c r="P2607" t="str">
        <f t="shared" si="163"/>
        <v>Mid-term</v>
      </c>
    </row>
    <row r="2608" spans="1:16" x14ac:dyDescent="0.25">
      <c r="A2608">
        <v>2025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  <c r="M2608" t="str">
        <f t="shared" si="160"/>
        <v>30-45</v>
      </c>
      <c r="N2608" t="str">
        <f t="shared" si="161"/>
        <v>Medium</v>
      </c>
      <c r="O2608" t="str">
        <f t="shared" si="162"/>
        <v>High Balance</v>
      </c>
      <c r="P2608" t="str">
        <f t="shared" si="163"/>
        <v>New</v>
      </c>
    </row>
    <row r="2609" spans="1:16" x14ac:dyDescent="0.25">
      <c r="A2609">
        <v>2025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  <c r="M2609" t="str">
        <f t="shared" si="160"/>
        <v>30-45</v>
      </c>
      <c r="N2609" t="str">
        <f t="shared" si="161"/>
        <v>High</v>
      </c>
      <c r="O2609" t="str">
        <f t="shared" si="162"/>
        <v>High Balance</v>
      </c>
      <c r="P2609" t="str">
        <f t="shared" si="163"/>
        <v>New</v>
      </c>
    </row>
    <row r="2610" spans="1:16" x14ac:dyDescent="0.25">
      <c r="A2610">
        <v>2025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  <c r="M2610" t="str">
        <f t="shared" si="160"/>
        <v>30-45</v>
      </c>
      <c r="N2610" t="str">
        <f t="shared" si="161"/>
        <v>Medium</v>
      </c>
      <c r="O2610" t="str">
        <f t="shared" si="162"/>
        <v>Zero Balance</v>
      </c>
      <c r="P2610" t="str">
        <f t="shared" si="163"/>
        <v>New</v>
      </c>
    </row>
    <row r="2611" spans="1:16" x14ac:dyDescent="0.25">
      <c r="A2611">
        <v>2025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  <c r="M2611" t="str">
        <f t="shared" si="160"/>
        <v>46-60</v>
      </c>
      <c r="N2611" t="str">
        <f t="shared" si="161"/>
        <v>Medium</v>
      </c>
      <c r="O2611" t="str">
        <f t="shared" si="162"/>
        <v>Zero Balance</v>
      </c>
      <c r="P2611" t="str">
        <f t="shared" si="163"/>
        <v>New</v>
      </c>
    </row>
    <row r="2612" spans="1:16" x14ac:dyDescent="0.25">
      <c r="A2612">
        <v>2025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  <c r="M2612" t="str">
        <f t="shared" si="160"/>
        <v>30-45</v>
      </c>
      <c r="N2612" t="str">
        <f t="shared" si="161"/>
        <v>Medium</v>
      </c>
      <c r="O2612" t="str">
        <f t="shared" si="162"/>
        <v>High Balance</v>
      </c>
      <c r="P2612" t="str">
        <f t="shared" si="163"/>
        <v>Mid-term</v>
      </c>
    </row>
    <row r="2613" spans="1:16" x14ac:dyDescent="0.25">
      <c r="A2613">
        <v>2025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  <c r="M2613" t="str">
        <f t="shared" si="160"/>
        <v>30-45</v>
      </c>
      <c r="N2613" t="str">
        <f t="shared" si="161"/>
        <v>Medium</v>
      </c>
      <c r="O2613" t="str">
        <f t="shared" si="162"/>
        <v>High Balance</v>
      </c>
      <c r="P2613" t="str">
        <f t="shared" si="163"/>
        <v>New</v>
      </c>
    </row>
    <row r="2614" spans="1:16" x14ac:dyDescent="0.25">
      <c r="A2614">
        <v>2025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  <c r="M2614" t="str">
        <f t="shared" si="160"/>
        <v>30-45</v>
      </c>
      <c r="N2614" t="str">
        <f t="shared" si="161"/>
        <v>Medium</v>
      </c>
      <c r="O2614" t="str">
        <f t="shared" si="162"/>
        <v>Zero Balance</v>
      </c>
      <c r="P2614" t="str">
        <f t="shared" si="163"/>
        <v>New</v>
      </c>
    </row>
    <row r="2615" spans="1:16" x14ac:dyDescent="0.25">
      <c r="A2615">
        <v>2025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  <c r="M2615" t="str">
        <f t="shared" si="160"/>
        <v>&lt;30</v>
      </c>
      <c r="N2615" t="str">
        <f t="shared" si="161"/>
        <v>Medium</v>
      </c>
      <c r="O2615" t="str">
        <f t="shared" si="162"/>
        <v>High Balance</v>
      </c>
      <c r="P2615" t="str">
        <f t="shared" si="163"/>
        <v>Mid-term</v>
      </c>
    </row>
    <row r="2616" spans="1:16" x14ac:dyDescent="0.25">
      <c r="A2616">
        <v>2025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  <c r="M2616" t="str">
        <f t="shared" si="160"/>
        <v>46-60</v>
      </c>
      <c r="N2616" t="str">
        <f t="shared" si="161"/>
        <v>Medium</v>
      </c>
      <c r="O2616" t="str">
        <f t="shared" si="162"/>
        <v>High Balance</v>
      </c>
      <c r="P2616" t="str">
        <f t="shared" si="163"/>
        <v>New</v>
      </c>
    </row>
    <row r="2617" spans="1:16" x14ac:dyDescent="0.25">
      <c r="A2617">
        <v>2025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  <c r="M2617" t="str">
        <f t="shared" si="160"/>
        <v>60+</v>
      </c>
      <c r="N2617" t="str">
        <f t="shared" si="161"/>
        <v>Low</v>
      </c>
      <c r="O2617" t="str">
        <f t="shared" si="162"/>
        <v>Low Balance</v>
      </c>
      <c r="P2617" t="str">
        <f t="shared" si="163"/>
        <v>Long-term</v>
      </c>
    </row>
    <row r="2618" spans="1:16" x14ac:dyDescent="0.25">
      <c r="A2618">
        <v>2025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  <c r="M2618" t="str">
        <f t="shared" si="160"/>
        <v>30-45</v>
      </c>
      <c r="N2618" t="str">
        <f t="shared" si="161"/>
        <v>High</v>
      </c>
      <c r="O2618" t="str">
        <f t="shared" si="162"/>
        <v>High Balance</v>
      </c>
      <c r="P2618" t="str">
        <f t="shared" si="163"/>
        <v>Long-term</v>
      </c>
    </row>
    <row r="2619" spans="1:16" x14ac:dyDescent="0.25">
      <c r="A2619">
        <v>2025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  <c r="M2619" t="str">
        <f t="shared" si="160"/>
        <v>30-45</v>
      </c>
      <c r="N2619" t="str">
        <f t="shared" si="161"/>
        <v>Medium</v>
      </c>
      <c r="O2619" t="str">
        <f t="shared" si="162"/>
        <v>High Balance</v>
      </c>
      <c r="P2619" t="str">
        <f t="shared" si="163"/>
        <v>Mid-term</v>
      </c>
    </row>
    <row r="2620" spans="1:16" x14ac:dyDescent="0.25">
      <c r="A2620">
        <v>2025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  <c r="M2620" t="str">
        <f t="shared" si="160"/>
        <v>30-45</v>
      </c>
      <c r="N2620" t="str">
        <f t="shared" si="161"/>
        <v>Low</v>
      </c>
      <c r="O2620" t="str">
        <f t="shared" si="162"/>
        <v>Zero Balance</v>
      </c>
      <c r="P2620" t="str">
        <f t="shared" si="163"/>
        <v>New</v>
      </c>
    </row>
    <row r="2621" spans="1:16" x14ac:dyDescent="0.25">
      <c r="A2621">
        <v>2025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  <c r="M2621" t="str">
        <f t="shared" si="160"/>
        <v>46-60</v>
      </c>
      <c r="N2621" t="str">
        <f t="shared" si="161"/>
        <v>High</v>
      </c>
      <c r="O2621" t="str">
        <f t="shared" si="162"/>
        <v>Zero Balance</v>
      </c>
      <c r="P2621" t="str">
        <f t="shared" si="163"/>
        <v>Long-term</v>
      </c>
    </row>
    <row r="2622" spans="1:16" x14ac:dyDescent="0.25">
      <c r="A2622">
        <v>2025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  <c r="M2622" t="str">
        <f t="shared" si="160"/>
        <v>30-45</v>
      </c>
      <c r="N2622" t="str">
        <f t="shared" si="161"/>
        <v>Medium</v>
      </c>
      <c r="O2622" t="str">
        <f t="shared" si="162"/>
        <v>High Balance</v>
      </c>
      <c r="P2622" t="str">
        <f t="shared" si="163"/>
        <v>Mid-term</v>
      </c>
    </row>
    <row r="2623" spans="1:16" x14ac:dyDescent="0.25">
      <c r="A2623">
        <v>2025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  <c r="M2623" t="str">
        <f t="shared" si="160"/>
        <v>30-45</v>
      </c>
      <c r="N2623" t="str">
        <f t="shared" si="161"/>
        <v>Medium</v>
      </c>
      <c r="O2623" t="str">
        <f t="shared" si="162"/>
        <v>Zero Balance</v>
      </c>
      <c r="P2623" t="str">
        <f t="shared" si="163"/>
        <v>Mid-term</v>
      </c>
    </row>
    <row r="2624" spans="1:16" x14ac:dyDescent="0.25">
      <c r="A2624">
        <v>2025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  <c r="M2624" t="str">
        <f t="shared" si="160"/>
        <v>&lt;30</v>
      </c>
      <c r="N2624" t="str">
        <f t="shared" si="161"/>
        <v>Medium</v>
      </c>
      <c r="O2624" t="str">
        <f t="shared" si="162"/>
        <v>High Balance</v>
      </c>
      <c r="P2624" t="str">
        <f t="shared" si="163"/>
        <v>New</v>
      </c>
    </row>
    <row r="2625" spans="1:16" x14ac:dyDescent="0.25">
      <c r="A2625">
        <v>2025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  <c r="M2625" t="str">
        <f t="shared" si="160"/>
        <v>&lt;30</v>
      </c>
      <c r="N2625" t="str">
        <f t="shared" si="161"/>
        <v>Medium</v>
      </c>
      <c r="O2625" t="str">
        <f t="shared" si="162"/>
        <v>Zero Balance</v>
      </c>
      <c r="P2625" t="str">
        <f t="shared" si="163"/>
        <v>Long-term</v>
      </c>
    </row>
    <row r="2626" spans="1:16" x14ac:dyDescent="0.25">
      <c r="A2626">
        <v>2025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  <c r="M2626" t="str">
        <f t="shared" si="160"/>
        <v>&lt;30</v>
      </c>
      <c r="N2626" t="str">
        <f t="shared" si="161"/>
        <v>Medium</v>
      </c>
      <c r="O2626" t="str">
        <f t="shared" si="162"/>
        <v>High Balance</v>
      </c>
      <c r="P2626" t="str">
        <f t="shared" si="163"/>
        <v>New</v>
      </c>
    </row>
    <row r="2627" spans="1:16" x14ac:dyDescent="0.25">
      <c r="A2627">
        <v>2025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  <c r="M2627" t="str">
        <f t="shared" ref="M2627:M2690" si="164">IF(E2627&lt;30,"&lt;30",IF(E2627&lt;=45,"30-45",IF(E2627&lt;=60,"46-60","60+")))</f>
        <v>&lt;30</v>
      </c>
      <c r="N2627" t="str">
        <f t="shared" ref="N2627:N2690" si="165">IF(B2627&lt;500,"Low",IF(B2627&lt;700,"Medium","High"))</f>
        <v>Medium</v>
      </c>
      <c r="O2627" t="str">
        <f t="shared" ref="O2627:O2690" si="166">IF(G2627=0,"Zero Balance",IF(G2627&lt;100000,"Low Balance","High Balance"))</f>
        <v>High Balance</v>
      </c>
      <c r="P2627" t="str">
        <f t="shared" ref="P2627:P2690" si="167">IF(F2627&lt;=3,"New",IF(F2627&lt;=7,"Mid-term","Long-term"))</f>
        <v>Mid-term</v>
      </c>
    </row>
    <row r="2628" spans="1:16" x14ac:dyDescent="0.25">
      <c r="A2628">
        <v>2025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  <c r="M2628" t="str">
        <f t="shared" si="164"/>
        <v>&lt;30</v>
      </c>
      <c r="N2628" t="str">
        <f t="shared" si="165"/>
        <v>Medium</v>
      </c>
      <c r="O2628" t="str">
        <f t="shared" si="166"/>
        <v>High Balance</v>
      </c>
      <c r="P2628" t="str">
        <f t="shared" si="167"/>
        <v>New</v>
      </c>
    </row>
    <row r="2629" spans="1:16" x14ac:dyDescent="0.25">
      <c r="A2629">
        <v>2025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  <c r="M2629" t="str">
        <f t="shared" si="164"/>
        <v>&lt;30</v>
      </c>
      <c r="N2629" t="str">
        <f t="shared" si="165"/>
        <v>Medium</v>
      </c>
      <c r="O2629" t="str">
        <f t="shared" si="166"/>
        <v>Low Balance</v>
      </c>
      <c r="P2629" t="str">
        <f t="shared" si="167"/>
        <v>Mid-term</v>
      </c>
    </row>
    <row r="2630" spans="1:16" x14ac:dyDescent="0.25">
      <c r="A2630">
        <v>2025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  <c r="M2630" t="str">
        <f t="shared" si="164"/>
        <v>46-60</v>
      </c>
      <c r="N2630" t="str">
        <f t="shared" si="165"/>
        <v>Medium</v>
      </c>
      <c r="O2630" t="str">
        <f t="shared" si="166"/>
        <v>High Balance</v>
      </c>
      <c r="P2630" t="str">
        <f t="shared" si="167"/>
        <v>New</v>
      </c>
    </row>
    <row r="2631" spans="1:16" x14ac:dyDescent="0.25">
      <c r="A2631">
        <v>2025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  <c r="M2631" t="str">
        <f t="shared" si="164"/>
        <v>30-45</v>
      </c>
      <c r="N2631" t="str">
        <f t="shared" si="165"/>
        <v>High</v>
      </c>
      <c r="O2631" t="str">
        <f t="shared" si="166"/>
        <v>Zero Balance</v>
      </c>
      <c r="P2631" t="str">
        <f t="shared" si="167"/>
        <v>New</v>
      </c>
    </row>
    <row r="2632" spans="1:16" x14ac:dyDescent="0.25">
      <c r="A2632">
        <v>2025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  <c r="M2632" t="str">
        <f t="shared" si="164"/>
        <v>30-45</v>
      </c>
      <c r="N2632" t="str">
        <f t="shared" si="165"/>
        <v>Medium</v>
      </c>
      <c r="O2632" t="str">
        <f t="shared" si="166"/>
        <v>High Balance</v>
      </c>
      <c r="P2632" t="str">
        <f t="shared" si="167"/>
        <v>New</v>
      </c>
    </row>
    <row r="2633" spans="1:16" x14ac:dyDescent="0.25">
      <c r="A2633">
        <v>2025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  <c r="M2633" t="str">
        <f t="shared" si="164"/>
        <v>30-45</v>
      </c>
      <c r="N2633" t="str">
        <f t="shared" si="165"/>
        <v>Medium</v>
      </c>
      <c r="O2633" t="str">
        <f t="shared" si="166"/>
        <v>High Balance</v>
      </c>
      <c r="P2633" t="str">
        <f t="shared" si="167"/>
        <v>New</v>
      </c>
    </row>
    <row r="2634" spans="1:16" x14ac:dyDescent="0.25">
      <c r="A2634">
        <v>2025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  <c r="M2634" t="str">
        <f t="shared" si="164"/>
        <v>46-60</v>
      </c>
      <c r="N2634" t="str">
        <f t="shared" si="165"/>
        <v>Medium</v>
      </c>
      <c r="O2634" t="str">
        <f t="shared" si="166"/>
        <v>Zero Balance</v>
      </c>
      <c r="P2634" t="str">
        <f t="shared" si="167"/>
        <v>New</v>
      </c>
    </row>
    <row r="2635" spans="1:16" x14ac:dyDescent="0.25">
      <c r="A2635">
        <v>2025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  <c r="M2635" t="str">
        <f t="shared" si="164"/>
        <v>30-45</v>
      </c>
      <c r="N2635" t="str">
        <f t="shared" si="165"/>
        <v>Medium</v>
      </c>
      <c r="O2635" t="str">
        <f t="shared" si="166"/>
        <v>Zero Balance</v>
      </c>
      <c r="P2635" t="str">
        <f t="shared" si="167"/>
        <v>New</v>
      </c>
    </row>
    <row r="2636" spans="1:16" x14ac:dyDescent="0.25">
      <c r="A2636">
        <v>2025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  <c r="M2636" t="str">
        <f t="shared" si="164"/>
        <v>30-45</v>
      </c>
      <c r="N2636" t="str">
        <f t="shared" si="165"/>
        <v>Medium</v>
      </c>
      <c r="O2636" t="str">
        <f t="shared" si="166"/>
        <v>Low Balance</v>
      </c>
      <c r="P2636" t="str">
        <f t="shared" si="167"/>
        <v>Long-term</v>
      </c>
    </row>
    <row r="2637" spans="1:16" x14ac:dyDescent="0.25">
      <c r="A2637">
        <v>2025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  <c r="M2637" t="str">
        <f t="shared" si="164"/>
        <v>&lt;30</v>
      </c>
      <c r="N2637" t="str">
        <f t="shared" si="165"/>
        <v>Medium</v>
      </c>
      <c r="O2637" t="str">
        <f t="shared" si="166"/>
        <v>Zero Balance</v>
      </c>
      <c r="P2637" t="str">
        <f t="shared" si="167"/>
        <v>Mid-term</v>
      </c>
    </row>
    <row r="2638" spans="1:16" x14ac:dyDescent="0.25">
      <c r="A2638">
        <v>2025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  <c r="M2638" t="str">
        <f t="shared" si="164"/>
        <v>30-45</v>
      </c>
      <c r="N2638" t="str">
        <f t="shared" si="165"/>
        <v>High</v>
      </c>
      <c r="O2638" t="str">
        <f t="shared" si="166"/>
        <v>Zero Balance</v>
      </c>
      <c r="P2638" t="str">
        <f t="shared" si="167"/>
        <v>New</v>
      </c>
    </row>
    <row r="2639" spans="1:16" x14ac:dyDescent="0.25">
      <c r="A2639">
        <v>2025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  <c r="M2639" t="str">
        <f t="shared" si="164"/>
        <v>&lt;30</v>
      </c>
      <c r="N2639" t="str">
        <f t="shared" si="165"/>
        <v>Medium</v>
      </c>
      <c r="O2639" t="str">
        <f t="shared" si="166"/>
        <v>Low Balance</v>
      </c>
      <c r="P2639" t="str">
        <f t="shared" si="167"/>
        <v>New</v>
      </c>
    </row>
    <row r="2640" spans="1:16" x14ac:dyDescent="0.25">
      <c r="A2640">
        <v>2025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  <c r="M2640" t="str">
        <f t="shared" si="164"/>
        <v>30-45</v>
      </c>
      <c r="N2640" t="str">
        <f t="shared" si="165"/>
        <v>Medium</v>
      </c>
      <c r="O2640" t="str">
        <f t="shared" si="166"/>
        <v>Zero Balance</v>
      </c>
      <c r="P2640" t="str">
        <f t="shared" si="167"/>
        <v>Long-term</v>
      </c>
    </row>
    <row r="2641" spans="1:16" x14ac:dyDescent="0.25">
      <c r="A2641">
        <v>2025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  <c r="M2641" t="str">
        <f t="shared" si="164"/>
        <v>30-45</v>
      </c>
      <c r="N2641" t="str">
        <f t="shared" si="165"/>
        <v>High</v>
      </c>
      <c r="O2641" t="str">
        <f t="shared" si="166"/>
        <v>High Balance</v>
      </c>
      <c r="P2641" t="str">
        <f t="shared" si="167"/>
        <v>New</v>
      </c>
    </row>
    <row r="2642" spans="1:16" x14ac:dyDescent="0.25">
      <c r="A2642">
        <v>2025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  <c r="M2642" t="str">
        <f t="shared" si="164"/>
        <v>30-45</v>
      </c>
      <c r="N2642" t="str">
        <f t="shared" si="165"/>
        <v>Medium</v>
      </c>
      <c r="O2642" t="str">
        <f t="shared" si="166"/>
        <v>Zero Balance</v>
      </c>
      <c r="P2642" t="str">
        <f t="shared" si="167"/>
        <v>Long-term</v>
      </c>
    </row>
    <row r="2643" spans="1:16" x14ac:dyDescent="0.25">
      <c r="A2643">
        <v>2025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  <c r="M2643" t="str">
        <f t="shared" si="164"/>
        <v>&lt;30</v>
      </c>
      <c r="N2643" t="str">
        <f t="shared" si="165"/>
        <v>Medium</v>
      </c>
      <c r="O2643" t="str">
        <f t="shared" si="166"/>
        <v>High Balance</v>
      </c>
      <c r="P2643" t="str">
        <f t="shared" si="167"/>
        <v>Mid-term</v>
      </c>
    </row>
    <row r="2644" spans="1:16" x14ac:dyDescent="0.25">
      <c r="A2644">
        <v>2025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  <c r="M2644" t="str">
        <f t="shared" si="164"/>
        <v>&lt;30</v>
      </c>
      <c r="N2644" t="str">
        <f t="shared" si="165"/>
        <v>Medium</v>
      </c>
      <c r="O2644" t="str">
        <f t="shared" si="166"/>
        <v>Low Balance</v>
      </c>
      <c r="P2644" t="str">
        <f t="shared" si="167"/>
        <v>Mid-term</v>
      </c>
    </row>
    <row r="2645" spans="1:16" x14ac:dyDescent="0.25">
      <c r="A2645">
        <v>2025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  <c r="M2645" t="str">
        <f t="shared" si="164"/>
        <v>&lt;30</v>
      </c>
      <c r="N2645" t="str">
        <f t="shared" si="165"/>
        <v>Medium</v>
      </c>
      <c r="O2645" t="str">
        <f t="shared" si="166"/>
        <v>High Balance</v>
      </c>
      <c r="P2645" t="str">
        <f t="shared" si="167"/>
        <v>Mid-term</v>
      </c>
    </row>
    <row r="2646" spans="1:16" x14ac:dyDescent="0.25">
      <c r="A2646">
        <v>2025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  <c r="M2646" t="str">
        <f t="shared" si="164"/>
        <v>&lt;30</v>
      </c>
      <c r="N2646" t="str">
        <f t="shared" si="165"/>
        <v>High</v>
      </c>
      <c r="O2646" t="str">
        <f t="shared" si="166"/>
        <v>Low Balance</v>
      </c>
      <c r="P2646" t="str">
        <f t="shared" si="167"/>
        <v>Mid-term</v>
      </c>
    </row>
    <row r="2647" spans="1:16" x14ac:dyDescent="0.25">
      <c r="A2647">
        <v>2025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  <c r="M2647" t="str">
        <f t="shared" si="164"/>
        <v>&lt;30</v>
      </c>
      <c r="N2647" t="str">
        <f t="shared" si="165"/>
        <v>High</v>
      </c>
      <c r="O2647" t="str">
        <f t="shared" si="166"/>
        <v>Low Balance</v>
      </c>
      <c r="P2647" t="str">
        <f t="shared" si="167"/>
        <v>Mid-term</v>
      </c>
    </row>
    <row r="2648" spans="1:16" x14ac:dyDescent="0.25">
      <c r="A2648">
        <v>2025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  <c r="M2648" t="str">
        <f t="shared" si="164"/>
        <v>30-45</v>
      </c>
      <c r="N2648" t="str">
        <f t="shared" si="165"/>
        <v>Low</v>
      </c>
      <c r="O2648" t="str">
        <f t="shared" si="166"/>
        <v>Zero Balance</v>
      </c>
      <c r="P2648" t="str">
        <f t="shared" si="167"/>
        <v>Mid-term</v>
      </c>
    </row>
    <row r="2649" spans="1:16" x14ac:dyDescent="0.25">
      <c r="A2649">
        <v>2025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  <c r="M2649" t="str">
        <f t="shared" si="164"/>
        <v>46-60</v>
      </c>
      <c r="N2649" t="str">
        <f t="shared" si="165"/>
        <v>Low</v>
      </c>
      <c r="O2649" t="str">
        <f t="shared" si="166"/>
        <v>High Balance</v>
      </c>
      <c r="P2649" t="str">
        <f t="shared" si="167"/>
        <v>Long-term</v>
      </c>
    </row>
    <row r="2650" spans="1:16" x14ac:dyDescent="0.25">
      <c r="A2650">
        <v>2025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  <c r="M2650" t="str">
        <f t="shared" si="164"/>
        <v>&lt;30</v>
      </c>
      <c r="N2650" t="str">
        <f t="shared" si="165"/>
        <v>High</v>
      </c>
      <c r="O2650" t="str">
        <f t="shared" si="166"/>
        <v>High Balance</v>
      </c>
      <c r="P2650" t="str">
        <f t="shared" si="167"/>
        <v>Mid-term</v>
      </c>
    </row>
    <row r="2651" spans="1:16" x14ac:dyDescent="0.25">
      <c r="A2651">
        <v>2025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  <c r="M2651" t="str">
        <f t="shared" si="164"/>
        <v>30-45</v>
      </c>
      <c r="N2651" t="str">
        <f t="shared" si="165"/>
        <v>Medium</v>
      </c>
      <c r="O2651" t="str">
        <f t="shared" si="166"/>
        <v>Zero Balance</v>
      </c>
      <c r="P2651" t="str">
        <f t="shared" si="167"/>
        <v>Mid-term</v>
      </c>
    </row>
    <row r="2652" spans="1:16" x14ac:dyDescent="0.25">
      <c r="A2652">
        <v>2025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  <c r="M2652" t="str">
        <f t="shared" si="164"/>
        <v>30-45</v>
      </c>
      <c r="N2652" t="str">
        <f t="shared" si="165"/>
        <v>Medium</v>
      </c>
      <c r="O2652" t="str">
        <f t="shared" si="166"/>
        <v>High Balance</v>
      </c>
      <c r="P2652" t="str">
        <f t="shared" si="167"/>
        <v>Mid-term</v>
      </c>
    </row>
    <row r="2653" spans="1:16" x14ac:dyDescent="0.25">
      <c r="A2653">
        <v>2025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  <c r="M2653" t="str">
        <f t="shared" si="164"/>
        <v>30-45</v>
      </c>
      <c r="N2653" t="str">
        <f t="shared" si="165"/>
        <v>High</v>
      </c>
      <c r="O2653" t="str">
        <f t="shared" si="166"/>
        <v>High Balance</v>
      </c>
      <c r="P2653" t="str">
        <f t="shared" si="167"/>
        <v>Mid-term</v>
      </c>
    </row>
    <row r="2654" spans="1:16" x14ac:dyDescent="0.25">
      <c r="A2654">
        <v>2025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  <c r="M2654" t="str">
        <f t="shared" si="164"/>
        <v>30-45</v>
      </c>
      <c r="N2654" t="str">
        <f t="shared" si="165"/>
        <v>Medium</v>
      </c>
      <c r="O2654" t="str">
        <f t="shared" si="166"/>
        <v>Zero Balance</v>
      </c>
      <c r="P2654" t="str">
        <f t="shared" si="167"/>
        <v>New</v>
      </c>
    </row>
    <row r="2655" spans="1:16" x14ac:dyDescent="0.25">
      <c r="A2655">
        <v>2025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  <c r="M2655" t="str">
        <f t="shared" si="164"/>
        <v>&lt;30</v>
      </c>
      <c r="N2655" t="str">
        <f t="shared" si="165"/>
        <v>High</v>
      </c>
      <c r="O2655" t="str">
        <f t="shared" si="166"/>
        <v>Zero Balance</v>
      </c>
      <c r="P2655" t="str">
        <f t="shared" si="167"/>
        <v>New</v>
      </c>
    </row>
    <row r="2656" spans="1:16" x14ac:dyDescent="0.25">
      <c r="A2656">
        <v>2025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  <c r="M2656" t="str">
        <f t="shared" si="164"/>
        <v>30-45</v>
      </c>
      <c r="N2656" t="str">
        <f t="shared" si="165"/>
        <v>Medium</v>
      </c>
      <c r="O2656" t="str">
        <f t="shared" si="166"/>
        <v>High Balance</v>
      </c>
      <c r="P2656" t="str">
        <f t="shared" si="167"/>
        <v>New</v>
      </c>
    </row>
    <row r="2657" spans="1:16" x14ac:dyDescent="0.25">
      <c r="A2657">
        <v>2025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  <c r="M2657" t="str">
        <f t="shared" si="164"/>
        <v>46-60</v>
      </c>
      <c r="N2657" t="str">
        <f t="shared" si="165"/>
        <v>High</v>
      </c>
      <c r="O2657" t="str">
        <f t="shared" si="166"/>
        <v>Low Balance</v>
      </c>
      <c r="P2657" t="str">
        <f t="shared" si="167"/>
        <v>New</v>
      </c>
    </row>
    <row r="2658" spans="1:16" x14ac:dyDescent="0.25">
      <c r="A2658">
        <v>2025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  <c r="M2658" t="str">
        <f t="shared" si="164"/>
        <v>30-45</v>
      </c>
      <c r="N2658" t="str">
        <f t="shared" si="165"/>
        <v>High</v>
      </c>
      <c r="O2658" t="str">
        <f t="shared" si="166"/>
        <v>Zero Balance</v>
      </c>
      <c r="P2658" t="str">
        <f t="shared" si="167"/>
        <v>Mid-term</v>
      </c>
    </row>
    <row r="2659" spans="1:16" x14ac:dyDescent="0.25">
      <c r="A2659">
        <v>2025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  <c r="M2659" t="str">
        <f t="shared" si="164"/>
        <v>&lt;30</v>
      </c>
      <c r="N2659" t="str">
        <f t="shared" si="165"/>
        <v>Medium</v>
      </c>
      <c r="O2659" t="str">
        <f t="shared" si="166"/>
        <v>Zero Balance</v>
      </c>
      <c r="P2659" t="str">
        <f t="shared" si="167"/>
        <v>Long-term</v>
      </c>
    </row>
    <row r="2660" spans="1:16" x14ac:dyDescent="0.25">
      <c r="A2660">
        <v>2025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  <c r="M2660" t="str">
        <f t="shared" si="164"/>
        <v>30-45</v>
      </c>
      <c r="N2660" t="str">
        <f t="shared" si="165"/>
        <v>Medium</v>
      </c>
      <c r="O2660" t="str">
        <f t="shared" si="166"/>
        <v>High Balance</v>
      </c>
      <c r="P2660" t="str">
        <f t="shared" si="167"/>
        <v>New</v>
      </c>
    </row>
    <row r="2661" spans="1:16" x14ac:dyDescent="0.25">
      <c r="A2661">
        <v>2025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  <c r="M2661" t="str">
        <f t="shared" si="164"/>
        <v>60+</v>
      </c>
      <c r="N2661" t="str">
        <f t="shared" si="165"/>
        <v>High</v>
      </c>
      <c r="O2661" t="str">
        <f t="shared" si="166"/>
        <v>High Balance</v>
      </c>
      <c r="P2661" t="str">
        <f t="shared" si="167"/>
        <v>Mid-term</v>
      </c>
    </row>
    <row r="2662" spans="1:16" x14ac:dyDescent="0.25">
      <c r="A2662">
        <v>2025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  <c r="M2662" t="str">
        <f t="shared" si="164"/>
        <v>30-45</v>
      </c>
      <c r="N2662" t="str">
        <f t="shared" si="165"/>
        <v>High</v>
      </c>
      <c r="O2662" t="str">
        <f t="shared" si="166"/>
        <v>High Balance</v>
      </c>
      <c r="P2662" t="str">
        <f t="shared" si="167"/>
        <v>New</v>
      </c>
    </row>
    <row r="2663" spans="1:16" x14ac:dyDescent="0.25">
      <c r="A2663">
        <v>2025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  <c r="M2663" t="str">
        <f t="shared" si="164"/>
        <v>&lt;30</v>
      </c>
      <c r="N2663" t="str">
        <f t="shared" si="165"/>
        <v>High</v>
      </c>
      <c r="O2663" t="str">
        <f t="shared" si="166"/>
        <v>High Balance</v>
      </c>
      <c r="P2663" t="str">
        <f t="shared" si="167"/>
        <v>New</v>
      </c>
    </row>
    <row r="2664" spans="1:16" x14ac:dyDescent="0.25">
      <c r="A2664">
        <v>2025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  <c r="M2664" t="str">
        <f t="shared" si="164"/>
        <v>30-45</v>
      </c>
      <c r="N2664" t="str">
        <f t="shared" si="165"/>
        <v>Medium</v>
      </c>
      <c r="O2664" t="str">
        <f t="shared" si="166"/>
        <v>Low Balance</v>
      </c>
      <c r="P2664" t="str">
        <f t="shared" si="167"/>
        <v>Long-term</v>
      </c>
    </row>
    <row r="2665" spans="1:16" x14ac:dyDescent="0.25">
      <c r="A2665">
        <v>2025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  <c r="M2665" t="str">
        <f t="shared" si="164"/>
        <v>30-45</v>
      </c>
      <c r="N2665" t="str">
        <f t="shared" si="165"/>
        <v>Medium</v>
      </c>
      <c r="O2665" t="str">
        <f t="shared" si="166"/>
        <v>High Balance</v>
      </c>
      <c r="P2665" t="str">
        <f t="shared" si="167"/>
        <v>New</v>
      </c>
    </row>
    <row r="2666" spans="1:16" x14ac:dyDescent="0.25">
      <c r="A2666">
        <v>2025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  <c r="M2666" t="str">
        <f t="shared" si="164"/>
        <v>&lt;30</v>
      </c>
      <c r="N2666" t="str">
        <f t="shared" si="165"/>
        <v>Medium</v>
      </c>
      <c r="O2666" t="str">
        <f t="shared" si="166"/>
        <v>Zero Balance</v>
      </c>
      <c r="P2666" t="str">
        <f t="shared" si="167"/>
        <v>New</v>
      </c>
    </row>
    <row r="2667" spans="1:16" x14ac:dyDescent="0.25">
      <c r="A2667">
        <v>2025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  <c r="M2667" t="str">
        <f t="shared" si="164"/>
        <v>30-45</v>
      </c>
      <c r="N2667" t="str">
        <f t="shared" si="165"/>
        <v>Medium</v>
      </c>
      <c r="O2667" t="str">
        <f t="shared" si="166"/>
        <v>High Balance</v>
      </c>
      <c r="P2667" t="str">
        <f t="shared" si="167"/>
        <v>Long-term</v>
      </c>
    </row>
    <row r="2668" spans="1:16" x14ac:dyDescent="0.25">
      <c r="A2668">
        <v>2025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  <c r="M2668" t="str">
        <f t="shared" si="164"/>
        <v>30-45</v>
      </c>
      <c r="N2668" t="str">
        <f t="shared" si="165"/>
        <v>High</v>
      </c>
      <c r="O2668" t="str">
        <f t="shared" si="166"/>
        <v>Zero Balance</v>
      </c>
      <c r="P2668" t="str">
        <f t="shared" si="167"/>
        <v>Mid-term</v>
      </c>
    </row>
    <row r="2669" spans="1:16" x14ac:dyDescent="0.25">
      <c r="A2669">
        <v>2025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  <c r="M2669" t="str">
        <f t="shared" si="164"/>
        <v>30-45</v>
      </c>
      <c r="N2669" t="str">
        <f t="shared" si="165"/>
        <v>Medium</v>
      </c>
      <c r="O2669" t="str">
        <f t="shared" si="166"/>
        <v>High Balance</v>
      </c>
      <c r="P2669" t="str">
        <f t="shared" si="167"/>
        <v>New</v>
      </c>
    </row>
    <row r="2670" spans="1:16" x14ac:dyDescent="0.25">
      <c r="A2670">
        <v>2025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  <c r="M2670" t="str">
        <f t="shared" si="164"/>
        <v>46-60</v>
      </c>
      <c r="N2670" t="str">
        <f t="shared" si="165"/>
        <v>Medium</v>
      </c>
      <c r="O2670" t="str">
        <f t="shared" si="166"/>
        <v>Low Balance</v>
      </c>
      <c r="P2670" t="str">
        <f t="shared" si="167"/>
        <v>New</v>
      </c>
    </row>
    <row r="2671" spans="1:16" x14ac:dyDescent="0.25">
      <c r="A2671">
        <v>2025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  <c r="M2671" t="str">
        <f t="shared" si="164"/>
        <v>&lt;30</v>
      </c>
      <c r="N2671" t="str">
        <f t="shared" si="165"/>
        <v>Medium</v>
      </c>
      <c r="O2671" t="str">
        <f t="shared" si="166"/>
        <v>Low Balance</v>
      </c>
      <c r="P2671" t="str">
        <f t="shared" si="167"/>
        <v>Mid-term</v>
      </c>
    </row>
    <row r="2672" spans="1:16" x14ac:dyDescent="0.25">
      <c r="A2672">
        <v>2025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  <c r="M2672" t="str">
        <f t="shared" si="164"/>
        <v>60+</v>
      </c>
      <c r="N2672" t="str">
        <f t="shared" si="165"/>
        <v>Medium</v>
      </c>
      <c r="O2672" t="str">
        <f t="shared" si="166"/>
        <v>Zero Balance</v>
      </c>
      <c r="P2672" t="str">
        <f t="shared" si="167"/>
        <v>Long-term</v>
      </c>
    </row>
    <row r="2673" spans="1:16" x14ac:dyDescent="0.25">
      <c r="A2673">
        <v>2025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  <c r="M2673" t="str">
        <f t="shared" si="164"/>
        <v>30-45</v>
      </c>
      <c r="N2673" t="str">
        <f t="shared" si="165"/>
        <v>High</v>
      </c>
      <c r="O2673" t="str">
        <f t="shared" si="166"/>
        <v>Zero Balance</v>
      </c>
      <c r="P2673" t="str">
        <f t="shared" si="167"/>
        <v>Mid-term</v>
      </c>
    </row>
    <row r="2674" spans="1:16" x14ac:dyDescent="0.25">
      <c r="A2674">
        <v>2025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  <c r="M2674" t="str">
        <f t="shared" si="164"/>
        <v>30-45</v>
      </c>
      <c r="N2674" t="str">
        <f t="shared" si="165"/>
        <v>High</v>
      </c>
      <c r="O2674" t="str">
        <f t="shared" si="166"/>
        <v>High Balance</v>
      </c>
      <c r="P2674" t="str">
        <f t="shared" si="167"/>
        <v>New</v>
      </c>
    </row>
    <row r="2675" spans="1:16" x14ac:dyDescent="0.25">
      <c r="A2675">
        <v>2025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  <c r="M2675" t="str">
        <f t="shared" si="164"/>
        <v>46-60</v>
      </c>
      <c r="N2675" t="str">
        <f t="shared" si="165"/>
        <v>Medium</v>
      </c>
      <c r="O2675" t="str">
        <f t="shared" si="166"/>
        <v>High Balance</v>
      </c>
      <c r="P2675" t="str">
        <f t="shared" si="167"/>
        <v>New</v>
      </c>
    </row>
    <row r="2676" spans="1:16" x14ac:dyDescent="0.25">
      <c r="A2676">
        <v>2025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  <c r="M2676" t="str">
        <f t="shared" si="164"/>
        <v>&lt;30</v>
      </c>
      <c r="N2676" t="str">
        <f t="shared" si="165"/>
        <v>High</v>
      </c>
      <c r="O2676" t="str">
        <f t="shared" si="166"/>
        <v>High Balance</v>
      </c>
      <c r="P2676" t="str">
        <f t="shared" si="167"/>
        <v>Mid-term</v>
      </c>
    </row>
    <row r="2677" spans="1:16" x14ac:dyDescent="0.25">
      <c r="A2677">
        <v>2025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  <c r="M2677" t="str">
        <f t="shared" si="164"/>
        <v>30-45</v>
      </c>
      <c r="N2677" t="str">
        <f t="shared" si="165"/>
        <v>High</v>
      </c>
      <c r="O2677" t="str">
        <f t="shared" si="166"/>
        <v>Low Balance</v>
      </c>
      <c r="P2677" t="str">
        <f t="shared" si="167"/>
        <v>Mid-term</v>
      </c>
    </row>
    <row r="2678" spans="1:16" x14ac:dyDescent="0.25">
      <c r="A2678">
        <v>2025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  <c r="M2678" t="str">
        <f t="shared" si="164"/>
        <v>30-45</v>
      </c>
      <c r="N2678" t="str">
        <f t="shared" si="165"/>
        <v>Medium</v>
      </c>
      <c r="O2678" t="str">
        <f t="shared" si="166"/>
        <v>High Balance</v>
      </c>
      <c r="P2678" t="str">
        <f t="shared" si="167"/>
        <v>New</v>
      </c>
    </row>
    <row r="2679" spans="1:16" x14ac:dyDescent="0.25">
      <c r="A2679">
        <v>2025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  <c r="M2679" t="str">
        <f t="shared" si="164"/>
        <v>30-45</v>
      </c>
      <c r="N2679" t="str">
        <f t="shared" si="165"/>
        <v>Medium</v>
      </c>
      <c r="O2679" t="str">
        <f t="shared" si="166"/>
        <v>Low Balance</v>
      </c>
      <c r="P2679" t="str">
        <f t="shared" si="167"/>
        <v>Long-term</v>
      </c>
    </row>
    <row r="2680" spans="1:16" x14ac:dyDescent="0.25">
      <c r="A2680">
        <v>2025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  <c r="M2680" t="str">
        <f t="shared" si="164"/>
        <v>30-45</v>
      </c>
      <c r="N2680" t="str">
        <f t="shared" si="165"/>
        <v>High</v>
      </c>
      <c r="O2680" t="str">
        <f t="shared" si="166"/>
        <v>Zero Balance</v>
      </c>
      <c r="P2680" t="str">
        <f t="shared" si="167"/>
        <v>Long-term</v>
      </c>
    </row>
    <row r="2681" spans="1:16" x14ac:dyDescent="0.25">
      <c r="A2681">
        <v>2025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  <c r="M2681" t="str">
        <f t="shared" si="164"/>
        <v>30-45</v>
      </c>
      <c r="N2681" t="str">
        <f t="shared" si="165"/>
        <v>Medium</v>
      </c>
      <c r="O2681" t="str">
        <f t="shared" si="166"/>
        <v>High Balance</v>
      </c>
      <c r="P2681" t="str">
        <f t="shared" si="167"/>
        <v>Mid-term</v>
      </c>
    </row>
    <row r="2682" spans="1:16" x14ac:dyDescent="0.25">
      <c r="A2682">
        <v>2025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  <c r="M2682" t="str">
        <f t="shared" si="164"/>
        <v>30-45</v>
      </c>
      <c r="N2682" t="str">
        <f t="shared" si="165"/>
        <v>Medium</v>
      </c>
      <c r="O2682" t="str">
        <f t="shared" si="166"/>
        <v>Zero Balance</v>
      </c>
      <c r="P2682" t="str">
        <f t="shared" si="167"/>
        <v>Mid-term</v>
      </c>
    </row>
    <row r="2683" spans="1:16" x14ac:dyDescent="0.25">
      <c r="A2683">
        <v>2025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  <c r="M2683" t="str">
        <f t="shared" si="164"/>
        <v>30-45</v>
      </c>
      <c r="N2683" t="str">
        <f t="shared" si="165"/>
        <v>Medium</v>
      </c>
      <c r="O2683" t="str">
        <f t="shared" si="166"/>
        <v>Low Balance</v>
      </c>
      <c r="P2683" t="str">
        <f t="shared" si="167"/>
        <v>Mid-term</v>
      </c>
    </row>
    <row r="2684" spans="1:16" x14ac:dyDescent="0.25">
      <c r="A2684">
        <v>2025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  <c r="M2684" t="str">
        <f t="shared" si="164"/>
        <v>&lt;30</v>
      </c>
      <c r="N2684" t="str">
        <f t="shared" si="165"/>
        <v>Medium</v>
      </c>
      <c r="O2684" t="str">
        <f t="shared" si="166"/>
        <v>High Balance</v>
      </c>
      <c r="P2684" t="str">
        <f t="shared" si="167"/>
        <v>New</v>
      </c>
    </row>
    <row r="2685" spans="1:16" x14ac:dyDescent="0.25">
      <c r="A2685">
        <v>2025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  <c r="M2685" t="str">
        <f t="shared" si="164"/>
        <v>&lt;30</v>
      </c>
      <c r="N2685" t="str">
        <f t="shared" si="165"/>
        <v>High</v>
      </c>
      <c r="O2685" t="str">
        <f t="shared" si="166"/>
        <v>High Balance</v>
      </c>
      <c r="P2685" t="str">
        <f t="shared" si="167"/>
        <v>Long-term</v>
      </c>
    </row>
    <row r="2686" spans="1:16" x14ac:dyDescent="0.25">
      <c r="A2686">
        <v>2025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  <c r="M2686" t="str">
        <f t="shared" si="164"/>
        <v>&lt;30</v>
      </c>
      <c r="N2686" t="str">
        <f t="shared" si="165"/>
        <v>Medium</v>
      </c>
      <c r="O2686" t="str">
        <f t="shared" si="166"/>
        <v>Zero Balance</v>
      </c>
      <c r="P2686" t="str">
        <f t="shared" si="167"/>
        <v>Mid-term</v>
      </c>
    </row>
    <row r="2687" spans="1:16" x14ac:dyDescent="0.25">
      <c r="A2687">
        <v>2025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  <c r="M2687" t="str">
        <f t="shared" si="164"/>
        <v>46-60</v>
      </c>
      <c r="N2687" t="str">
        <f t="shared" si="165"/>
        <v>Medium</v>
      </c>
      <c r="O2687" t="str">
        <f t="shared" si="166"/>
        <v>Zero Balance</v>
      </c>
      <c r="P2687" t="str">
        <f t="shared" si="167"/>
        <v>Mid-term</v>
      </c>
    </row>
    <row r="2688" spans="1:16" x14ac:dyDescent="0.25">
      <c r="A2688">
        <v>2025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  <c r="M2688" t="str">
        <f t="shared" si="164"/>
        <v>30-45</v>
      </c>
      <c r="N2688" t="str">
        <f t="shared" si="165"/>
        <v>Medium</v>
      </c>
      <c r="O2688" t="str">
        <f t="shared" si="166"/>
        <v>Low Balance</v>
      </c>
      <c r="P2688" t="str">
        <f t="shared" si="167"/>
        <v>New</v>
      </c>
    </row>
    <row r="2689" spans="1:16" x14ac:dyDescent="0.25">
      <c r="A2689">
        <v>2025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  <c r="M2689" t="str">
        <f t="shared" si="164"/>
        <v>30-45</v>
      </c>
      <c r="N2689" t="str">
        <f t="shared" si="165"/>
        <v>Medium</v>
      </c>
      <c r="O2689" t="str">
        <f t="shared" si="166"/>
        <v>High Balance</v>
      </c>
      <c r="P2689" t="str">
        <f t="shared" si="167"/>
        <v>New</v>
      </c>
    </row>
    <row r="2690" spans="1:16" x14ac:dyDescent="0.25">
      <c r="A2690">
        <v>2025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  <c r="M2690" t="str">
        <f t="shared" si="164"/>
        <v>30-45</v>
      </c>
      <c r="N2690" t="str">
        <f t="shared" si="165"/>
        <v>Medium</v>
      </c>
      <c r="O2690" t="str">
        <f t="shared" si="166"/>
        <v>High Balance</v>
      </c>
      <c r="P2690" t="str">
        <f t="shared" si="167"/>
        <v>Mid-term</v>
      </c>
    </row>
    <row r="2691" spans="1:16" x14ac:dyDescent="0.25">
      <c r="A2691">
        <v>2025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  <c r="M2691" t="str">
        <f t="shared" ref="M2691:M2754" si="168">IF(E2691&lt;30,"&lt;30",IF(E2691&lt;=45,"30-45",IF(E2691&lt;=60,"46-60","60+")))</f>
        <v>30-45</v>
      </c>
      <c r="N2691" t="str">
        <f t="shared" ref="N2691:N2754" si="169">IF(B2691&lt;500,"Low",IF(B2691&lt;700,"Medium","High"))</f>
        <v>Low</v>
      </c>
      <c r="O2691" t="str">
        <f t="shared" ref="O2691:O2754" si="170">IF(G2691=0,"Zero Balance",IF(G2691&lt;100000,"Low Balance","High Balance"))</f>
        <v>Zero Balance</v>
      </c>
      <c r="P2691" t="str">
        <f t="shared" ref="P2691:P2754" si="171">IF(F2691&lt;=3,"New",IF(F2691&lt;=7,"Mid-term","Long-term"))</f>
        <v>Long-term</v>
      </c>
    </row>
    <row r="2692" spans="1:16" x14ac:dyDescent="0.25">
      <c r="A2692">
        <v>2025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  <c r="M2692" t="str">
        <f t="shared" si="168"/>
        <v>30-45</v>
      </c>
      <c r="N2692" t="str">
        <f t="shared" si="169"/>
        <v>Medium</v>
      </c>
      <c r="O2692" t="str">
        <f t="shared" si="170"/>
        <v>Low Balance</v>
      </c>
      <c r="P2692" t="str">
        <f t="shared" si="171"/>
        <v>New</v>
      </c>
    </row>
    <row r="2693" spans="1:16" x14ac:dyDescent="0.25">
      <c r="A2693">
        <v>2025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  <c r="M2693" t="str">
        <f t="shared" si="168"/>
        <v>30-45</v>
      </c>
      <c r="N2693" t="str">
        <f t="shared" si="169"/>
        <v>High</v>
      </c>
      <c r="O2693" t="str">
        <f t="shared" si="170"/>
        <v>Zero Balance</v>
      </c>
      <c r="P2693" t="str">
        <f t="shared" si="171"/>
        <v>New</v>
      </c>
    </row>
    <row r="2694" spans="1:16" x14ac:dyDescent="0.25">
      <c r="A2694">
        <v>2025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  <c r="M2694" t="str">
        <f t="shared" si="168"/>
        <v>30-45</v>
      </c>
      <c r="N2694" t="str">
        <f t="shared" si="169"/>
        <v>High</v>
      </c>
      <c r="O2694" t="str">
        <f t="shared" si="170"/>
        <v>Zero Balance</v>
      </c>
      <c r="P2694" t="str">
        <f t="shared" si="171"/>
        <v>Long-term</v>
      </c>
    </row>
    <row r="2695" spans="1:16" x14ac:dyDescent="0.25">
      <c r="A2695">
        <v>2025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  <c r="M2695" t="str">
        <f t="shared" si="168"/>
        <v>30-45</v>
      </c>
      <c r="N2695" t="str">
        <f t="shared" si="169"/>
        <v>Medium</v>
      </c>
      <c r="O2695" t="str">
        <f t="shared" si="170"/>
        <v>Zero Balance</v>
      </c>
      <c r="P2695" t="str">
        <f t="shared" si="171"/>
        <v>New</v>
      </c>
    </row>
    <row r="2696" spans="1:16" x14ac:dyDescent="0.25">
      <c r="A2696">
        <v>2025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  <c r="M2696" t="str">
        <f t="shared" si="168"/>
        <v>&lt;30</v>
      </c>
      <c r="N2696" t="str">
        <f t="shared" si="169"/>
        <v>Medium</v>
      </c>
      <c r="O2696" t="str">
        <f t="shared" si="170"/>
        <v>High Balance</v>
      </c>
      <c r="P2696" t="str">
        <f t="shared" si="171"/>
        <v>New</v>
      </c>
    </row>
    <row r="2697" spans="1:16" x14ac:dyDescent="0.25">
      <c r="A2697">
        <v>2025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  <c r="M2697" t="str">
        <f t="shared" si="168"/>
        <v>30-45</v>
      </c>
      <c r="N2697" t="str">
        <f t="shared" si="169"/>
        <v>Medium</v>
      </c>
      <c r="O2697" t="str">
        <f t="shared" si="170"/>
        <v>High Balance</v>
      </c>
      <c r="P2697" t="str">
        <f t="shared" si="171"/>
        <v>Long-term</v>
      </c>
    </row>
    <row r="2698" spans="1:16" x14ac:dyDescent="0.25">
      <c r="A2698">
        <v>2025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  <c r="M2698" t="str">
        <f t="shared" si="168"/>
        <v>30-45</v>
      </c>
      <c r="N2698" t="str">
        <f t="shared" si="169"/>
        <v>Medium</v>
      </c>
      <c r="O2698" t="str">
        <f t="shared" si="170"/>
        <v>Low Balance</v>
      </c>
      <c r="P2698" t="str">
        <f t="shared" si="171"/>
        <v>New</v>
      </c>
    </row>
    <row r="2699" spans="1:16" x14ac:dyDescent="0.25">
      <c r="A2699">
        <v>2025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  <c r="M2699" t="str">
        <f t="shared" si="168"/>
        <v>46-60</v>
      </c>
      <c r="N2699" t="str">
        <f t="shared" si="169"/>
        <v>High</v>
      </c>
      <c r="O2699" t="str">
        <f t="shared" si="170"/>
        <v>Zero Balance</v>
      </c>
      <c r="P2699" t="str">
        <f t="shared" si="171"/>
        <v>Mid-term</v>
      </c>
    </row>
    <row r="2700" spans="1:16" x14ac:dyDescent="0.25">
      <c r="A2700">
        <v>2025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  <c r="M2700" t="str">
        <f t="shared" si="168"/>
        <v>&lt;30</v>
      </c>
      <c r="N2700" t="str">
        <f t="shared" si="169"/>
        <v>Medium</v>
      </c>
      <c r="O2700" t="str">
        <f t="shared" si="170"/>
        <v>Zero Balance</v>
      </c>
      <c r="P2700" t="str">
        <f t="shared" si="171"/>
        <v>Mid-term</v>
      </c>
    </row>
    <row r="2701" spans="1:16" x14ac:dyDescent="0.25">
      <c r="A2701">
        <v>2025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  <c r="M2701" t="str">
        <f t="shared" si="168"/>
        <v>&lt;30</v>
      </c>
      <c r="N2701" t="str">
        <f t="shared" si="169"/>
        <v>Medium</v>
      </c>
      <c r="O2701" t="str">
        <f t="shared" si="170"/>
        <v>High Balance</v>
      </c>
      <c r="P2701" t="str">
        <f t="shared" si="171"/>
        <v>Long-term</v>
      </c>
    </row>
    <row r="2702" spans="1:16" x14ac:dyDescent="0.25">
      <c r="A2702">
        <v>2025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  <c r="M2702" t="str">
        <f t="shared" si="168"/>
        <v>30-45</v>
      </c>
      <c r="N2702" t="str">
        <f t="shared" si="169"/>
        <v>Medium</v>
      </c>
      <c r="O2702" t="str">
        <f t="shared" si="170"/>
        <v>Zero Balance</v>
      </c>
      <c r="P2702" t="str">
        <f t="shared" si="171"/>
        <v>Mid-term</v>
      </c>
    </row>
    <row r="2703" spans="1:16" x14ac:dyDescent="0.25">
      <c r="A2703">
        <v>2025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  <c r="M2703" t="str">
        <f t="shared" si="168"/>
        <v>30-45</v>
      </c>
      <c r="N2703" t="str">
        <f t="shared" si="169"/>
        <v>Medium</v>
      </c>
      <c r="O2703" t="str">
        <f t="shared" si="170"/>
        <v>Zero Balance</v>
      </c>
      <c r="P2703" t="str">
        <f t="shared" si="171"/>
        <v>New</v>
      </c>
    </row>
    <row r="2704" spans="1:16" x14ac:dyDescent="0.25">
      <c r="A2704">
        <v>2025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  <c r="M2704" t="str">
        <f t="shared" si="168"/>
        <v>30-45</v>
      </c>
      <c r="N2704" t="str">
        <f t="shared" si="169"/>
        <v>Medium</v>
      </c>
      <c r="O2704" t="str">
        <f t="shared" si="170"/>
        <v>High Balance</v>
      </c>
      <c r="P2704" t="str">
        <f t="shared" si="171"/>
        <v>Mid-term</v>
      </c>
    </row>
    <row r="2705" spans="1:16" x14ac:dyDescent="0.25">
      <c r="A2705">
        <v>2025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  <c r="M2705" t="str">
        <f t="shared" si="168"/>
        <v>46-60</v>
      </c>
      <c r="N2705" t="str">
        <f t="shared" si="169"/>
        <v>Low</v>
      </c>
      <c r="O2705" t="str">
        <f t="shared" si="170"/>
        <v>High Balance</v>
      </c>
      <c r="P2705" t="str">
        <f t="shared" si="171"/>
        <v>Mid-term</v>
      </c>
    </row>
    <row r="2706" spans="1:16" x14ac:dyDescent="0.25">
      <c r="A2706">
        <v>2025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  <c r="M2706" t="str">
        <f t="shared" si="168"/>
        <v>&lt;30</v>
      </c>
      <c r="N2706" t="str">
        <f t="shared" si="169"/>
        <v>High</v>
      </c>
      <c r="O2706" t="str">
        <f t="shared" si="170"/>
        <v>Zero Balance</v>
      </c>
      <c r="P2706" t="str">
        <f t="shared" si="171"/>
        <v>New</v>
      </c>
    </row>
    <row r="2707" spans="1:16" x14ac:dyDescent="0.25">
      <c r="A2707">
        <v>2025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  <c r="M2707" t="str">
        <f t="shared" si="168"/>
        <v>30-45</v>
      </c>
      <c r="N2707" t="str">
        <f t="shared" si="169"/>
        <v>Medium</v>
      </c>
      <c r="O2707" t="str">
        <f t="shared" si="170"/>
        <v>High Balance</v>
      </c>
      <c r="P2707" t="str">
        <f t="shared" si="171"/>
        <v>Mid-term</v>
      </c>
    </row>
    <row r="2708" spans="1:16" x14ac:dyDescent="0.25">
      <c r="A2708">
        <v>2025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  <c r="M2708" t="str">
        <f t="shared" si="168"/>
        <v>&lt;30</v>
      </c>
      <c r="N2708" t="str">
        <f t="shared" si="169"/>
        <v>Medium</v>
      </c>
      <c r="O2708" t="str">
        <f t="shared" si="170"/>
        <v>High Balance</v>
      </c>
      <c r="P2708" t="str">
        <f t="shared" si="171"/>
        <v>Long-term</v>
      </c>
    </row>
    <row r="2709" spans="1:16" x14ac:dyDescent="0.25">
      <c r="A2709">
        <v>2025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  <c r="M2709" t="str">
        <f t="shared" si="168"/>
        <v>30-45</v>
      </c>
      <c r="N2709" t="str">
        <f t="shared" si="169"/>
        <v>Medium</v>
      </c>
      <c r="O2709" t="str">
        <f t="shared" si="170"/>
        <v>High Balance</v>
      </c>
      <c r="P2709" t="str">
        <f t="shared" si="171"/>
        <v>New</v>
      </c>
    </row>
    <row r="2710" spans="1:16" x14ac:dyDescent="0.25">
      <c r="A2710">
        <v>2025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  <c r="M2710" t="str">
        <f t="shared" si="168"/>
        <v>&lt;30</v>
      </c>
      <c r="N2710" t="str">
        <f t="shared" si="169"/>
        <v>Medium</v>
      </c>
      <c r="O2710" t="str">
        <f t="shared" si="170"/>
        <v>Low Balance</v>
      </c>
      <c r="P2710" t="str">
        <f t="shared" si="171"/>
        <v>New</v>
      </c>
    </row>
    <row r="2711" spans="1:16" x14ac:dyDescent="0.25">
      <c r="A2711">
        <v>2025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  <c r="M2711" t="str">
        <f t="shared" si="168"/>
        <v>30-45</v>
      </c>
      <c r="N2711" t="str">
        <f t="shared" si="169"/>
        <v>Medium</v>
      </c>
      <c r="O2711" t="str">
        <f t="shared" si="170"/>
        <v>High Balance</v>
      </c>
      <c r="P2711" t="str">
        <f t="shared" si="171"/>
        <v>Mid-term</v>
      </c>
    </row>
    <row r="2712" spans="1:16" x14ac:dyDescent="0.25">
      <c r="A2712">
        <v>2025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  <c r="M2712" t="str">
        <f t="shared" si="168"/>
        <v>30-45</v>
      </c>
      <c r="N2712" t="str">
        <f t="shared" si="169"/>
        <v>Medium</v>
      </c>
      <c r="O2712" t="str">
        <f t="shared" si="170"/>
        <v>Low Balance</v>
      </c>
      <c r="P2712" t="str">
        <f t="shared" si="171"/>
        <v>New</v>
      </c>
    </row>
    <row r="2713" spans="1:16" x14ac:dyDescent="0.25">
      <c r="A2713">
        <v>2025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  <c r="M2713" t="str">
        <f t="shared" si="168"/>
        <v>&lt;30</v>
      </c>
      <c r="N2713" t="str">
        <f t="shared" si="169"/>
        <v>Medium</v>
      </c>
      <c r="O2713" t="str">
        <f t="shared" si="170"/>
        <v>Zero Balance</v>
      </c>
      <c r="P2713" t="str">
        <f t="shared" si="171"/>
        <v>Long-term</v>
      </c>
    </row>
    <row r="2714" spans="1:16" x14ac:dyDescent="0.25">
      <c r="A2714">
        <v>2025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  <c r="M2714" t="str">
        <f t="shared" si="168"/>
        <v>30-45</v>
      </c>
      <c r="N2714" t="str">
        <f t="shared" si="169"/>
        <v>Medium</v>
      </c>
      <c r="O2714" t="str">
        <f t="shared" si="170"/>
        <v>Low Balance</v>
      </c>
      <c r="P2714" t="str">
        <f t="shared" si="171"/>
        <v>Long-term</v>
      </c>
    </row>
    <row r="2715" spans="1:16" x14ac:dyDescent="0.25">
      <c r="A2715">
        <v>2025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  <c r="M2715" t="str">
        <f t="shared" si="168"/>
        <v>60+</v>
      </c>
      <c r="N2715" t="str">
        <f t="shared" si="169"/>
        <v>High</v>
      </c>
      <c r="O2715" t="str">
        <f t="shared" si="170"/>
        <v>High Balance</v>
      </c>
      <c r="P2715" t="str">
        <f t="shared" si="171"/>
        <v>Long-term</v>
      </c>
    </row>
    <row r="2716" spans="1:16" x14ac:dyDescent="0.25">
      <c r="A2716">
        <v>2025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  <c r="M2716" t="str">
        <f t="shared" si="168"/>
        <v>46-60</v>
      </c>
      <c r="N2716" t="str">
        <f t="shared" si="169"/>
        <v>Medium</v>
      </c>
      <c r="O2716" t="str">
        <f t="shared" si="170"/>
        <v>High Balance</v>
      </c>
      <c r="P2716" t="str">
        <f t="shared" si="171"/>
        <v>Long-term</v>
      </c>
    </row>
    <row r="2717" spans="1:16" x14ac:dyDescent="0.25">
      <c r="A2717">
        <v>2025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  <c r="M2717" t="str">
        <f t="shared" si="168"/>
        <v>30-45</v>
      </c>
      <c r="N2717" t="str">
        <f t="shared" si="169"/>
        <v>Medium</v>
      </c>
      <c r="O2717" t="str">
        <f t="shared" si="170"/>
        <v>High Balance</v>
      </c>
      <c r="P2717" t="str">
        <f t="shared" si="171"/>
        <v>New</v>
      </c>
    </row>
    <row r="2718" spans="1:16" x14ac:dyDescent="0.25">
      <c r="A2718">
        <v>2025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  <c r="M2718" t="str">
        <f t="shared" si="168"/>
        <v>30-45</v>
      </c>
      <c r="N2718" t="str">
        <f t="shared" si="169"/>
        <v>Medium</v>
      </c>
      <c r="O2718" t="str">
        <f t="shared" si="170"/>
        <v>Zero Balance</v>
      </c>
      <c r="P2718" t="str">
        <f t="shared" si="171"/>
        <v>New</v>
      </c>
    </row>
    <row r="2719" spans="1:16" x14ac:dyDescent="0.25">
      <c r="A2719">
        <v>2025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  <c r="M2719" t="str">
        <f t="shared" si="168"/>
        <v>60+</v>
      </c>
      <c r="N2719" t="str">
        <f t="shared" si="169"/>
        <v>High</v>
      </c>
      <c r="O2719" t="str">
        <f t="shared" si="170"/>
        <v>High Balance</v>
      </c>
      <c r="P2719" t="str">
        <f t="shared" si="171"/>
        <v>Mid-term</v>
      </c>
    </row>
    <row r="2720" spans="1:16" x14ac:dyDescent="0.25">
      <c r="A2720">
        <v>2025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  <c r="M2720" t="str">
        <f t="shared" si="168"/>
        <v>30-45</v>
      </c>
      <c r="N2720" t="str">
        <f t="shared" si="169"/>
        <v>High</v>
      </c>
      <c r="O2720" t="str">
        <f t="shared" si="170"/>
        <v>High Balance</v>
      </c>
      <c r="P2720" t="str">
        <f t="shared" si="171"/>
        <v>New</v>
      </c>
    </row>
    <row r="2721" spans="1:16" x14ac:dyDescent="0.25">
      <c r="A2721">
        <v>2025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  <c r="M2721" t="str">
        <f t="shared" si="168"/>
        <v>30-45</v>
      </c>
      <c r="N2721" t="str">
        <f t="shared" si="169"/>
        <v>Medium</v>
      </c>
      <c r="O2721" t="str">
        <f t="shared" si="170"/>
        <v>High Balance</v>
      </c>
      <c r="P2721" t="str">
        <f t="shared" si="171"/>
        <v>Long-term</v>
      </c>
    </row>
    <row r="2722" spans="1:16" x14ac:dyDescent="0.25">
      <c r="A2722">
        <v>2025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  <c r="M2722" t="str">
        <f t="shared" si="168"/>
        <v>46-60</v>
      </c>
      <c r="N2722" t="str">
        <f t="shared" si="169"/>
        <v>High</v>
      </c>
      <c r="O2722" t="str">
        <f t="shared" si="170"/>
        <v>High Balance</v>
      </c>
      <c r="P2722" t="str">
        <f t="shared" si="171"/>
        <v>Long-term</v>
      </c>
    </row>
    <row r="2723" spans="1:16" x14ac:dyDescent="0.25">
      <c r="A2723">
        <v>2025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  <c r="M2723" t="str">
        <f t="shared" si="168"/>
        <v>30-45</v>
      </c>
      <c r="N2723" t="str">
        <f t="shared" si="169"/>
        <v>Medium</v>
      </c>
      <c r="O2723" t="str">
        <f t="shared" si="170"/>
        <v>High Balance</v>
      </c>
      <c r="P2723" t="str">
        <f t="shared" si="171"/>
        <v>New</v>
      </c>
    </row>
    <row r="2724" spans="1:16" x14ac:dyDescent="0.25">
      <c r="A2724">
        <v>2025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  <c r="M2724" t="str">
        <f t="shared" si="168"/>
        <v>30-45</v>
      </c>
      <c r="N2724" t="str">
        <f t="shared" si="169"/>
        <v>Medium</v>
      </c>
      <c r="O2724" t="str">
        <f t="shared" si="170"/>
        <v>High Balance</v>
      </c>
      <c r="P2724" t="str">
        <f t="shared" si="171"/>
        <v>Long-term</v>
      </c>
    </row>
    <row r="2725" spans="1:16" x14ac:dyDescent="0.25">
      <c r="A2725">
        <v>2025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  <c r="M2725" t="str">
        <f t="shared" si="168"/>
        <v>30-45</v>
      </c>
      <c r="N2725" t="str">
        <f t="shared" si="169"/>
        <v>Medium</v>
      </c>
      <c r="O2725" t="str">
        <f t="shared" si="170"/>
        <v>High Balance</v>
      </c>
      <c r="P2725" t="str">
        <f t="shared" si="171"/>
        <v>Long-term</v>
      </c>
    </row>
    <row r="2726" spans="1:16" x14ac:dyDescent="0.25">
      <c r="A2726">
        <v>2025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  <c r="M2726" t="str">
        <f t="shared" si="168"/>
        <v>30-45</v>
      </c>
      <c r="N2726" t="str">
        <f t="shared" si="169"/>
        <v>Low</v>
      </c>
      <c r="O2726" t="str">
        <f t="shared" si="170"/>
        <v>High Balance</v>
      </c>
      <c r="P2726" t="str">
        <f t="shared" si="171"/>
        <v>Long-term</v>
      </c>
    </row>
    <row r="2727" spans="1:16" x14ac:dyDescent="0.25">
      <c r="A2727">
        <v>2025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  <c r="M2727" t="str">
        <f t="shared" si="168"/>
        <v>46-60</v>
      </c>
      <c r="N2727" t="str">
        <f t="shared" si="169"/>
        <v>Low</v>
      </c>
      <c r="O2727" t="str">
        <f t="shared" si="170"/>
        <v>High Balance</v>
      </c>
      <c r="P2727" t="str">
        <f t="shared" si="171"/>
        <v>Mid-term</v>
      </c>
    </row>
    <row r="2728" spans="1:16" x14ac:dyDescent="0.25">
      <c r="A2728">
        <v>2025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  <c r="M2728" t="str">
        <f t="shared" si="168"/>
        <v>30-45</v>
      </c>
      <c r="N2728" t="str">
        <f t="shared" si="169"/>
        <v>High</v>
      </c>
      <c r="O2728" t="str">
        <f t="shared" si="170"/>
        <v>High Balance</v>
      </c>
      <c r="P2728" t="str">
        <f t="shared" si="171"/>
        <v>New</v>
      </c>
    </row>
    <row r="2729" spans="1:16" x14ac:dyDescent="0.25">
      <c r="A2729">
        <v>2025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  <c r="M2729" t="str">
        <f t="shared" si="168"/>
        <v>46-60</v>
      </c>
      <c r="N2729" t="str">
        <f t="shared" si="169"/>
        <v>High</v>
      </c>
      <c r="O2729" t="str">
        <f t="shared" si="170"/>
        <v>High Balance</v>
      </c>
      <c r="P2729" t="str">
        <f t="shared" si="171"/>
        <v>New</v>
      </c>
    </row>
    <row r="2730" spans="1:16" x14ac:dyDescent="0.25">
      <c r="A2730">
        <v>2025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  <c r="M2730" t="str">
        <f t="shared" si="168"/>
        <v>46-60</v>
      </c>
      <c r="N2730" t="str">
        <f t="shared" si="169"/>
        <v>High</v>
      </c>
      <c r="O2730" t="str">
        <f t="shared" si="170"/>
        <v>Low Balance</v>
      </c>
      <c r="P2730" t="str">
        <f t="shared" si="171"/>
        <v>Long-term</v>
      </c>
    </row>
    <row r="2731" spans="1:16" x14ac:dyDescent="0.25">
      <c r="A2731">
        <v>2025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  <c r="M2731" t="str">
        <f t="shared" si="168"/>
        <v>&lt;30</v>
      </c>
      <c r="N2731" t="str">
        <f t="shared" si="169"/>
        <v>Medium</v>
      </c>
      <c r="O2731" t="str">
        <f t="shared" si="170"/>
        <v>Zero Balance</v>
      </c>
      <c r="P2731" t="str">
        <f t="shared" si="171"/>
        <v>New</v>
      </c>
    </row>
    <row r="2732" spans="1:16" x14ac:dyDescent="0.25">
      <c r="A2732">
        <v>2025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  <c r="M2732" t="str">
        <f t="shared" si="168"/>
        <v>30-45</v>
      </c>
      <c r="N2732" t="str">
        <f t="shared" si="169"/>
        <v>Medium</v>
      </c>
      <c r="O2732" t="str">
        <f t="shared" si="170"/>
        <v>High Balance</v>
      </c>
      <c r="P2732" t="str">
        <f t="shared" si="171"/>
        <v>New</v>
      </c>
    </row>
    <row r="2733" spans="1:16" x14ac:dyDescent="0.25">
      <c r="A2733">
        <v>2025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  <c r="M2733" t="str">
        <f t="shared" si="168"/>
        <v>30-45</v>
      </c>
      <c r="N2733" t="str">
        <f t="shared" si="169"/>
        <v>Medium</v>
      </c>
      <c r="O2733" t="str">
        <f t="shared" si="170"/>
        <v>Zero Balance</v>
      </c>
      <c r="P2733" t="str">
        <f t="shared" si="171"/>
        <v>Mid-term</v>
      </c>
    </row>
    <row r="2734" spans="1:16" x14ac:dyDescent="0.25">
      <c r="A2734">
        <v>2025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  <c r="M2734" t="str">
        <f t="shared" si="168"/>
        <v>46-60</v>
      </c>
      <c r="N2734" t="str">
        <f t="shared" si="169"/>
        <v>Medium</v>
      </c>
      <c r="O2734" t="str">
        <f t="shared" si="170"/>
        <v>High Balance</v>
      </c>
      <c r="P2734" t="str">
        <f t="shared" si="171"/>
        <v>New</v>
      </c>
    </row>
    <row r="2735" spans="1:16" x14ac:dyDescent="0.25">
      <c r="A2735">
        <v>2025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  <c r="M2735" t="str">
        <f t="shared" si="168"/>
        <v>30-45</v>
      </c>
      <c r="N2735" t="str">
        <f t="shared" si="169"/>
        <v>Medium</v>
      </c>
      <c r="O2735" t="str">
        <f t="shared" si="170"/>
        <v>High Balance</v>
      </c>
      <c r="P2735" t="str">
        <f t="shared" si="171"/>
        <v>Mid-term</v>
      </c>
    </row>
    <row r="2736" spans="1:16" x14ac:dyDescent="0.25">
      <c r="A2736">
        <v>2025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  <c r="M2736" t="str">
        <f t="shared" si="168"/>
        <v>30-45</v>
      </c>
      <c r="N2736" t="str">
        <f t="shared" si="169"/>
        <v>Medium</v>
      </c>
      <c r="O2736" t="str">
        <f t="shared" si="170"/>
        <v>Low Balance</v>
      </c>
      <c r="P2736" t="str">
        <f t="shared" si="171"/>
        <v>Mid-term</v>
      </c>
    </row>
    <row r="2737" spans="1:16" x14ac:dyDescent="0.25">
      <c r="A2737">
        <v>2025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  <c r="M2737" t="str">
        <f t="shared" si="168"/>
        <v>30-45</v>
      </c>
      <c r="N2737" t="str">
        <f t="shared" si="169"/>
        <v>Medium</v>
      </c>
      <c r="O2737" t="str">
        <f t="shared" si="170"/>
        <v>High Balance</v>
      </c>
      <c r="P2737" t="str">
        <f t="shared" si="171"/>
        <v>New</v>
      </c>
    </row>
    <row r="2738" spans="1:16" x14ac:dyDescent="0.25">
      <c r="A2738">
        <v>2025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  <c r="M2738" t="str">
        <f t="shared" si="168"/>
        <v>30-45</v>
      </c>
      <c r="N2738" t="str">
        <f t="shared" si="169"/>
        <v>High</v>
      </c>
      <c r="O2738" t="str">
        <f t="shared" si="170"/>
        <v>High Balance</v>
      </c>
      <c r="P2738" t="str">
        <f t="shared" si="171"/>
        <v>Long-term</v>
      </c>
    </row>
    <row r="2739" spans="1:16" x14ac:dyDescent="0.25">
      <c r="A2739">
        <v>2025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  <c r="M2739" t="str">
        <f t="shared" si="168"/>
        <v>30-45</v>
      </c>
      <c r="N2739" t="str">
        <f t="shared" si="169"/>
        <v>Low</v>
      </c>
      <c r="O2739" t="str">
        <f t="shared" si="170"/>
        <v>Low Balance</v>
      </c>
      <c r="P2739" t="str">
        <f t="shared" si="171"/>
        <v>Mid-term</v>
      </c>
    </row>
    <row r="2740" spans="1:16" x14ac:dyDescent="0.25">
      <c r="A2740">
        <v>2025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  <c r="M2740" t="str">
        <f t="shared" si="168"/>
        <v>30-45</v>
      </c>
      <c r="N2740" t="str">
        <f t="shared" si="169"/>
        <v>Medium</v>
      </c>
      <c r="O2740" t="str">
        <f t="shared" si="170"/>
        <v>High Balance</v>
      </c>
      <c r="P2740" t="str">
        <f t="shared" si="171"/>
        <v>New</v>
      </c>
    </row>
    <row r="2741" spans="1:16" x14ac:dyDescent="0.25">
      <c r="A2741">
        <v>2025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  <c r="M2741" t="str">
        <f t="shared" si="168"/>
        <v>30-45</v>
      </c>
      <c r="N2741" t="str">
        <f t="shared" si="169"/>
        <v>Medium</v>
      </c>
      <c r="O2741" t="str">
        <f t="shared" si="170"/>
        <v>High Balance</v>
      </c>
      <c r="P2741" t="str">
        <f t="shared" si="171"/>
        <v>Mid-term</v>
      </c>
    </row>
    <row r="2742" spans="1:16" x14ac:dyDescent="0.25">
      <c r="A2742">
        <v>2025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  <c r="M2742" t="str">
        <f t="shared" si="168"/>
        <v>30-45</v>
      </c>
      <c r="N2742" t="str">
        <f t="shared" si="169"/>
        <v>Medium</v>
      </c>
      <c r="O2742" t="str">
        <f t="shared" si="170"/>
        <v>High Balance</v>
      </c>
      <c r="P2742" t="str">
        <f t="shared" si="171"/>
        <v>Mid-term</v>
      </c>
    </row>
    <row r="2743" spans="1:16" x14ac:dyDescent="0.25">
      <c r="A2743">
        <v>2025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  <c r="M2743" t="str">
        <f t="shared" si="168"/>
        <v>30-45</v>
      </c>
      <c r="N2743" t="str">
        <f t="shared" si="169"/>
        <v>Medium</v>
      </c>
      <c r="O2743" t="str">
        <f t="shared" si="170"/>
        <v>Zero Balance</v>
      </c>
      <c r="P2743" t="str">
        <f t="shared" si="171"/>
        <v>Long-term</v>
      </c>
    </row>
    <row r="2744" spans="1:16" x14ac:dyDescent="0.25">
      <c r="A2744">
        <v>2025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  <c r="M2744" t="str">
        <f t="shared" si="168"/>
        <v>30-45</v>
      </c>
      <c r="N2744" t="str">
        <f t="shared" si="169"/>
        <v>Medium</v>
      </c>
      <c r="O2744" t="str">
        <f t="shared" si="170"/>
        <v>High Balance</v>
      </c>
      <c r="P2744" t="str">
        <f t="shared" si="171"/>
        <v>New</v>
      </c>
    </row>
    <row r="2745" spans="1:16" x14ac:dyDescent="0.25">
      <c r="A2745">
        <v>2025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  <c r="M2745" t="str">
        <f t="shared" si="168"/>
        <v>&lt;30</v>
      </c>
      <c r="N2745" t="str">
        <f t="shared" si="169"/>
        <v>Medium</v>
      </c>
      <c r="O2745" t="str">
        <f t="shared" si="170"/>
        <v>High Balance</v>
      </c>
      <c r="P2745" t="str">
        <f t="shared" si="171"/>
        <v>Mid-term</v>
      </c>
    </row>
    <row r="2746" spans="1:16" x14ac:dyDescent="0.25">
      <c r="A2746">
        <v>2025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  <c r="M2746" t="str">
        <f t="shared" si="168"/>
        <v>30-45</v>
      </c>
      <c r="N2746" t="str">
        <f t="shared" si="169"/>
        <v>Medium</v>
      </c>
      <c r="O2746" t="str">
        <f t="shared" si="170"/>
        <v>High Balance</v>
      </c>
      <c r="P2746" t="str">
        <f t="shared" si="171"/>
        <v>Mid-term</v>
      </c>
    </row>
    <row r="2747" spans="1:16" x14ac:dyDescent="0.25">
      <c r="A2747">
        <v>2025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  <c r="M2747" t="str">
        <f t="shared" si="168"/>
        <v>46-60</v>
      </c>
      <c r="N2747" t="str">
        <f t="shared" si="169"/>
        <v>Medium</v>
      </c>
      <c r="O2747" t="str">
        <f t="shared" si="170"/>
        <v>High Balance</v>
      </c>
      <c r="P2747" t="str">
        <f t="shared" si="171"/>
        <v>Long-term</v>
      </c>
    </row>
    <row r="2748" spans="1:16" x14ac:dyDescent="0.25">
      <c r="A2748">
        <v>2025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  <c r="M2748" t="str">
        <f t="shared" si="168"/>
        <v>30-45</v>
      </c>
      <c r="N2748" t="str">
        <f t="shared" si="169"/>
        <v>Medium</v>
      </c>
      <c r="O2748" t="str">
        <f t="shared" si="170"/>
        <v>Zero Balance</v>
      </c>
      <c r="P2748" t="str">
        <f t="shared" si="171"/>
        <v>Long-term</v>
      </c>
    </row>
    <row r="2749" spans="1:16" x14ac:dyDescent="0.25">
      <c r="A2749">
        <v>2025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  <c r="M2749" t="str">
        <f t="shared" si="168"/>
        <v>30-45</v>
      </c>
      <c r="N2749" t="str">
        <f t="shared" si="169"/>
        <v>Medium</v>
      </c>
      <c r="O2749" t="str">
        <f t="shared" si="170"/>
        <v>Zero Balance</v>
      </c>
      <c r="P2749" t="str">
        <f t="shared" si="171"/>
        <v>Long-term</v>
      </c>
    </row>
    <row r="2750" spans="1:16" x14ac:dyDescent="0.25">
      <c r="A2750">
        <v>2025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  <c r="M2750" t="str">
        <f t="shared" si="168"/>
        <v>46-60</v>
      </c>
      <c r="N2750" t="str">
        <f t="shared" si="169"/>
        <v>Low</v>
      </c>
      <c r="O2750" t="str">
        <f t="shared" si="170"/>
        <v>High Balance</v>
      </c>
      <c r="P2750" t="str">
        <f t="shared" si="171"/>
        <v>Long-term</v>
      </c>
    </row>
    <row r="2751" spans="1:16" x14ac:dyDescent="0.25">
      <c r="A2751">
        <v>2025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  <c r="M2751" t="str">
        <f t="shared" si="168"/>
        <v>&lt;30</v>
      </c>
      <c r="N2751" t="str">
        <f t="shared" si="169"/>
        <v>Medium</v>
      </c>
      <c r="O2751" t="str">
        <f t="shared" si="170"/>
        <v>High Balance</v>
      </c>
      <c r="P2751" t="str">
        <f t="shared" si="171"/>
        <v>Mid-term</v>
      </c>
    </row>
    <row r="2752" spans="1:16" x14ac:dyDescent="0.25">
      <c r="A2752">
        <v>2025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  <c r="M2752" t="str">
        <f t="shared" si="168"/>
        <v>46-60</v>
      </c>
      <c r="N2752" t="str">
        <f t="shared" si="169"/>
        <v>Low</v>
      </c>
      <c r="O2752" t="str">
        <f t="shared" si="170"/>
        <v>Zero Balance</v>
      </c>
      <c r="P2752" t="str">
        <f t="shared" si="171"/>
        <v>Long-term</v>
      </c>
    </row>
    <row r="2753" spans="1:16" x14ac:dyDescent="0.25">
      <c r="A2753">
        <v>2025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  <c r="M2753" t="str">
        <f t="shared" si="168"/>
        <v>30-45</v>
      </c>
      <c r="N2753" t="str">
        <f t="shared" si="169"/>
        <v>High</v>
      </c>
      <c r="O2753" t="str">
        <f t="shared" si="170"/>
        <v>High Balance</v>
      </c>
      <c r="P2753" t="str">
        <f t="shared" si="171"/>
        <v>Long-term</v>
      </c>
    </row>
    <row r="2754" spans="1:16" x14ac:dyDescent="0.25">
      <c r="A2754">
        <v>2025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  <c r="M2754" t="str">
        <f t="shared" si="168"/>
        <v>30-45</v>
      </c>
      <c r="N2754" t="str">
        <f t="shared" si="169"/>
        <v>Medium</v>
      </c>
      <c r="O2754" t="str">
        <f t="shared" si="170"/>
        <v>High Balance</v>
      </c>
      <c r="P2754" t="str">
        <f t="shared" si="171"/>
        <v>Long-term</v>
      </c>
    </row>
    <row r="2755" spans="1:16" x14ac:dyDescent="0.25">
      <c r="A2755">
        <v>2025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  <c r="M2755" t="str">
        <f t="shared" ref="M2755:M2818" si="172">IF(E2755&lt;30,"&lt;30",IF(E2755&lt;=45,"30-45",IF(E2755&lt;=60,"46-60","60+")))</f>
        <v>&lt;30</v>
      </c>
      <c r="N2755" t="str">
        <f t="shared" ref="N2755:N2818" si="173">IF(B2755&lt;500,"Low",IF(B2755&lt;700,"Medium","High"))</f>
        <v>Low</v>
      </c>
      <c r="O2755" t="str">
        <f t="shared" ref="O2755:O2818" si="174">IF(G2755=0,"Zero Balance",IF(G2755&lt;100000,"Low Balance","High Balance"))</f>
        <v>Zero Balance</v>
      </c>
      <c r="P2755" t="str">
        <f t="shared" ref="P2755:P2818" si="175">IF(F2755&lt;=3,"New",IF(F2755&lt;=7,"Mid-term","Long-term"))</f>
        <v>Mid-term</v>
      </c>
    </row>
    <row r="2756" spans="1:16" x14ac:dyDescent="0.25">
      <c r="A2756">
        <v>2025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  <c r="M2756" t="str">
        <f t="shared" si="172"/>
        <v>30-45</v>
      </c>
      <c r="N2756" t="str">
        <f t="shared" si="173"/>
        <v>Medium</v>
      </c>
      <c r="O2756" t="str">
        <f t="shared" si="174"/>
        <v>Zero Balance</v>
      </c>
      <c r="P2756" t="str">
        <f t="shared" si="175"/>
        <v>New</v>
      </c>
    </row>
    <row r="2757" spans="1:16" x14ac:dyDescent="0.25">
      <c r="A2757">
        <v>2025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  <c r="M2757" t="str">
        <f t="shared" si="172"/>
        <v>30-45</v>
      </c>
      <c r="N2757" t="str">
        <f t="shared" si="173"/>
        <v>High</v>
      </c>
      <c r="O2757" t="str">
        <f t="shared" si="174"/>
        <v>Zero Balance</v>
      </c>
      <c r="P2757" t="str">
        <f t="shared" si="175"/>
        <v>Mid-term</v>
      </c>
    </row>
    <row r="2758" spans="1:16" x14ac:dyDescent="0.25">
      <c r="A2758">
        <v>2025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  <c r="M2758" t="str">
        <f t="shared" si="172"/>
        <v>&lt;30</v>
      </c>
      <c r="N2758" t="str">
        <f t="shared" si="173"/>
        <v>Low</v>
      </c>
      <c r="O2758" t="str">
        <f t="shared" si="174"/>
        <v>High Balance</v>
      </c>
      <c r="P2758" t="str">
        <f t="shared" si="175"/>
        <v>New</v>
      </c>
    </row>
    <row r="2759" spans="1:16" x14ac:dyDescent="0.25">
      <c r="A2759">
        <v>2025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  <c r="M2759" t="str">
        <f t="shared" si="172"/>
        <v>30-45</v>
      </c>
      <c r="N2759" t="str">
        <f t="shared" si="173"/>
        <v>Low</v>
      </c>
      <c r="O2759" t="str">
        <f t="shared" si="174"/>
        <v>Zero Balance</v>
      </c>
      <c r="P2759" t="str">
        <f t="shared" si="175"/>
        <v>Mid-term</v>
      </c>
    </row>
    <row r="2760" spans="1:16" x14ac:dyDescent="0.25">
      <c r="A2760">
        <v>2025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  <c r="M2760" t="str">
        <f t="shared" si="172"/>
        <v>30-45</v>
      </c>
      <c r="N2760" t="str">
        <f t="shared" si="173"/>
        <v>Medium</v>
      </c>
      <c r="O2760" t="str">
        <f t="shared" si="174"/>
        <v>Zero Balance</v>
      </c>
      <c r="P2760" t="str">
        <f t="shared" si="175"/>
        <v>Mid-term</v>
      </c>
    </row>
    <row r="2761" spans="1:16" x14ac:dyDescent="0.25">
      <c r="A2761">
        <v>2025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  <c r="M2761" t="str">
        <f t="shared" si="172"/>
        <v>30-45</v>
      </c>
      <c r="N2761" t="str">
        <f t="shared" si="173"/>
        <v>High</v>
      </c>
      <c r="O2761" t="str">
        <f t="shared" si="174"/>
        <v>Zero Balance</v>
      </c>
      <c r="P2761" t="str">
        <f t="shared" si="175"/>
        <v>Mid-term</v>
      </c>
    </row>
    <row r="2762" spans="1:16" x14ac:dyDescent="0.25">
      <c r="A2762">
        <v>2025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  <c r="M2762" t="str">
        <f t="shared" si="172"/>
        <v>60+</v>
      </c>
      <c r="N2762" t="str">
        <f t="shared" si="173"/>
        <v>Medium</v>
      </c>
      <c r="O2762" t="str">
        <f t="shared" si="174"/>
        <v>High Balance</v>
      </c>
      <c r="P2762" t="str">
        <f t="shared" si="175"/>
        <v>New</v>
      </c>
    </row>
    <row r="2763" spans="1:16" x14ac:dyDescent="0.25">
      <c r="A2763">
        <v>2025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  <c r="M2763" t="str">
        <f t="shared" si="172"/>
        <v>46-60</v>
      </c>
      <c r="N2763" t="str">
        <f t="shared" si="173"/>
        <v>Medium</v>
      </c>
      <c r="O2763" t="str">
        <f t="shared" si="174"/>
        <v>High Balance</v>
      </c>
      <c r="P2763" t="str">
        <f t="shared" si="175"/>
        <v>Mid-term</v>
      </c>
    </row>
    <row r="2764" spans="1:16" x14ac:dyDescent="0.25">
      <c r="A2764">
        <v>2025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  <c r="M2764" t="str">
        <f t="shared" si="172"/>
        <v>&lt;30</v>
      </c>
      <c r="N2764" t="str">
        <f t="shared" si="173"/>
        <v>High</v>
      </c>
      <c r="O2764" t="str">
        <f t="shared" si="174"/>
        <v>High Balance</v>
      </c>
      <c r="P2764" t="str">
        <f t="shared" si="175"/>
        <v>New</v>
      </c>
    </row>
    <row r="2765" spans="1:16" x14ac:dyDescent="0.25">
      <c r="A2765">
        <v>2025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  <c r="M2765" t="str">
        <f t="shared" si="172"/>
        <v>46-60</v>
      </c>
      <c r="N2765" t="str">
        <f t="shared" si="173"/>
        <v>High</v>
      </c>
      <c r="O2765" t="str">
        <f t="shared" si="174"/>
        <v>High Balance</v>
      </c>
      <c r="P2765" t="str">
        <f t="shared" si="175"/>
        <v>Mid-term</v>
      </c>
    </row>
    <row r="2766" spans="1:16" x14ac:dyDescent="0.25">
      <c r="A2766">
        <v>2025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  <c r="M2766" t="str">
        <f t="shared" si="172"/>
        <v>30-45</v>
      </c>
      <c r="N2766" t="str">
        <f t="shared" si="173"/>
        <v>Medium</v>
      </c>
      <c r="O2766" t="str">
        <f t="shared" si="174"/>
        <v>Zero Balance</v>
      </c>
      <c r="P2766" t="str">
        <f t="shared" si="175"/>
        <v>Mid-term</v>
      </c>
    </row>
    <row r="2767" spans="1:16" x14ac:dyDescent="0.25">
      <c r="A2767">
        <v>2025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  <c r="M2767" t="str">
        <f t="shared" si="172"/>
        <v>30-45</v>
      </c>
      <c r="N2767" t="str">
        <f t="shared" si="173"/>
        <v>Medium</v>
      </c>
      <c r="O2767" t="str">
        <f t="shared" si="174"/>
        <v>Zero Balance</v>
      </c>
      <c r="P2767" t="str">
        <f t="shared" si="175"/>
        <v>Long-term</v>
      </c>
    </row>
    <row r="2768" spans="1:16" x14ac:dyDescent="0.25">
      <c r="A2768">
        <v>2025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  <c r="M2768" t="str">
        <f t="shared" si="172"/>
        <v>30-45</v>
      </c>
      <c r="N2768" t="str">
        <f t="shared" si="173"/>
        <v>High</v>
      </c>
      <c r="O2768" t="str">
        <f t="shared" si="174"/>
        <v>Zero Balance</v>
      </c>
      <c r="P2768" t="str">
        <f t="shared" si="175"/>
        <v>New</v>
      </c>
    </row>
    <row r="2769" spans="1:16" x14ac:dyDescent="0.25">
      <c r="A2769">
        <v>2025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  <c r="M2769" t="str">
        <f t="shared" si="172"/>
        <v>&lt;30</v>
      </c>
      <c r="N2769" t="str">
        <f t="shared" si="173"/>
        <v>Medium</v>
      </c>
      <c r="O2769" t="str">
        <f t="shared" si="174"/>
        <v>High Balance</v>
      </c>
      <c r="P2769" t="str">
        <f t="shared" si="175"/>
        <v>Long-term</v>
      </c>
    </row>
    <row r="2770" spans="1:16" x14ac:dyDescent="0.25">
      <c r="A2770">
        <v>2025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  <c r="M2770" t="str">
        <f t="shared" si="172"/>
        <v>&lt;30</v>
      </c>
      <c r="N2770" t="str">
        <f t="shared" si="173"/>
        <v>Medium</v>
      </c>
      <c r="O2770" t="str">
        <f t="shared" si="174"/>
        <v>Zero Balance</v>
      </c>
      <c r="P2770" t="str">
        <f t="shared" si="175"/>
        <v>Mid-term</v>
      </c>
    </row>
    <row r="2771" spans="1:16" x14ac:dyDescent="0.25">
      <c r="A2771">
        <v>2025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  <c r="M2771" t="str">
        <f t="shared" si="172"/>
        <v>30-45</v>
      </c>
      <c r="N2771" t="str">
        <f t="shared" si="173"/>
        <v>Medium</v>
      </c>
      <c r="O2771" t="str">
        <f t="shared" si="174"/>
        <v>High Balance</v>
      </c>
      <c r="P2771" t="str">
        <f t="shared" si="175"/>
        <v>New</v>
      </c>
    </row>
    <row r="2772" spans="1:16" x14ac:dyDescent="0.25">
      <c r="A2772">
        <v>2025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  <c r="M2772" t="str">
        <f t="shared" si="172"/>
        <v>30-45</v>
      </c>
      <c r="N2772" t="str">
        <f t="shared" si="173"/>
        <v>Medium</v>
      </c>
      <c r="O2772" t="str">
        <f t="shared" si="174"/>
        <v>Zero Balance</v>
      </c>
      <c r="P2772" t="str">
        <f t="shared" si="175"/>
        <v>Mid-term</v>
      </c>
    </row>
    <row r="2773" spans="1:16" x14ac:dyDescent="0.25">
      <c r="A2773">
        <v>2025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  <c r="M2773" t="str">
        <f t="shared" si="172"/>
        <v>&lt;30</v>
      </c>
      <c r="N2773" t="str">
        <f t="shared" si="173"/>
        <v>High</v>
      </c>
      <c r="O2773" t="str">
        <f t="shared" si="174"/>
        <v>Low Balance</v>
      </c>
      <c r="P2773" t="str">
        <f t="shared" si="175"/>
        <v>Mid-term</v>
      </c>
    </row>
    <row r="2774" spans="1:16" x14ac:dyDescent="0.25">
      <c r="A2774">
        <v>2025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  <c r="M2774" t="str">
        <f t="shared" si="172"/>
        <v>60+</v>
      </c>
      <c r="N2774" t="str">
        <f t="shared" si="173"/>
        <v>Medium</v>
      </c>
      <c r="O2774" t="str">
        <f t="shared" si="174"/>
        <v>High Balance</v>
      </c>
      <c r="P2774" t="str">
        <f t="shared" si="175"/>
        <v>Mid-term</v>
      </c>
    </row>
    <row r="2775" spans="1:16" x14ac:dyDescent="0.25">
      <c r="A2775">
        <v>2025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  <c r="M2775" t="str">
        <f t="shared" si="172"/>
        <v>&lt;30</v>
      </c>
      <c r="N2775" t="str">
        <f t="shared" si="173"/>
        <v>Medium</v>
      </c>
      <c r="O2775" t="str">
        <f t="shared" si="174"/>
        <v>Zero Balance</v>
      </c>
      <c r="P2775" t="str">
        <f t="shared" si="175"/>
        <v>New</v>
      </c>
    </row>
    <row r="2776" spans="1:16" x14ac:dyDescent="0.25">
      <c r="A2776">
        <v>2025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  <c r="M2776" t="str">
        <f t="shared" si="172"/>
        <v>&lt;30</v>
      </c>
      <c r="N2776" t="str">
        <f t="shared" si="173"/>
        <v>Medium</v>
      </c>
      <c r="O2776" t="str">
        <f t="shared" si="174"/>
        <v>Zero Balance</v>
      </c>
      <c r="P2776" t="str">
        <f t="shared" si="175"/>
        <v>New</v>
      </c>
    </row>
    <row r="2777" spans="1:16" x14ac:dyDescent="0.25">
      <c r="A2777">
        <v>2025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  <c r="M2777" t="str">
        <f t="shared" si="172"/>
        <v>46-60</v>
      </c>
      <c r="N2777" t="str">
        <f t="shared" si="173"/>
        <v>High</v>
      </c>
      <c r="O2777" t="str">
        <f t="shared" si="174"/>
        <v>High Balance</v>
      </c>
      <c r="P2777" t="str">
        <f t="shared" si="175"/>
        <v>New</v>
      </c>
    </row>
    <row r="2778" spans="1:16" x14ac:dyDescent="0.25">
      <c r="A2778">
        <v>2025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  <c r="M2778" t="str">
        <f t="shared" si="172"/>
        <v>30-45</v>
      </c>
      <c r="N2778" t="str">
        <f t="shared" si="173"/>
        <v>Medium</v>
      </c>
      <c r="O2778" t="str">
        <f t="shared" si="174"/>
        <v>Zero Balance</v>
      </c>
      <c r="P2778" t="str">
        <f t="shared" si="175"/>
        <v>Mid-term</v>
      </c>
    </row>
    <row r="2779" spans="1:16" x14ac:dyDescent="0.25">
      <c r="A2779">
        <v>2025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  <c r="M2779" t="str">
        <f t="shared" si="172"/>
        <v>60+</v>
      </c>
      <c r="N2779" t="str">
        <f t="shared" si="173"/>
        <v>High</v>
      </c>
      <c r="O2779" t="str">
        <f t="shared" si="174"/>
        <v>High Balance</v>
      </c>
      <c r="P2779" t="str">
        <f t="shared" si="175"/>
        <v>Long-term</v>
      </c>
    </row>
    <row r="2780" spans="1:16" x14ac:dyDescent="0.25">
      <c r="A2780">
        <v>2025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  <c r="M2780" t="str">
        <f t="shared" si="172"/>
        <v>60+</v>
      </c>
      <c r="N2780" t="str">
        <f t="shared" si="173"/>
        <v>Medium</v>
      </c>
      <c r="O2780" t="str">
        <f t="shared" si="174"/>
        <v>Zero Balance</v>
      </c>
      <c r="P2780" t="str">
        <f t="shared" si="175"/>
        <v>Long-term</v>
      </c>
    </row>
    <row r="2781" spans="1:16" x14ac:dyDescent="0.25">
      <c r="A2781">
        <v>2025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  <c r="M2781" t="str">
        <f t="shared" si="172"/>
        <v>30-45</v>
      </c>
      <c r="N2781" t="str">
        <f t="shared" si="173"/>
        <v>High</v>
      </c>
      <c r="O2781" t="str">
        <f t="shared" si="174"/>
        <v>High Balance</v>
      </c>
      <c r="P2781" t="str">
        <f t="shared" si="175"/>
        <v>Long-term</v>
      </c>
    </row>
    <row r="2782" spans="1:16" x14ac:dyDescent="0.25">
      <c r="A2782">
        <v>2025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  <c r="M2782" t="str">
        <f t="shared" si="172"/>
        <v>30-45</v>
      </c>
      <c r="N2782" t="str">
        <f t="shared" si="173"/>
        <v>High</v>
      </c>
      <c r="O2782" t="str">
        <f t="shared" si="174"/>
        <v>High Balance</v>
      </c>
      <c r="P2782" t="str">
        <f t="shared" si="175"/>
        <v>Long-term</v>
      </c>
    </row>
    <row r="2783" spans="1:16" x14ac:dyDescent="0.25">
      <c r="A2783">
        <v>2025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  <c r="M2783" t="str">
        <f t="shared" si="172"/>
        <v>60+</v>
      </c>
      <c r="N2783" t="str">
        <f t="shared" si="173"/>
        <v>High</v>
      </c>
      <c r="O2783" t="str">
        <f t="shared" si="174"/>
        <v>Low Balance</v>
      </c>
      <c r="P2783" t="str">
        <f t="shared" si="175"/>
        <v>Long-term</v>
      </c>
    </row>
    <row r="2784" spans="1:16" x14ac:dyDescent="0.25">
      <c r="A2784">
        <v>2025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  <c r="M2784" t="str">
        <f t="shared" si="172"/>
        <v>&lt;30</v>
      </c>
      <c r="N2784" t="str">
        <f t="shared" si="173"/>
        <v>Medium</v>
      </c>
      <c r="O2784" t="str">
        <f t="shared" si="174"/>
        <v>Zero Balance</v>
      </c>
      <c r="P2784" t="str">
        <f t="shared" si="175"/>
        <v>Long-term</v>
      </c>
    </row>
    <row r="2785" spans="1:16" x14ac:dyDescent="0.25">
      <c r="A2785">
        <v>2025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  <c r="M2785" t="str">
        <f t="shared" si="172"/>
        <v>30-45</v>
      </c>
      <c r="N2785" t="str">
        <f t="shared" si="173"/>
        <v>Medium</v>
      </c>
      <c r="O2785" t="str">
        <f t="shared" si="174"/>
        <v>High Balance</v>
      </c>
      <c r="P2785" t="str">
        <f t="shared" si="175"/>
        <v>Mid-term</v>
      </c>
    </row>
    <row r="2786" spans="1:16" x14ac:dyDescent="0.25">
      <c r="A2786">
        <v>2025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  <c r="M2786" t="str">
        <f t="shared" si="172"/>
        <v>30-45</v>
      </c>
      <c r="N2786" t="str">
        <f t="shared" si="173"/>
        <v>High</v>
      </c>
      <c r="O2786" t="str">
        <f t="shared" si="174"/>
        <v>High Balance</v>
      </c>
      <c r="P2786" t="str">
        <f t="shared" si="175"/>
        <v>Mid-term</v>
      </c>
    </row>
    <row r="2787" spans="1:16" x14ac:dyDescent="0.25">
      <c r="A2787">
        <v>2025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  <c r="M2787" t="str">
        <f t="shared" si="172"/>
        <v>30-45</v>
      </c>
      <c r="N2787" t="str">
        <f t="shared" si="173"/>
        <v>Medium</v>
      </c>
      <c r="O2787" t="str">
        <f t="shared" si="174"/>
        <v>High Balance</v>
      </c>
      <c r="P2787" t="str">
        <f t="shared" si="175"/>
        <v>Mid-term</v>
      </c>
    </row>
    <row r="2788" spans="1:16" x14ac:dyDescent="0.25">
      <c r="A2788">
        <v>2025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  <c r="M2788" t="str">
        <f t="shared" si="172"/>
        <v>30-45</v>
      </c>
      <c r="N2788" t="str">
        <f t="shared" si="173"/>
        <v>Medium</v>
      </c>
      <c r="O2788" t="str">
        <f t="shared" si="174"/>
        <v>High Balance</v>
      </c>
      <c r="P2788" t="str">
        <f t="shared" si="175"/>
        <v>Long-term</v>
      </c>
    </row>
    <row r="2789" spans="1:16" x14ac:dyDescent="0.25">
      <c r="A2789">
        <v>2025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  <c r="M2789" t="str">
        <f t="shared" si="172"/>
        <v>46-60</v>
      </c>
      <c r="N2789" t="str">
        <f t="shared" si="173"/>
        <v>High</v>
      </c>
      <c r="O2789" t="str">
        <f t="shared" si="174"/>
        <v>High Balance</v>
      </c>
      <c r="P2789" t="str">
        <f t="shared" si="175"/>
        <v>Mid-term</v>
      </c>
    </row>
    <row r="2790" spans="1:16" x14ac:dyDescent="0.25">
      <c r="A2790">
        <v>2025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  <c r="M2790" t="str">
        <f t="shared" si="172"/>
        <v>30-45</v>
      </c>
      <c r="N2790" t="str">
        <f t="shared" si="173"/>
        <v>Medium</v>
      </c>
      <c r="O2790" t="str">
        <f t="shared" si="174"/>
        <v>Low Balance</v>
      </c>
      <c r="P2790" t="str">
        <f t="shared" si="175"/>
        <v>New</v>
      </c>
    </row>
    <row r="2791" spans="1:16" x14ac:dyDescent="0.25">
      <c r="A2791">
        <v>2025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  <c r="M2791" t="str">
        <f t="shared" si="172"/>
        <v>30-45</v>
      </c>
      <c r="N2791" t="str">
        <f t="shared" si="173"/>
        <v>High</v>
      </c>
      <c r="O2791" t="str">
        <f t="shared" si="174"/>
        <v>High Balance</v>
      </c>
      <c r="P2791" t="str">
        <f t="shared" si="175"/>
        <v>New</v>
      </c>
    </row>
    <row r="2792" spans="1:16" x14ac:dyDescent="0.25">
      <c r="A2792">
        <v>2025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  <c r="M2792" t="str">
        <f t="shared" si="172"/>
        <v>30-45</v>
      </c>
      <c r="N2792" t="str">
        <f t="shared" si="173"/>
        <v>Medium</v>
      </c>
      <c r="O2792" t="str">
        <f t="shared" si="174"/>
        <v>High Balance</v>
      </c>
      <c r="P2792" t="str">
        <f t="shared" si="175"/>
        <v>Mid-term</v>
      </c>
    </row>
    <row r="2793" spans="1:16" x14ac:dyDescent="0.25">
      <c r="A2793">
        <v>2025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  <c r="M2793" t="str">
        <f t="shared" si="172"/>
        <v>60+</v>
      </c>
      <c r="N2793" t="str">
        <f t="shared" si="173"/>
        <v>Medium</v>
      </c>
      <c r="O2793" t="str">
        <f t="shared" si="174"/>
        <v>Zero Balance</v>
      </c>
      <c r="P2793" t="str">
        <f t="shared" si="175"/>
        <v>New</v>
      </c>
    </row>
    <row r="2794" spans="1:16" x14ac:dyDescent="0.25">
      <c r="A2794">
        <v>2025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  <c r="M2794" t="str">
        <f t="shared" si="172"/>
        <v>30-45</v>
      </c>
      <c r="N2794" t="str">
        <f t="shared" si="173"/>
        <v>Medium</v>
      </c>
      <c r="O2794" t="str">
        <f t="shared" si="174"/>
        <v>Zero Balance</v>
      </c>
      <c r="P2794" t="str">
        <f t="shared" si="175"/>
        <v>New</v>
      </c>
    </row>
    <row r="2795" spans="1:16" x14ac:dyDescent="0.25">
      <c r="A2795">
        <v>2025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  <c r="M2795" t="str">
        <f t="shared" si="172"/>
        <v>&lt;30</v>
      </c>
      <c r="N2795" t="str">
        <f t="shared" si="173"/>
        <v>Medium</v>
      </c>
      <c r="O2795" t="str">
        <f t="shared" si="174"/>
        <v>High Balance</v>
      </c>
      <c r="P2795" t="str">
        <f t="shared" si="175"/>
        <v>Mid-term</v>
      </c>
    </row>
    <row r="2796" spans="1:16" x14ac:dyDescent="0.25">
      <c r="A2796">
        <v>2025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  <c r="M2796" t="str">
        <f t="shared" si="172"/>
        <v>46-60</v>
      </c>
      <c r="N2796" t="str">
        <f t="shared" si="173"/>
        <v>Medium</v>
      </c>
      <c r="O2796" t="str">
        <f t="shared" si="174"/>
        <v>Low Balance</v>
      </c>
      <c r="P2796" t="str">
        <f t="shared" si="175"/>
        <v>Long-term</v>
      </c>
    </row>
    <row r="2797" spans="1:16" x14ac:dyDescent="0.25">
      <c r="A2797">
        <v>2025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  <c r="M2797" t="str">
        <f t="shared" si="172"/>
        <v>&lt;30</v>
      </c>
      <c r="N2797" t="str">
        <f t="shared" si="173"/>
        <v>Medium</v>
      </c>
      <c r="O2797" t="str">
        <f t="shared" si="174"/>
        <v>Low Balance</v>
      </c>
      <c r="P2797" t="str">
        <f t="shared" si="175"/>
        <v>Mid-term</v>
      </c>
    </row>
    <row r="2798" spans="1:16" x14ac:dyDescent="0.25">
      <c r="A2798">
        <v>2025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  <c r="M2798" t="str">
        <f t="shared" si="172"/>
        <v>30-45</v>
      </c>
      <c r="N2798" t="str">
        <f t="shared" si="173"/>
        <v>Medium</v>
      </c>
      <c r="O2798" t="str">
        <f t="shared" si="174"/>
        <v>High Balance</v>
      </c>
      <c r="P2798" t="str">
        <f t="shared" si="175"/>
        <v>Mid-term</v>
      </c>
    </row>
    <row r="2799" spans="1:16" x14ac:dyDescent="0.25">
      <c r="A2799">
        <v>2025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  <c r="M2799" t="str">
        <f t="shared" si="172"/>
        <v>&lt;30</v>
      </c>
      <c r="N2799" t="str">
        <f t="shared" si="173"/>
        <v>Medium</v>
      </c>
      <c r="O2799" t="str">
        <f t="shared" si="174"/>
        <v>High Balance</v>
      </c>
      <c r="P2799" t="str">
        <f t="shared" si="175"/>
        <v>New</v>
      </c>
    </row>
    <row r="2800" spans="1:16" x14ac:dyDescent="0.25">
      <c r="A2800">
        <v>2025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  <c r="M2800" t="str">
        <f t="shared" si="172"/>
        <v>&lt;30</v>
      </c>
      <c r="N2800" t="str">
        <f t="shared" si="173"/>
        <v>Medium</v>
      </c>
      <c r="O2800" t="str">
        <f t="shared" si="174"/>
        <v>High Balance</v>
      </c>
      <c r="P2800" t="str">
        <f t="shared" si="175"/>
        <v>Mid-term</v>
      </c>
    </row>
    <row r="2801" spans="1:16" x14ac:dyDescent="0.25">
      <c r="A2801">
        <v>2025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  <c r="M2801" t="str">
        <f t="shared" si="172"/>
        <v>30-45</v>
      </c>
      <c r="N2801" t="str">
        <f t="shared" si="173"/>
        <v>High</v>
      </c>
      <c r="O2801" t="str">
        <f t="shared" si="174"/>
        <v>High Balance</v>
      </c>
      <c r="P2801" t="str">
        <f t="shared" si="175"/>
        <v>Long-term</v>
      </c>
    </row>
    <row r="2802" spans="1:16" x14ac:dyDescent="0.25">
      <c r="A2802">
        <v>2025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  <c r="M2802" t="str">
        <f t="shared" si="172"/>
        <v>46-60</v>
      </c>
      <c r="N2802" t="str">
        <f t="shared" si="173"/>
        <v>High</v>
      </c>
      <c r="O2802" t="str">
        <f t="shared" si="174"/>
        <v>High Balance</v>
      </c>
      <c r="P2802" t="str">
        <f t="shared" si="175"/>
        <v>Long-term</v>
      </c>
    </row>
    <row r="2803" spans="1:16" x14ac:dyDescent="0.25">
      <c r="A2803">
        <v>2025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  <c r="M2803" t="str">
        <f t="shared" si="172"/>
        <v>&lt;30</v>
      </c>
      <c r="N2803" t="str">
        <f t="shared" si="173"/>
        <v>Low</v>
      </c>
      <c r="O2803" t="str">
        <f t="shared" si="174"/>
        <v>High Balance</v>
      </c>
      <c r="P2803" t="str">
        <f t="shared" si="175"/>
        <v>Long-term</v>
      </c>
    </row>
    <row r="2804" spans="1:16" x14ac:dyDescent="0.25">
      <c r="A2804">
        <v>2025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  <c r="M2804" t="str">
        <f t="shared" si="172"/>
        <v>46-60</v>
      </c>
      <c r="N2804" t="str">
        <f t="shared" si="173"/>
        <v>High</v>
      </c>
      <c r="O2804" t="str">
        <f t="shared" si="174"/>
        <v>High Balance</v>
      </c>
      <c r="P2804" t="str">
        <f t="shared" si="175"/>
        <v>Mid-term</v>
      </c>
    </row>
    <row r="2805" spans="1:16" x14ac:dyDescent="0.25">
      <c r="A2805">
        <v>2025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  <c r="M2805" t="str">
        <f t="shared" si="172"/>
        <v>30-45</v>
      </c>
      <c r="N2805" t="str">
        <f t="shared" si="173"/>
        <v>High</v>
      </c>
      <c r="O2805" t="str">
        <f t="shared" si="174"/>
        <v>Low Balance</v>
      </c>
      <c r="P2805" t="str">
        <f t="shared" si="175"/>
        <v>Mid-term</v>
      </c>
    </row>
    <row r="2806" spans="1:16" x14ac:dyDescent="0.25">
      <c r="A2806">
        <v>2025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  <c r="M2806" t="str">
        <f t="shared" si="172"/>
        <v>30-45</v>
      </c>
      <c r="N2806" t="str">
        <f t="shared" si="173"/>
        <v>Medium</v>
      </c>
      <c r="O2806" t="str">
        <f t="shared" si="174"/>
        <v>Zero Balance</v>
      </c>
      <c r="P2806" t="str">
        <f t="shared" si="175"/>
        <v>New</v>
      </c>
    </row>
    <row r="2807" spans="1:16" x14ac:dyDescent="0.25">
      <c r="A2807">
        <v>2025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  <c r="M2807" t="str">
        <f t="shared" si="172"/>
        <v>46-60</v>
      </c>
      <c r="N2807" t="str">
        <f t="shared" si="173"/>
        <v>Medium</v>
      </c>
      <c r="O2807" t="str">
        <f t="shared" si="174"/>
        <v>Zero Balance</v>
      </c>
      <c r="P2807" t="str">
        <f t="shared" si="175"/>
        <v>Mid-term</v>
      </c>
    </row>
    <row r="2808" spans="1:16" x14ac:dyDescent="0.25">
      <c r="A2808">
        <v>2025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  <c r="M2808" t="str">
        <f t="shared" si="172"/>
        <v>30-45</v>
      </c>
      <c r="N2808" t="str">
        <f t="shared" si="173"/>
        <v>Medium</v>
      </c>
      <c r="O2808" t="str">
        <f t="shared" si="174"/>
        <v>Zero Balance</v>
      </c>
      <c r="P2808" t="str">
        <f t="shared" si="175"/>
        <v>New</v>
      </c>
    </row>
    <row r="2809" spans="1:16" x14ac:dyDescent="0.25">
      <c r="A2809">
        <v>2025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  <c r="M2809" t="str">
        <f t="shared" si="172"/>
        <v>30-45</v>
      </c>
      <c r="N2809" t="str">
        <f t="shared" si="173"/>
        <v>High</v>
      </c>
      <c r="O2809" t="str">
        <f t="shared" si="174"/>
        <v>High Balance</v>
      </c>
      <c r="P2809" t="str">
        <f t="shared" si="175"/>
        <v>New</v>
      </c>
    </row>
    <row r="2810" spans="1:16" x14ac:dyDescent="0.25">
      <c r="A2810">
        <v>2025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  <c r="M2810" t="str">
        <f t="shared" si="172"/>
        <v>30-45</v>
      </c>
      <c r="N2810" t="str">
        <f t="shared" si="173"/>
        <v>Medium</v>
      </c>
      <c r="O2810" t="str">
        <f t="shared" si="174"/>
        <v>Low Balance</v>
      </c>
      <c r="P2810" t="str">
        <f t="shared" si="175"/>
        <v>Mid-term</v>
      </c>
    </row>
    <row r="2811" spans="1:16" x14ac:dyDescent="0.25">
      <c r="A2811">
        <v>2025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  <c r="M2811" t="str">
        <f t="shared" si="172"/>
        <v>30-45</v>
      </c>
      <c r="N2811" t="str">
        <f t="shared" si="173"/>
        <v>Medium</v>
      </c>
      <c r="O2811" t="str">
        <f t="shared" si="174"/>
        <v>Low Balance</v>
      </c>
      <c r="P2811" t="str">
        <f t="shared" si="175"/>
        <v>New</v>
      </c>
    </row>
    <row r="2812" spans="1:16" x14ac:dyDescent="0.25">
      <c r="A2812">
        <v>2025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  <c r="M2812" t="str">
        <f t="shared" si="172"/>
        <v>30-45</v>
      </c>
      <c r="N2812" t="str">
        <f t="shared" si="173"/>
        <v>Medium</v>
      </c>
      <c r="O2812" t="str">
        <f t="shared" si="174"/>
        <v>Zero Balance</v>
      </c>
      <c r="P2812" t="str">
        <f t="shared" si="175"/>
        <v>Long-term</v>
      </c>
    </row>
    <row r="2813" spans="1:16" x14ac:dyDescent="0.25">
      <c r="A2813">
        <v>2025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  <c r="M2813" t="str">
        <f t="shared" si="172"/>
        <v>30-45</v>
      </c>
      <c r="N2813" t="str">
        <f t="shared" si="173"/>
        <v>Medium</v>
      </c>
      <c r="O2813" t="str">
        <f t="shared" si="174"/>
        <v>Zero Balance</v>
      </c>
      <c r="P2813" t="str">
        <f t="shared" si="175"/>
        <v>Long-term</v>
      </c>
    </row>
    <row r="2814" spans="1:16" x14ac:dyDescent="0.25">
      <c r="A2814">
        <v>2025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  <c r="M2814" t="str">
        <f t="shared" si="172"/>
        <v>&lt;30</v>
      </c>
      <c r="N2814" t="str">
        <f t="shared" si="173"/>
        <v>Medium</v>
      </c>
      <c r="O2814" t="str">
        <f t="shared" si="174"/>
        <v>Zero Balance</v>
      </c>
      <c r="P2814" t="str">
        <f t="shared" si="175"/>
        <v>New</v>
      </c>
    </row>
    <row r="2815" spans="1:16" x14ac:dyDescent="0.25">
      <c r="A2815">
        <v>2025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  <c r="M2815" t="str">
        <f t="shared" si="172"/>
        <v>46-60</v>
      </c>
      <c r="N2815" t="str">
        <f t="shared" si="173"/>
        <v>High</v>
      </c>
      <c r="O2815" t="str">
        <f t="shared" si="174"/>
        <v>High Balance</v>
      </c>
      <c r="P2815" t="str">
        <f t="shared" si="175"/>
        <v>Mid-term</v>
      </c>
    </row>
    <row r="2816" spans="1:16" x14ac:dyDescent="0.25">
      <c r="A2816">
        <v>2025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  <c r="M2816" t="str">
        <f t="shared" si="172"/>
        <v>30-45</v>
      </c>
      <c r="N2816" t="str">
        <f t="shared" si="173"/>
        <v>High</v>
      </c>
      <c r="O2816" t="str">
        <f t="shared" si="174"/>
        <v>High Balance</v>
      </c>
      <c r="P2816" t="str">
        <f t="shared" si="175"/>
        <v>New</v>
      </c>
    </row>
    <row r="2817" spans="1:16" x14ac:dyDescent="0.25">
      <c r="A2817">
        <v>2025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  <c r="M2817" t="str">
        <f t="shared" si="172"/>
        <v>30-45</v>
      </c>
      <c r="N2817" t="str">
        <f t="shared" si="173"/>
        <v>Medium</v>
      </c>
      <c r="O2817" t="str">
        <f t="shared" si="174"/>
        <v>Low Balance</v>
      </c>
      <c r="P2817" t="str">
        <f t="shared" si="175"/>
        <v>New</v>
      </c>
    </row>
    <row r="2818" spans="1:16" x14ac:dyDescent="0.25">
      <c r="A2818">
        <v>2025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  <c r="M2818" t="str">
        <f t="shared" si="172"/>
        <v>&lt;30</v>
      </c>
      <c r="N2818" t="str">
        <f t="shared" si="173"/>
        <v>Medium</v>
      </c>
      <c r="O2818" t="str">
        <f t="shared" si="174"/>
        <v>Zero Balance</v>
      </c>
      <c r="P2818" t="str">
        <f t="shared" si="175"/>
        <v>Mid-term</v>
      </c>
    </row>
    <row r="2819" spans="1:16" x14ac:dyDescent="0.25">
      <c r="A2819">
        <v>2025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  <c r="M2819" t="str">
        <f t="shared" ref="M2819:M2882" si="176">IF(E2819&lt;30,"&lt;30",IF(E2819&lt;=45,"30-45",IF(E2819&lt;=60,"46-60","60+")))</f>
        <v>30-45</v>
      </c>
      <c r="N2819" t="str">
        <f t="shared" ref="N2819:N2882" si="177">IF(B2819&lt;500,"Low",IF(B2819&lt;700,"Medium","High"))</f>
        <v>Medium</v>
      </c>
      <c r="O2819" t="str">
        <f t="shared" ref="O2819:O2882" si="178">IF(G2819=0,"Zero Balance",IF(G2819&lt;100000,"Low Balance","High Balance"))</f>
        <v>Zero Balance</v>
      </c>
      <c r="P2819" t="str">
        <f t="shared" ref="P2819:P2882" si="179">IF(F2819&lt;=3,"New",IF(F2819&lt;=7,"Mid-term","Long-term"))</f>
        <v>Long-term</v>
      </c>
    </row>
    <row r="2820" spans="1:16" x14ac:dyDescent="0.25">
      <c r="A2820">
        <v>2025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  <c r="M2820" t="str">
        <f t="shared" si="176"/>
        <v>30-45</v>
      </c>
      <c r="N2820" t="str">
        <f t="shared" si="177"/>
        <v>Medium</v>
      </c>
      <c r="O2820" t="str">
        <f t="shared" si="178"/>
        <v>Zero Balance</v>
      </c>
      <c r="P2820" t="str">
        <f t="shared" si="179"/>
        <v>Mid-term</v>
      </c>
    </row>
    <row r="2821" spans="1:16" x14ac:dyDescent="0.25">
      <c r="A2821">
        <v>2025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  <c r="M2821" t="str">
        <f t="shared" si="176"/>
        <v>30-45</v>
      </c>
      <c r="N2821" t="str">
        <f t="shared" si="177"/>
        <v>High</v>
      </c>
      <c r="O2821" t="str">
        <f t="shared" si="178"/>
        <v>Low Balance</v>
      </c>
      <c r="P2821" t="str">
        <f t="shared" si="179"/>
        <v>Mid-term</v>
      </c>
    </row>
    <row r="2822" spans="1:16" x14ac:dyDescent="0.25">
      <c r="A2822">
        <v>2025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  <c r="M2822" t="str">
        <f t="shared" si="176"/>
        <v>30-45</v>
      </c>
      <c r="N2822" t="str">
        <f t="shared" si="177"/>
        <v>Medium</v>
      </c>
      <c r="O2822" t="str">
        <f t="shared" si="178"/>
        <v>Low Balance</v>
      </c>
      <c r="P2822" t="str">
        <f t="shared" si="179"/>
        <v>New</v>
      </c>
    </row>
    <row r="2823" spans="1:16" x14ac:dyDescent="0.25">
      <c r="A2823">
        <v>2025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  <c r="M2823" t="str">
        <f t="shared" si="176"/>
        <v>30-45</v>
      </c>
      <c r="N2823" t="str">
        <f t="shared" si="177"/>
        <v>High</v>
      </c>
      <c r="O2823" t="str">
        <f t="shared" si="178"/>
        <v>High Balance</v>
      </c>
      <c r="P2823" t="str">
        <f t="shared" si="179"/>
        <v>Long-term</v>
      </c>
    </row>
    <row r="2824" spans="1:16" x14ac:dyDescent="0.25">
      <c r="A2824">
        <v>2025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  <c r="M2824" t="str">
        <f t="shared" si="176"/>
        <v>30-45</v>
      </c>
      <c r="N2824" t="str">
        <f t="shared" si="177"/>
        <v>Medium</v>
      </c>
      <c r="O2824" t="str">
        <f t="shared" si="178"/>
        <v>Zero Balance</v>
      </c>
      <c r="P2824" t="str">
        <f t="shared" si="179"/>
        <v>New</v>
      </c>
    </row>
    <row r="2825" spans="1:16" x14ac:dyDescent="0.25">
      <c r="A2825">
        <v>2025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  <c r="M2825" t="str">
        <f t="shared" si="176"/>
        <v>46-60</v>
      </c>
      <c r="N2825" t="str">
        <f t="shared" si="177"/>
        <v>Medium</v>
      </c>
      <c r="O2825" t="str">
        <f t="shared" si="178"/>
        <v>High Balance</v>
      </c>
      <c r="P2825" t="str">
        <f t="shared" si="179"/>
        <v>Mid-term</v>
      </c>
    </row>
    <row r="2826" spans="1:16" x14ac:dyDescent="0.25">
      <c r="A2826">
        <v>2025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  <c r="M2826" t="str">
        <f t="shared" si="176"/>
        <v>30-45</v>
      </c>
      <c r="N2826" t="str">
        <f t="shared" si="177"/>
        <v>Medium</v>
      </c>
      <c r="O2826" t="str">
        <f t="shared" si="178"/>
        <v>High Balance</v>
      </c>
      <c r="P2826" t="str">
        <f t="shared" si="179"/>
        <v>Long-term</v>
      </c>
    </row>
    <row r="2827" spans="1:16" x14ac:dyDescent="0.25">
      <c r="A2827">
        <v>2025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  <c r="M2827" t="str">
        <f t="shared" si="176"/>
        <v>30-45</v>
      </c>
      <c r="N2827" t="str">
        <f t="shared" si="177"/>
        <v>Medium</v>
      </c>
      <c r="O2827" t="str">
        <f t="shared" si="178"/>
        <v>High Balance</v>
      </c>
      <c r="P2827" t="str">
        <f t="shared" si="179"/>
        <v>New</v>
      </c>
    </row>
    <row r="2828" spans="1:16" x14ac:dyDescent="0.25">
      <c r="A2828">
        <v>2025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  <c r="M2828" t="str">
        <f t="shared" si="176"/>
        <v>30-45</v>
      </c>
      <c r="N2828" t="str">
        <f t="shared" si="177"/>
        <v>Medium</v>
      </c>
      <c r="O2828" t="str">
        <f t="shared" si="178"/>
        <v>High Balance</v>
      </c>
      <c r="P2828" t="str">
        <f t="shared" si="179"/>
        <v>Mid-term</v>
      </c>
    </row>
    <row r="2829" spans="1:16" x14ac:dyDescent="0.25">
      <c r="A2829">
        <v>2025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  <c r="M2829" t="str">
        <f t="shared" si="176"/>
        <v>30-45</v>
      </c>
      <c r="N2829" t="str">
        <f t="shared" si="177"/>
        <v>High</v>
      </c>
      <c r="O2829" t="str">
        <f t="shared" si="178"/>
        <v>High Balance</v>
      </c>
      <c r="P2829" t="str">
        <f t="shared" si="179"/>
        <v>Mid-term</v>
      </c>
    </row>
    <row r="2830" spans="1:16" x14ac:dyDescent="0.25">
      <c r="A2830">
        <v>2025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  <c r="M2830" t="str">
        <f t="shared" si="176"/>
        <v>30-45</v>
      </c>
      <c r="N2830" t="str">
        <f t="shared" si="177"/>
        <v>Medium</v>
      </c>
      <c r="O2830" t="str">
        <f t="shared" si="178"/>
        <v>High Balance</v>
      </c>
      <c r="P2830" t="str">
        <f t="shared" si="179"/>
        <v>Long-term</v>
      </c>
    </row>
    <row r="2831" spans="1:16" x14ac:dyDescent="0.25">
      <c r="A2831">
        <v>2025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  <c r="M2831" t="str">
        <f t="shared" si="176"/>
        <v>30-45</v>
      </c>
      <c r="N2831" t="str">
        <f t="shared" si="177"/>
        <v>Medium</v>
      </c>
      <c r="O2831" t="str">
        <f t="shared" si="178"/>
        <v>Low Balance</v>
      </c>
      <c r="P2831" t="str">
        <f t="shared" si="179"/>
        <v>Mid-term</v>
      </c>
    </row>
    <row r="2832" spans="1:16" x14ac:dyDescent="0.25">
      <c r="A2832">
        <v>2025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  <c r="M2832" t="str">
        <f t="shared" si="176"/>
        <v>46-60</v>
      </c>
      <c r="N2832" t="str">
        <f t="shared" si="177"/>
        <v>Medium</v>
      </c>
      <c r="O2832" t="str">
        <f t="shared" si="178"/>
        <v>Low Balance</v>
      </c>
      <c r="P2832" t="str">
        <f t="shared" si="179"/>
        <v>New</v>
      </c>
    </row>
    <row r="2833" spans="1:16" x14ac:dyDescent="0.25">
      <c r="A2833">
        <v>2025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  <c r="M2833" t="str">
        <f t="shared" si="176"/>
        <v>30-45</v>
      </c>
      <c r="N2833" t="str">
        <f t="shared" si="177"/>
        <v>Medium</v>
      </c>
      <c r="O2833" t="str">
        <f t="shared" si="178"/>
        <v>Zero Balance</v>
      </c>
      <c r="P2833" t="str">
        <f t="shared" si="179"/>
        <v>New</v>
      </c>
    </row>
    <row r="2834" spans="1:16" x14ac:dyDescent="0.25">
      <c r="A2834">
        <v>2025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  <c r="M2834" t="str">
        <f t="shared" si="176"/>
        <v>&lt;30</v>
      </c>
      <c r="N2834" t="str">
        <f t="shared" si="177"/>
        <v>Medium</v>
      </c>
      <c r="O2834" t="str">
        <f t="shared" si="178"/>
        <v>Zero Balance</v>
      </c>
      <c r="P2834" t="str">
        <f t="shared" si="179"/>
        <v>Mid-term</v>
      </c>
    </row>
    <row r="2835" spans="1:16" x14ac:dyDescent="0.25">
      <c r="A2835">
        <v>2025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  <c r="M2835" t="str">
        <f t="shared" si="176"/>
        <v>30-45</v>
      </c>
      <c r="N2835" t="str">
        <f t="shared" si="177"/>
        <v>Medium</v>
      </c>
      <c r="O2835" t="str">
        <f t="shared" si="178"/>
        <v>Zero Balance</v>
      </c>
      <c r="P2835" t="str">
        <f t="shared" si="179"/>
        <v>Long-term</v>
      </c>
    </row>
    <row r="2836" spans="1:16" x14ac:dyDescent="0.25">
      <c r="A2836">
        <v>2025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  <c r="M2836" t="str">
        <f t="shared" si="176"/>
        <v>30-45</v>
      </c>
      <c r="N2836" t="str">
        <f t="shared" si="177"/>
        <v>High</v>
      </c>
      <c r="O2836" t="str">
        <f t="shared" si="178"/>
        <v>High Balance</v>
      </c>
      <c r="P2836" t="str">
        <f t="shared" si="179"/>
        <v>Long-term</v>
      </c>
    </row>
    <row r="2837" spans="1:16" x14ac:dyDescent="0.25">
      <c r="A2837">
        <v>2025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  <c r="M2837" t="str">
        <f t="shared" si="176"/>
        <v>30-45</v>
      </c>
      <c r="N2837" t="str">
        <f t="shared" si="177"/>
        <v>Medium</v>
      </c>
      <c r="O2837" t="str">
        <f t="shared" si="178"/>
        <v>High Balance</v>
      </c>
      <c r="P2837" t="str">
        <f t="shared" si="179"/>
        <v>Mid-term</v>
      </c>
    </row>
    <row r="2838" spans="1:16" x14ac:dyDescent="0.25">
      <c r="A2838">
        <v>2025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  <c r="M2838" t="str">
        <f t="shared" si="176"/>
        <v>46-60</v>
      </c>
      <c r="N2838" t="str">
        <f t="shared" si="177"/>
        <v>Medium</v>
      </c>
      <c r="O2838" t="str">
        <f t="shared" si="178"/>
        <v>Zero Balance</v>
      </c>
      <c r="P2838" t="str">
        <f t="shared" si="179"/>
        <v>Long-term</v>
      </c>
    </row>
    <row r="2839" spans="1:16" x14ac:dyDescent="0.25">
      <c r="A2839">
        <v>2025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  <c r="M2839" t="str">
        <f t="shared" si="176"/>
        <v>46-60</v>
      </c>
      <c r="N2839" t="str">
        <f t="shared" si="177"/>
        <v>Medium</v>
      </c>
      <c r="O2839" t="str">
        <f t="shared" si="178"/>
        <v>High Balance</v>
      </c>
      <c r="P2839" t="str">
        <f t="shared" si="179"/>
        <v>Mid-term</v>
      </c>
    </row>
    <row r="2840" spans="1:16" x14ac:dyDescent="0.25">
      <c r="A2840">
        <v>2025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  <c r="M2840" t="str">
        <f t="shared" si="176"/>
        <v>30-45</v>
      </c>
      <c r="N2840" t="str">
        <f t="shared" si="177"/>
        <v>High</v>
      </c>
      <c r="O2840" t="str">
        <f t="shared" si="178"/>
        <v>High Balance</v>
      </c>
      <c r="P2840" t="str">
        <f t="shared" si="179"/>
        <v>New</v>
      </c>
    </row>
    <row r="2841" spans="1:16" x14ac:dyDescent="0.25">
      <c r="A2841">
        <v>2025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  <c r="M2841" t="str">
        <f t="shared" si="176"/>
        <v>30-45</v>
      </c>
      <c r="N2841" t="str">
        <f t="shared" si="177"/>
        <v>Medium</v>
      </c>
      <c r="O2841" t="str">
        <f t="shared" si="178"/>
        <v>High Balance</v>
      </c>
      <c r="P2841" t="str">
        <f t="shared" si="179"/>
        <v>New</v>
      </c>
    </row>
    <row r="2842" spans="1:16" x14ac:dyDescent="0.25">
      <c r="A2842">
        <v>2025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  <c r="M2842" t="str">
        <f t="shared" si="176"/>
        <v>30-45</v>
      </c>
      <c r="N2842" t="str">
        <f t="shared" si="177"/>
        <v>Medium</v>
      </c>
      <c r="O2842" t="str">
        <f t="shared" si="178"/>
        <v>Zero Balance</v>
      </c>
      <c r="P2842" t="str">
        <f t="shared" si="179"/>
        <v>Mid-term</v>
      </c>
    </row>
    <row r="2843" spans="1:16" x14ac:dyDescent="0.25">
      <c r="A2843">
        <v>2025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  <c r="M2843" t="str">
        <f t="shared" si="176"/>
        <v>30-45</v>
      </c>
      <c r="N2843" t="str">
        <f t="shared" si="177"/>
        <v>High</v>
      </c>
      <c r="O2843" t="str">
        <f t="shared" si="178"/>
        <v>Zero Balance</v>
      </c>
      <c r="P2843" t="str">
        <f t="shared" si="179"/>
        <v>Mid-term</v>
      </c>
    </row>
    <row r="2844" spans="1:16" x14ac:dyDescent="0.25">
      <c r="A2844">
        <v>2025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  <c r="M2844" t="str">
        <f t="shared" si="176"/>
        <v>46-60</v>
      </c>
      <c r="N2844" t="str">
        <f t="shared" si="177"/>
        <v>Medium</v>
      </c>
      <c r="O2844" t="str">
        <f t="shared" si="178"/>
        <v>Zero Balance</v>
      </c>
      <c r="P2844" t="str">
        <f t="shared" si="179"/>
        <v>New</v>
      </c>
    </row>
    <row r="2845" spans="1:16" x14ac:dyDescent="0.25">
      <c r="A2845">
        <v>2025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  <c r="M2845" t="str">
        <f t="shared" si="176"/>
        <v>30-45</v>
      </c>
      <c r="N2845" t="str">
        <f t="shared" si="177"/>
        <v>Medium</v>
      </c>
      <c r="O2845" t="str">
        <f t="shared" si="178"/>
        <v>Low Balance</v>
      </c>
      <c r="P2845" t="str">
        <f t="shared" si="179"/>
        <v>Mid-term</v>
      </c>
    </row>
    <row r="2846" spans="1:16" x14ac:dyDescent="0.25">
      <c r="A2846">
        <v>2025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  <c r="M2846" t="str">
        <f t="shared" si="176"/>
        <v>30-45</v>
      </c>
      <c r="N2846" t="str">
        <f t="shared" si="177"/>
        <v>Medium</v>
      </c>
      <c r="O2846" t="str">
        <f t="shared" si="178"/>
        <v>High Balance</v>
      </c>
      <c r="P2846" t="str">
        <f t="shared" si="179"/>
        <v>New</v>
      </c>
    </row>
    <row r="2847" spans="1:16" x14ac:dyDescent="0.25">
      <c r="A2847">
        <v>2025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  <c r="M2847" t="str">
        <f t="shared" si="176"/>
        <v>30-45</v>
      </c>
      <c r="N2847" t="str">
        <f t="shared" si="177"/>
        <v>Medium</v>
      </c>
      <c r="O2847" t="str">
        <f t="shared" si="178"/>
        <v>High Balance</v>
      </c>
      <c r="P2847" t="str">
        <f t="shared" si="179"/>
        <v>Long-term</v>
      </c>
    </row>
    <row r="2848" spans="1:16" x14ac:dyDescent="0.25">
      <c r="A2848">
        <v>2025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  <c r="M2848" t="str">
        <f t="shared" si="176"/>
        <v>30-45</v>
      </c>
      <c r="N2848" t="str">
        <f t="shared" si="177"/>
        <v>Medium</v>
      </c>
      <c r="O2848" t="str">
        <f t="shared" si="178"/>
        <v>High Balance</v>
      </c>
      <c r="P2848" t="str">
        <f t="shared" si="179"/>
        <v>Mid-term</v>
      </c>
    </row>
    <row r="2849" spans="1:16" x14ac:dyDescent="0.25">
      <c r="A2849">
        <v>2025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  <c r="M2849" t="str">
        <f t="shared" si="176"/>
        <v>30-45</v>
      </c>
      <c r="N2849" t="str">
        <f t="shared" si="177"/>
        <v>Medium</v>
      </c>
      <c r="O2849" t="str">
        <f t="shared" si="178"/>
        <v>Low Balance</v>
      </c>
      <c r="P2849" t="str">
        <f t="shared" si="179"/>
        <v>Mid-term</v>
      </c>
    </row>
    <row r="2850" spans="1:16" x14ac:dyDescent="0.25">
      <c r="A2850">
        <v>2025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  <c r="M2850" t="str">
        <f t="shared" si="176"/>
        <v>30-45</v>
      </c>
      <c r="N2850" t="str">
        <f t="shared" si="177"/>
        <v>High</v>
      </c>
      <c r="O2850" t="str">
        <f t="shared" si="178"/>
        <v>Zero Balance</v>
      </c>
      <c r="P2850" t="str">
        <f t="shared" si="179"/>
        <v>Mid-term</v>
      </c>
    </row>
    <row r="2851" spans="1:16" x14ac:dyDescent="0.25">
      <c r="A2851">
        <v>2025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  <c r="M2851" t="str">
        <f t="shared" si="176"/>
        <v>30-45</v>
      </c>
      <c r="N2851" t="str">
        <f t="shared" si="177"/>
        <v>Low</v>
      </c>
      <c r="O2851" t="str">
        <f t="shared" si="178"/>
        <v>Zero Balance</v>
      </c>
      <c r="P2851" t="str">
        <f t="shared" si="179"/>
        <v>Long-term</v>
      </c>
    </row>
    <row r="2852" spans="1:16" x14ac:dyDescent="0.25">
      <c r="A2852">
        <v>2025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  <c r="M2852" t="str">
        <f t="shared" si="176"/>
        <v>30-45</v>
      </c>
      <c r="N2852" t="str">
        <f t="shared" si="177"/>
        <v>High</v>
      </c>
      <c r="O2852" t="str">
        <f t="shared" si="178"/>
        <v>Low Balance</v>
      </c>
      <c r="P2852" t="str">
        <f t="shared" si="179"/>
        <v>Mid-term</v>
      </c>
    </row>
    <row r="2853" spans="1:16" x14ac:dyDescent="0.25">
      <c r="A2853">
        <v>2025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  <c r="M2853" t="str">
        <f t="shared" si="176"/>
        <v>46-60</v>
      </c>
      <c r="N2853" t="str">
        <f t="shared" si="177"/>
        <v>Medium</v>
      </c>
      <c r="O2853" t="str">
        <f t="shared" si="178"/>
        <v>Zero Balance</v>
      </c>
      <c r="P2853" t="str">
        <f t="shared" si="179"/>
        <v>Mid-term</v>
      </c>
    </row>
    <row r="2854" spans="1:16" x14ac:dyDescent="0.25">
      <c r="A2854">
        <v>2025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  <c r="M2854" t="str">
        <f t="shared" si="176"/>
        <v>30-45</v>
      </c>
      <c r="N2854" t="str">
        <f t="shared" si="177"/>
        <v>Medium</v>
      </c>
      <c r="O2854" t="str">
        <f t="shared" si="178"/>
        <v>Zero Balance</v>
      </c>
      <c r="P2854" t="str">
        <f t="shared" si="179"/>
        <v>Mid-term</v>
      </c>
    </row>
    <row r="2855" spans="1:16" x14ac:dyDescent="0.25">
      <c r="A2855">
        <v>2025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  <c r="M2855" t="str">
        <f t="shared" si="176"/>
        <v>46-60</v>
      </c>
      <c r="N2855" t="str">
        <f t="shared" si="177"/>
        <v>Low</v>
      </c>
      <c r="O2855" t="str">
        <f t="shared" si="178"/>
        <v>High Balance</v>
      </c>
      <c r="P2855" t="str">
        <f t="shared" si="179"/>
        <v>Mid-term</v>
      </c>
    </row>
    <row r="2856" spans="1:16" x14ac:dyDescent="0.25">
      <c r="A2856">
        <v>2025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  <c r="M2856" t="str">
        <f t="shared" si="176"/>
        <v>30-45</v>
      </c>
      <c r="N2856" t="str">
        <f t="shared" si="177"/>
        <v>High</v>
      </c>
      <c r="O2856" t="str">
        <f t="shared" si="178"/>
        <v>High Balance</v>
      </c>
      <c r="P2856" t="str">
        <f t="shared" si="179"/>
        <v>New</v>
      </c>
    </row>
    <row r="2857" spans="1:16" x14ac:dyDescent="0.25">
      <c r="A2857">
        <v>2025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  <c r="M2857" t="str">
        <f t="shared" si="176"/>
        <v>60+</v>
      </c>
      <c r="N2857" t="str">
        <f t="shared" si="177"/>
        <v>High</v>
      </c>
      <c r="O2857" t="str">
        <f t="shared" si="178"/>
        <v>Zero Balance</v>
      </c>
      <c r="P2857" t="str">
        <f t="shared" si="179"/>
        <v>Mid-term</v>
      </c>
    </row>
    <row r="2858" spans="1:16" x14ac:dyDescent="0.25">
      <c r="A2858">
        <v>2025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  <c r="M2858" t="str">
        <f t="shared" si="176"/>
        <v>30-45</v>
      </c>
      <c r="N2858" t="str">
        <f t="shared" si="177"/>
        <v>Low</v>
      </c>
      <c r="O2858" t="str">
        <f t="shared" si="178"/>
        <v>High Balance</v>
      </c>
      <c r="P2858" t="str">
        <f t="shared" si="179"/>
        <v>New</v>
      </c>
    </row>
    <row r="2859" spans="1:16" x14ac:dyDescent="0.25">
      <c r="A2859">
        <v>2025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  <c r="M2859" t="str">
        <f t="shared" si="176"/>
        <v>46-60</v>
      </c>
      <c r="N2859" t="str">
        <f t="shared" si="177"/>
        <v>Medium</v>
      </c>
      <c r="O2859" t="str">
        <f t="shared" si="178"/>
        <v>Zero Balance</v>
      </c>
      <c r="P2859" t="str">
        <f t="shared" si="179"/>
        <v>New</v>
      </c>
    </row>
    <row r="2860" spans="1:16" x14ac:dyDescent="0.25">
      <c r="A2860">
        <v>2025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  <c r="M2860" t="str">
        <f t="shared" si="176"/>
        <v>&lt;30</v>
      </c>
      <c r="N2860" t="str">
        <f t="shared" si="177"/>
        <v>Medium</v>
      </c>
      <c r="O2860" t="str">
        <f t="shared" si="178"/>
        <v>Zero Balance</v>
      </c>
      <c r="P2860" t="str">
        <f t="shared" si="179"/>
        <v>New</v>
      </c>
    </row>
    <row r="2861" spans="1:16" x14ac:dyDescent="0.25">
      <c r="A2861">
        <v>2025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  <c r="M2861" t="str">
        <f t="shared" si="176"/>
        <v>30-45</v>
      </c>
      <c r="N2861" t="str">
        <f t="shared" si="177"/>
        <v>Medium</v>
      </c>
      <c r="O2861" t="str">
        <f t="shared" si="178"/>
        <v>Zero Balance</v>
      </c>
      <c r="P2861" t="str">
        <f t="shared" si="179"/>
        <v>Mid-term</v>
      </c>
    </row>
    <row r="2862" spans="1:16" x14ac:dyDescent="0.25">
      <c r="A2862">
        <v>2025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  <c r="M2862" t="str">
        <f t="shared" si="176"/>
        <v>30-45</v>
      </c>
      <c r="N2862" t="str">
        <f t="shared" si="177"/>
        <v>Medium</v>
      </c>
      <c r="O2862" t="str">
        <f t="shared" si="178"/>
        <v>High Balance</v>
      </c>
      <c r="P2862" t="str">
        <f t="shared" si="179"/>
        <v>Mid-term</v>
      </c>
    </row>
    <row r="2863" spans="1:16" x14ac:dyDescent="0.25">
      <c r="A2863">
        <v>2025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  <c r="M2863" t="str">
        <f t="shared" si="176"/>
        <v>&lt;30</v>
      </c>
      <c r="N2863" t="str">
        <f t="shared" si="177"/>
        <v>Medium</v>
      </c>
      <c r="O2863" t="str">
        <f t="shared" si="178"/>
        <v>Zero Balance</v>
      </c>
      <c r="P2863" t="str">
        <f t="shared" si="179"/>
        <v>Mid-term</v>
      </c>
    </row>
    <row r="2864" spans="1:16" x14ac:dyDescent="0.25">
      <c r="A2864">
        <v>2025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  <c r="M2864" t="str">
        <f t="shared" si="176"/>
        <v>30-45</v>
      </c>
      <c r="N2864" t="str">
        <f t="shared" si="177"/>
        <v>Medium</v>
      </c>
      <c r="O2864" t="str">
        <f t="shared" si="178"/>
        <v>High Balance</v>
      </c>
      <c r="P2864" t="str">
        <f t="shared" si="179"/>
        <v>Long-term</v>
      </c>
    </row>
    <row r="2865" spans="1:16" x14ac:dyDescent="0.25">
      <c r="A2865">
        <v>2025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  <c r="M2865" t="str">
        <f t="shared" si="176"/>
        <v>30-45</v>
      </c>
      <c r="N2865" t="str">
        <f t="shared" si="177"/>
        <v>High</v>
      </c>
      <c r="O2865" t="str">
        <f t="shared" si="178"/>
        <v>Zero Balance</v>
      </c>
      <c r="P2865" t="str">
        <f t="shared" si="179"/>
        <v>Long-term</v>
      </c>
    </row>
    <row r="2866" spans="1:16" x14ac:dyDescent="0.25">
      <c r="A2866">
        <v>2025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  <c r="M2866" t="str">
        <f t="shared" si="176"/>
        <v>30-45</v>
      </c>
      <c r="N2866" t="str">
        <f t="shared" si="177"/>
        <v>High</v>
      </c>
      <c r="O2866" t="str">
        <f t="shared" si="178"/>
        <v>High Balance</v>
      </c>
      <c r="P2866" t="str">
        <f t="shared" si="179"/>
        <v>Long-term</v>
      </c>
    </row>
    <row r="2867" spans="1:16" x14ac:dyDescent="0.25">
      <c r="A2867">
        <v>2025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  <c r="M2867" t="str">
        <f t="shared" si="176"/>
        <v>&lt;30</v>
      </c>
      <c r="N2867" t="str">
        <f t="shared" si="177"/>
        <v>High</v>
      </c>
      <c r="O2867" t="str">
        <f t="shared" si="178"/>
        <v>Low Balance</v>
      </c>
      <c r="P2867" t="str">
        <f t="shared" si="179"/>
        <v>Mid-term</v>
      </c>
    </row>
    <row r="2868" spans="1:16" x14ac:dyDescent="0.25">
      <c r="A2868">
        <v>2025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  <c r="M2868" t="str">
        <f t="shared" si="176"/>
        <v>&lt;30</v>
      </c>
      <c r="N2868" t="str">
        <f t="shared" si="177"/>
        <v>High</v>
      </c>
      <c r="O2868" t="str">
        <f t="shared" si="178"/>
        <v>High Balance</v>
      </c>
      <c r="P2868" t="str">
        <f t="shared" si="179"/>
        <v>Long-term</v>
      </c>
    </row>
    <row r="2869" spans="1:16" x14ac:dyDescent="0.25">
      <c r="A2869">
        <v>2025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  <c r="M2869" t="str">
        <f t="shared" si="176"/>
        <v>&lt;30</v>
      </c>
      <c r="N2869" t="str">
        <f t="shared" si="177"/>
        <v>Medium</v>
      </c>
      <c r="O2869" t="str">
        <f t="shared" si="178"/>
        <v>Zero Balance</v>
      </c>
      <c r="P2869" t="str">
        <f t="shared" si="179"/>
        <v>New</v>
      </c>
    </row>
    <row r="2870" spans="1:16" x14ac:dyDescent="0.25">
      <c r="A2870">
        <v>2025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  <c r="M2870" t="str">
        <f t="shared" si="176"/>
        <v>30-45</v>
      </c>
      <c r="N2870" t="str">
        <f t="shared" si="177"/>
        <v>Medium</v>
      </c>
      <c r="O2870" t="str">
        <f t="shared" si="178"/>
        <v>Low Balance</v>
      </c>
      <c r="P2870" t="str">
        <f t="shared" si="179"/>
        <v>Long-term</v>
      </c>
    </row>
    <row r="2871" spans="1:16" x14ac:dyDescent="0.25">
      <c r="A2871">
        <v>2025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  <c r="M2871" t="str">
        <f t="shared" si="176"/>
        <v>&lt;30</v>
      </c>
      <c r="N2871" t="str">
        <f t="shared" si="177"/>
        <v>Medium</v>
      </c>
      <c r="O2871" t="str">
        <f t="shared" si="178"/>
        <v>Zero Balance</v>
      </c>
      <c r="P2871" t="str">
        <f t="shared" si="179"/>
        <v>Long-term</v>
      </c>
    </row>
    <row r="2872" spans="1:16" x14ac:dyDescent="0.25">
      <c r="A2872">
        <v>2025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  <c r="M2872" t="str">
        <f t="shared" si="176"/>
        <v>46-60</v>
      </c>
      <c r="N2872" t="str">
        <f t="shared" si="177"/>
        <v>High</v>
      </c>
      <c r="O2872" t="str">
        <f t="shared" si="178"/>
        <v>Zero Balance</v>
      </c>
      <c r="P2872" t="str">
        <f t="shared" si="179"/>
        <v>New</v>
      </c>
    </row>
    <row r="2873" spans="1:16" x14ac:dyDescent="0.25">
      <c r="A2873">
        <v>2025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  <c r="M2873" t="str">
        <f t="shared" si="176"/>
        <v>30-45</v>
      </c>
      <c r="N2873" t="str">
        <f t="shared" si="177"/>
        <v>Medium</v>
      </c>
      <c r="O2873" t="str">
        <f t="shared" si="178"/>
        <v>Low Balance</v>
      </c>
      <c r="P2873" t="str">
        <f t="shared" si="179"/>
        <v>New</v>
      </c>
    </row>
    <row r="2874" spans="1:16" x14ac:dyDescent="0.25">
      <c r="A2874">
        <v>2025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  <c r="M2874" t="str">
        <f t="shared" si="176"/>
        <v>46-60</v>
      </c>
      <c r="N2874" t="str">
        <f t="shared" si="177"/>
        <v>Low</v>
      </c>
      <c r="O2874" t="str">
        <f t="shared" si="178"/>
        <v>Low Balance</v>
      </c>
      <c r="P2874" t="str">
        <f t="shared" si="179"/>
        <v>New</v>
      </c>
    </row>
    <row r="2875" spans="1:16" x14ac:dyDescent="0.25">
      <c r="A2875">
        <v>2025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  <c r="M2875" t="str">
        <f t="shared" si="176"/>
        <v>30-45</v>
      </c>
      <c r="N2875" t="str">
        <f t="shared" si="177"/>
        <v>Medium</v>
      </c>
      <c r="O2875" t="str">
        <f t="shared" si="178"/>
        <v>High Balance</v>
      </c>
      <c r="P2875" t="str">
        <f t="shared" si="179"/>
        <v>New</v>
      </c>
    </row>
    <row r="2876" spans="1:16" x14ac:dyDescent="0.25">
      <c r="A2876">
        <v>2025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  <c r="M2876" t="str">
        <f t="shared" si="176"/>
        <v>30-45</v>
      </c>
      <c r="N2876" t="str">
        <f t="shared" si="177"/>
        <v>High</v>
      </c>
      <c r="O2876" t="str">
        <f t="shared" si="178"/>
        <v>Low Balance</v>
      </c>
      <c r="P2876" t="str">
        <f t="shared" si="179"/>
        <v>Long-term</v>
      </c>
    </row>
    <row r="2877" spans="1:16" x14ac:dyDescent="0.25">
      <c r="A2877">
        <v>2025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  <c r="M2877" t="str">
        <f t="shared" si="176"/>
        <v>30-45</v>
      </c>
      <c r="N2877" t="str">
        <f t="shared" si="177"/>
        <v>Medium</v>
      </c>
      <c r="O2877" t="str">
        <f t="shared" si="178"/>
        <v>High Balance</v>
      </c>
      <c r="P2877" t="str">
        <f t="shared" si="179"/>
        <v>Mid-term</v>
      </c>
    </row>
    <row r="2878" spans="1:16" x14ac:dyDescent="0.25">
      <c r="A2878">
        <v>2025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  <c r="M2878" t="str">
        <f t="shared" si="176"/>
        <v>30-45</v>
      </c>
      <c r="N2878" t="str">
        <f t="shared" si="177"/>
        <v>Medium</v>
      </c>
      <c r="O2878" t="str">
        <f t="shared" si="178"/>
        <v>High Balance</v>
      </c>
      <c r="P2878" t="str">
        <f t="shared" si="179"/>
        <v>Mid-term</v>
      </c>
    </row>
    <row r="2879" spans="1:16" x14ac:dyDescent="0.25">
      <c r="A2879">
        <v>2025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  <c r="M2879" t="str">
        <f t="shared" si="176"/>
        <v>60+</v>
      </c>
      <c r="N2879" t="str">
        <f t="shared" si="177"/>
        <v>Medium</v>
      </c>
      <c r="O2879" t="str">
        <f t="shared" si="178"/>
        <v>High Balance</v>
      </c>
      <c r="P2879" t="str">
        <f t="shared" si="179"/>
        <v>Mid-term</v>
      </c>
    </row>
    <row r="2880" spans="1:16" x14ac:dyDescent="0.25">
      <c r="A2880">
        <v>2025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  <c r="M2880" t="str">
        <f t="shared" si="176"/>
        <v>30-45</v>
      </c>
      <c r="N2880" t="str">
        <f t="shared" si="177"/>
        <v>Low</v>
      </c>
      <c r="O2880" t="str">
        <f t="shared" si="178"/>
        <v>High Balance</v>
      </c>
      <c r="P2880" t="str">
        <f t="shared" si="179"/>
        <v>New</v>
      </c>
    </row>
    <row r="2881" spans="1:16" x14ac:dyDescent="0.25">
      <c r="A2881">
        <v>2025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  <c r="M2881" t="str">
        <f t="shared" si="176"/>
        <v>46-60</v>
      </c>
      <c r="N2881" t="str">
        <f t="shared" si="177"/>
        <v>High</v>
      </c>
      <c r="O2881" t="str">
        <f t="shared" si="178"/>
        <v>High Balance</v>
      </c>
      <c r="P2881" t="str">
        <f t="shared" si="179"/>
        <v>Mid-term</v>
      </c>
    </row>
    <row r="2882" spans="1:16" x14ac:dyDescent="0.25">
      <c r="A2882">
        <v>2025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  <c r="M2882" t="str">
        <f t="shared" si="176"/>
        <v>30-45</v>
      </c>
      <c r="N2882" t="str">
        <f t="shared" si="177"/>
        <v>Medium</v>
      </c>
      <c r="O2882" t="str">
        <f t="shared" si="178"/>
        <v>Low Balance</v>
      </c>
      <c r="P2882" t="str">
        <f t="shared" si="179"/>
        <v>Long-term</v>
      </c>
    </row>
    <row r="2883" spans="1:16" x14ac:dyDescent="0.25">
      <c r="A2883">
        <v>2025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  <c r="M2883" t="str">
        <f t="shared" ref="M2883:M2946" si="180">IF(E2883&lt;30,"&lt;30",IF(E2883&lt;=45,"30-45",IF(E2883&lt;=60,"46-60","60+")))</f>
        <v>30-45</v>
      </c>
      <c r="N2883" t="str">
        <f t="shared" ref="N2883:N2946" si="181">IF(B2883&lt;500,"Low",IF(B2883&lt;700,"Medium","High"))</f>
        <v>High</v>
      </c>
      <c r="O2883" t="str">
        <f t="shared" ref="O2883:O2946" si="182">IF(G2883=0,"Zero Balance",IF(G2883&lt;100000,"Low Balance","High Balance"))</f>
        <v>High Balance</v>
      </c>
      <c r="P2883" t="str">
        <f t="shared" ref="P2883:P2946" si="183">IF(F2883&lt;=3,"New",IF(F2883&lt;=7,"Mid-term","Long-term"))</f>
        <v>New</v>
      </c>
    </row>
    <row r="2884" spans="1:16" x14ac:dyDescent="0.25">
      <c r="A2884">
        <v>2025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  <c r="M2884" t="str">
        <f t="shared" si="180"/>
        <v>30-45</v>
      </c>
      <c r="N2884" t="str">
        <f t="shared" si="181"/>
        <v>Medium</v>
      </c>
      <c r="O2884" t="str">
        <f t="shared" si="182"/>
        <v>Zero Balance</v>
      </c>
      <c r="P2884" t="str">
        <f t="shared" si="183"/>
        <v>New</v>
      </c>
    </row>
    <row r="2885" spans="1:16" x14ac:dyDescent="0.25">
      <c r="A2885">
        <v>2025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  <c r="M2885" t="str">
        <f t="shared" si="180"/>
        <v>30-45</v>
      </c>
      <c r="N2885" t="str">
        <f t="shared" si="181"/>
        <v>Medium</v>
      </c>
      <c r="O2885" t="str">
        <f t="shared" si="182"/>
        <v>Low Balance</v>
      </c>
      <c r="P2885" t="str">
        <f t="shared" si="183"/>
        <v>Long-term</v>
      </c>
    </row>
    <row r="2886" spans="1:16" x14ac:dyDescent="0.25">
      <c r="A2886">
        <v>2025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  <c r="M2886" t="str">
        <f t="shared" si="180"/>
        <v>&lt;30</v>
      </c>
      <c r="N2886" t="str">
        <f t="shared" si="181"/>
        <v>Medium</v>
      </c>
      <c r="O2886" t="str">
        <f t="shared" si="182"/>
        <v>Zero Balance</v>
      </c>
      <c r="P2886" t="str">
        <f t="shared" si="183"/>
        <v>New</v>
      </c>
    </row>
    <row r="2887" spans="1:16" x14ac:dyDescent="0.25">
      <c r="A2887">
        <v>2025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  <c r="M2887" t="str">
        <f t="shared" si="180"/>
        <v>30-45</v>
      </c>
      <c r="N2887" t="str">
        <f t="shared" si="181"/>
        <v>Medium</v>
      </c>
      <c r="O2887" t="str">
        <f t="shared" si="182"/>
        <v>Zero Balance</v>
      </c>
      <c r="P2887" t="str">
        <f t="shared" si="183"/>
        <v>Mid-term</v>
      </c>
    </row>
    <row r="2888" spans="1:16" x14ac:dyDescent="0.25">
      <c r="A2888">
        <v>2025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  <c r="M2888" t="str">
        <f t="shared" si="180"/>
        <v>30-45</v>
      </c>
      <c r="N2888" t="str">
        <f t="shared" si="181"/>
        <v>Low</v>
      </c>
      <c r="O2888" t="str">
        <f t="shared" si="182"/>
        <v>Zero Balance</v>
      </c>
      <c r="P2888" t="str">
        <f t="shared" si="183"/>
        <v>Mid-term</v>
      </c>
    </row>
    <row r="2889" spans="1:16" x14ac:dyDescent="0.25">
      <c r="A2889">
        <v>2025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  <c r="M2889" t="str">
        <f t="shared" si="180"/>
        <v>&lt;30</v>
      </c>
      <c r="N2889" t="str">
        <f t="shared" si="181"/>
        <v>High</v>
      </c>
      <c r="O2889" t="str">
        <f t="shared" si="182"/>
        <v>Low Balance</v>
      </c>
      <c r="P2889" t="str">
        <f t="shared" si="183"/>
        <v>New</v>
      </c>
    </row>
    <row r="2890" spans="1:16" x14ac:dyDescent="0.25">
      <c r="A2890">
        <v>2025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  <c r="M2890" t="str">
        <f t="shared" si="180"/>
        <v>30-45</v>
      </c>
      <c r="N2890" t="str">
        <f t="shared" si="181"/>
        <v>High</v>
      </c>
      <c r="O2890" t="str">
        <f t="shared" si="182"/>
        <v>High Balance</v>
      </c>
      <c r="P2890" t="str">
        <f t="shared" si="183"/>
        <v>New</v>
      </c>
    </row>
    <row r="2891" spans="1:16" x14ac:dyDescent="0.25">
      <c r="A2891">
        <v>2025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  <c r="M2891" t="str">
        <f t="shared" si="180"/>
        <v>30-45</v>
      </c>
      <c r="N2891" t="str">
        <f t="shared" si="181"/>
        <v>Medium</v>
      </c>
      <c r="O2891" t="str">
        <f t="shared" si="182"/>
        <v>Zero Balance</v>
      </c>
      <c r="P2891" t="str">
        <f t="shared" si="183"/>
        <v>Long-term</v>
      </c>
    </row>
    <row r="2892" spans="1:16" x14ac:dyDescent="0.25">
      <c r="A2892">
        <v>2025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  <c r="M2892" t="str">
        <f t="shared" si="180"/>
        <v>30-45</v>
      </c>
      <c r="N2892" t="str">
        <f t="shared" si="181"/>
        <v>Medium</v>
      </c>
      <c r="O2892" t="str">
        <f t="shared" si="182"/>
        <v>High Balance</v>
      </c>
      <c r="P2892" t="str">
        <f t="shared" si="183"/>
        <v>Mid-term</v>
      </c>
    </row>
    <row r="2893" spans="1:16" x14ac:dyDescent="0.25">
      <c r="A2893">
        <v>2025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  <c r="M2893" t="str">
        <f t="shared" si="180"/>
        <v>30-45</v>
      </c>
      <c r="N2893" t="str">
        <f t="shared" si="181"/>
        <v>Medium</v>
      </c>
      <c r="O2893" t="str">
        <f t="shared" si="182"/>
        <v>High Balance</v>
      </c>
      <c r="P2893" t="str">
        <f t="shared" si="183"/>
        <v>Mid-term</v>
      </c>
    </row>
    <row r="2894" spans="1:16" x14ac:dyDescent="0.25">
      <c r="A2894">
        <v>2025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  <c r="M2894" t="str">
        <f t="shared" si="180"/>
        <v>30-45</v>
      </c>
      <c r="N2894" t="str">
        <f t="shared" si="181"/>
        <v>Medium</v>
      </c>
      <c r="O2894" t="str">
        <f t="shared" si="182"/>
        <v>Zero Balance</v>
      </c>
      <c r="P2894" t="str">
        <f t="shared" si="183"/>
        <v>New</v>
      </c>
    </row>
    <row r="2895" spans="1:16" x14ac:dyDescent="0.25">
      <c r="A2895">
        <v>2025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  <c r="M2895" t="str">
        <f t="shared" si="180"/>
        <v>46-60</v>
      </c>
      <c r="N2895" t="str">
        <f t="shared" si="181"/>
        <v>Medium</v>
      </c>
      <c r="O2895" t="str">
        <f t="shared" si="182"/>
        <v>Zero Balance</v>
      </c>
      <c r="P2895" t="str">
        <f t="shared" si="183"/>
        <v>Long-term</v>
      </c>
    </row>
    <row r="2896" spans="1:16" x14ac:dyDescent="0.25">
      <c r="A2896">
        <v>2025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  <c r="M2896" t="str">
        <f t="shared" si="180"/>
        <v>30-45</v>
      </c>
      <c r="N2896" t="str">
        <f t="shared" si="181"/>
        <v>Medium</v>
      </c>
      <c r="O2896" t="str">
        <f t="shared" si="182"/>
        <v>Zero Balance</v>
      </c>
      <c r="P2896" t="str">
        <f t="shared" si="183"/>
        <v>New</v>
      </c>
    </row>
    <row r="2897" spans="1:16" x14ac:dyDescent="0.25">
      <c r="A2897">
        <v>2025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  <c r="M2897" t="str">
        <f t="shared" si="180"/>
        <v>46-60</v>
      </c>
      <c r="N2897" t="str">
        <f t="shared" si="181"/>
        <v>Medium</v>
      </c>
      <c r="O2897" t="str">
        <f t="shared" si="182"/>
        <v>High Balance</v>
      </c>
      <c r="P2897" t="str">
        <f t="shared" si="183"/>
        <v>Mid-term</v>
      </c>
    </row>
    <row r="2898" spans="1:16" x14ac:dyDescent="0.25">
      <c r="A2898">
        <v>2025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  <c r="M2898" t="str">
        <f t="shared" si="180"/>
        <v>30-45</v>
      </c>
      <c r="N2898" t="str">
        <f t="shared" si="181"/>
        <v>High</v>
      </c>
      <c r="O2898" t="str">
        <f t="shared" si="182"/>
        <v>Low Balance</v>
      </c>
      <c r="P2898" t="str">
        <f t="shared" si="183"/>
        <v>New</v>
      </c>
    </row>
    <row r="2899" spans="1:16" x14ac:dyDescent="0.25">
      <c r="A2899">
        <v>2025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  <c r="M2899" t="str">
        <f t="shared" si="180"/>
        <v>&lt;30</v>
      </c>
      <c r="N2899" t="str">
        <f t="shared" si="181"/>
        <v>Medium</v>
      </c>
      <c r="O2899" t="str">
        <f t="shared" si="182"/>
        <v>High Balance</v>
      </c>
      <c r="P2899" t="str">
        <f t="shared" si="183"/>
        <v>Long-term</v>
      </c>
    </row>
    <row r="2900" spans="1:16" x14ac:dyDescent="0.25">
      <c r="A2900">
        <v>2025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  <c r="M2900" t="str">
        <f t="shared" si="180"/>
        <v>46-60</v>
      </c>
      <c r="N2900" t="str">
        <f t="shared" si="181"/>
        <v>Medium</v>
      </c>
      <c r="O2900" t="str">
        <f t="shared" si="182"/>
        <v>High Balance</v>
      </c>
      <c r="P2900" t="str">
        <f t="shared" si="183"/>
        <v>Mid-term</v>
      </c>
    </row>
    <row r="2901" spans="1:16" x14ac:dyDescent="0.25">
      <c r="A2901">
        <v>2025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  <c r="M2901" t="str">
        <f t="shared" si="180"/>
        <v>30-45</v>
      </c>
      <c r="N2901" t="str">
        <f t="shared" si="181"/>
        <v>Medium</v>
      </c>
      <c r="O2901" t="str">
        <f t="shared" si="182"/>
        <v>Zero Balance</v>
      </c>
      <c r="P2901" t="str">
        <f t="shared" si="183"/>
        <v>Mid-term</v>
      </c>
    </row>
    <row r="2902" spans="1:16" x14ac:dyDescent="0.25">
      <c r="A2902">
        <v>2025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  <c r="M2902" t="str">
        <f t="shared" si="180"/>
        <v>&lt;30</v>
      </c>
      <c r="N2902" t="str">
        <f t="shared" si="181"/>
        <v>Medium</v>
      </c>
      <c r="O2902" t="str">
        <f t="shared" si="182"/>
        <v>High Balance</v>
      </c>
      <c r="P2902" t="str">
        <f t="shared" si="183"/>
        <v>Long-term</v>
      </c>
    </row>
    <row r="2903" spans="1:16" x14ac:dyDescent="0.25">
      <c r="A2903">
        <v>2025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  <c r="M2903" t="str">
        <f t="shared" si="180"/>
        <v>60+</v>
      </c>
      <c r="N2903" t="str">
        <f t="shared" si="181"/>
        <v>Low</v>
      </c>
      <c r="O2903" t="str">
        <f t="shared" si="182"/>
        <v>High Balance</v>
      </c>
      <c r="P2903" t="str">
        <f t="shared" si="183"/>
        <v>New</v>
      </c>
    </row>
    <row r="2904" spans="1:16" x14ac:dyDescent="0.25">
      <c r="A2904">
        <v>2025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  <c r="M2904" t="str">
        <f t="shared" si="180"/>
        <v>30-45</v>
      </c>
      <c r="N2904" t="str">
        <f t="shared" si="181"/>
        <v>Medium</v>
      </c>
      <c r="O2904" t="str">
        <f t="shared" si="182"/>
        <v>High Balance</v>
      </c>
      <c r="P2904" t="str">
        <f t="shared" si="183"/>
        <v>New</v>
      </c>
    </row>
    <row r="2905" spans="1:16" x14ac:dyDescent="0.25">
      <c r="A2905">
        <v>2025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  <c r="M2905" t="str">
        <f t="shared" si="180"/>
        <v>46-60</v>
      </c>
      <c r="N2905" t="str">
        <f t="shared" si="181"/>
        <v>Medium</v>
      </c>
      <c r="O2905" t="str">
        <f t="shared" si="182"/>
        <v>Zero Balance</v>
      </c>
      <c r="P2905" t="str">
        <f t="shared" si="183"/>
        <v>Mid-term</v>
      </c>
    </row>
    <row r="2906" spans="1:16" x14ac:dyDescent="0.25">
      <c r="A2906">
        <v>2025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  <c r="M2906" t="str">
        <f t="shared" si="180"/>
        <v>30-45</v>
      </c>
      <c r="N2906" t="str">
        <f t="shared" si="181"/>
        <v>High</v>
      </c>
      <c r="O2906" t="str">
        <f t="shared" si="182"/>
        <v>Zero Balance</v>
      </c>
      <c r="P2906" t="str">
        <f t="shared" si="183"/>
        <v>New</v>
      </c>
    </row>
    <row r="2907" spans="1:16" x14ac:dyDescent="0.25">
      <c r="A2907">
        <v>2025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  <c r="M2907" t="str">
        <f t="shared" si="180"/>
        <v>30-45</v>
      </c>
      <c r="N2907" t="str">
        <f t="shared" si="181"/>
        <v>Medium</v>
      </c>
      <c r="O2907" t="str">
        <f t="shared" si="182"/>
        <v>High Balance</v>
      </c>
      <c r="P2907" t="str">
        <f t="shared" si="183"/>
        <v>Mid-term</v>
      </c>
    </row>
    <row r="2908" spans="1:16" x14ac:dyDescent="0.25">
      <c r="A2908">
        <v>2025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  <c r="M2908" t="str">
        <f t="shared" si="180"/>
        <v>30-45</v>
      </c>
      <c r="N2908" t="str">
        <f t="shared" si="181"/>
        <v>High</v>
      </c>
      <c r="O2908" t="str">
        <f t="shared" si="182"/>
        <v>Zero Balance</v>
      </c>
      <c r="P2908" t="str">
        <f t="shared" si="183"/>
        <v>Mid-term</v>
      </c>
    </row>
    <row r="2909" spans="1:16" x14ac:dyDescent="0.25">
      <c r="A2909">
        <v>2025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  <c r="M2909" t="str">
        <f t="shared" si="180"/>
        <v>&lt;30</v>
      </c>
      <c r="N2909" t="str">
        <f t="shared" si="181"/>
        <v>Medium</v>
      </c>
      <c r="O2909" t="str">
        <f t="shared" si="182"/>
        <v>High Balance</v>
      </c>
      <c r="P2909" t="str">
        <f t="shared" si="183"/>
        <v>New</v>
      </c>
    </row>
    <row r="2910" spans="1:16" x14ac:dyDescent="0.25">
      <c r="A2910">
        <v>2025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  <c r="M2910" t="str">
        <f t="shared" si="180"/>
        <v>60+</v>
      </c>
      <c r="N2910" t="str">
        <f t="shared" si="181"/>
        <v>Low</v>
      </c>
      <c r="O2910" t="str">
        <f t="shared" si="182"/>
        <v>Low Balance</v>
      </c>
      <c r="P2910" t="str">
        <f t="shared" si="183"/>
        <v>Long-term</v>
      </c>
    </row>
    <row r="2911" spans="1:16" x14ac:dyDescent="0.25">
      <c r="A2911">
        <v>2025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  <c r="M2911" t="str">
        <f t="shared" si="180"/>
        <v>30-45</v>
      </c>
      <c r="N2911" t="str">
        <f t="shared" si="181"/>
        <v>Medium</v>
      </c>
      <c r="O2911" t="str">
        <f t="shared" si="182"/>
        <v>Low Balance</v>
      </c>
      <c r="P2911" t="str">
        <f t="shared" si="183"/>
        <v>Mid-term</v>
      </c>
    </row>
    <row r="2912" spans="1:16" x14ac:dyDescent="0.25">
      <c r="A2912">
        <v>2025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  <c r="M2912" t="str">
        <f t="shared" si="180"/>
        <v>30-45</v>
      </c>
      <c r="N2912" t="str">
        <f t="shared" si="181"/>
        <v>Medium</v>
      </c>
      <c r="O2912" t="str">
        <f t="shared" si="182"/>
        <v>High Balance</v>
      </c>
      <c r="P2912" t="str">
        <f t="shared" si="183"/>
        <v>New</v>
      </c>
    </row>
    <row r="2913" spans="1:16" x14ac:dyDescent="0.25">
      <c r="A2913">
        <v>2025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  <c r="M2913" t="str">
        <f t="shared" si="180"/>
        <v>46-60</v>
      </c>
      <c r="N2913" t="str">
        <f t="shared" si="181"/>
        <v>Medium</v>
      </c>
      <c r="O2913" t="str">
        <f t="shared" si="182"/>
        <v>Low Balance</v>
      </c>
      <c r="P2913" t="str">
        <f t="shared" si="183"/>
        <v>Long-term</v>
      </c>
    </row>
    <row r="2914" spans="1:16" x14ac:dyDescent="0.25">
      <c r="A2914">
        <v>2025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  <c r="M2914" t="str">
        <f t="shared" si="180"/>
        <v>30-45</v>
      </c>
      <c r="N2914" t="str">
        <f t="shared" si="181"/>
        <v>Medium</v>
      </c>
      <c r="O2914" t="str">
        <f t="shared" si="182"/>
        <v>High Balance</v>
      </c>
      <c r="P2914" t="str">
        <f t="shared" si="183"/>
        <v>New</v>
      </c>
    </row>
    <row r="2915" spans="1:16" x14ac:dyDescent="0.25">
      <c r="A2915">
        <v>2025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  <c r="M2915" t="str">
        <f t="shared" si="180"/>
        <v>30-45</v>
      </c>
      <c r="N2915" t="str">
        <f t="shared" si="181"/>
        <v>High</v>
      </c>
      <c r="O2915" t="str">
        <f t="shared" si="182"/>
        <v>Zero Balance</v>
      </c>
      <c r="P2915" t="str">
        <f t="shared" si="183"/>
        <v>Mid-term</v>
      </c>
    </row>
    <row r="2916" spans="1:16" x14ac:dyDescent="0.25">
      <c r="A2916">
        <v>2025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  <c r="M2916" t="str">
        <f t="shared" si="180"/>
        <v>&lt;30</v>
      </c>
      <c r="N2916" t="str">
        <f t="shared" si="181"/>
        <v>Medium</v>
      </c>
      <c r="O2916" t="str">
        <f t="shared" si="182"/>
        <v>Zero Balance</v>
      </c>
      <c r="P2916" t="str">
        <f t="shared" si="183"/>
        <v>Mid-term</v>
      </c>
    </row>
    <row r="2917" spans="1:16" x14ac:dyDescent="0.25">
      <c r="A2917">
        <v>2025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  <c r="M2917" t="str">
        <f t="shared" si="180"/>
        <v>46-60</v>
      </c>
      <c r="N2917" t="str">
        <f t="shared" si="181"/>
        <v>Low</v>
      </c>
      <c r="O2917" t="str">
        <f t="shared" si="182"/>
        <v>High Balance</v>
      </c>
      <c r="P2917" t="str">
        <f t="shared" si="183"/>
        <v>New</v>
      </c>
    </row>
    <row r="2918" spans="1:16" x14ac:dyDescent="0.25">
      <c r="A2918">
        <v>2025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  <c r="M2918" t="str">
        <f t="shared" si="180"/>
        <v>46-60</v>
      </c>
      <c r="N2918" t="str">
        <f t="shared" si="181"/>
        <v>Medium</v>
      </c>
      <c r="O2918" t="str">
        <f t="shared" si="182"/>
        <v>Zero Balance</v>
      </c>
      <c r="P2918" t="str">
        <f t="shared" si="183"/>
        <v>New</v>
      </c>
    </row>
    <row r="2919" spans="1:16" x14ac:dyDescent="0.25">
      <c r="A2919">
        <v>2025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  <c r="M2919" t="str">
        <f t="shared" si="180"/>
        <v>46-60</v>
      </c>
      <c r="N2919" t="str">
        <f t="shared" si="181"/>
        <v>Medium</v>
      </c>
      <c r="O2919" t="str">
        <f t="shared" si="182"/>
        <v>High Balance</v>
      </c>
      <c r="P2919" t="str">
        <f t="shared" si="183"/>
        <v>Mid-term</v>
      </c>
    </row>
    <row r="2920" spans="1:16" x14ac:dyDescent="0.25">
      <c r="A2920">
        <v>2025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  <c r="M2920" t="str">
        <f t="shared" si="180"/>
        <v>30-45</v>
      </c>
      <c r="N2920" t="str">
        <f t="shared" si="181"/>
        <v>Medium</v>
      </c>
      <c r="O2920" t="str">
        <f t="shared" si="182"/>
        <v>High Balance</v>
      </c>
      <c r="P2920" t="str">
        <f t="shared" si="183"/>
        <v>Mid-term</v>
      </c>
    </row>
    <row r="2921" spans="1:16" x14ac:dyDescent="0.25">
      <c r="A2921">
        <v>2025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  <c r="M2921" t="str">
        <f t="shared" si="180"/>
        <v>30-45</v>
      </c>
      <c r="N2921" t="str">
        <f t="shared" si="181"/>
        <v>Medium</v>
      </c>
      <c r="O2921" t="str">
        <f t="shared" si="182"/>
        <v>Zero Balance</v>
      </c>
      <c r="P2921" t="str">
        <f t="shared" si="183"/>
        <v>Long-term</v>
      </c>
    </row>
    <row r="2922" spans="1:16" x14ac:dyDescent="0.25">
      <c r="A2922">
        <v>2025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  <c r="M2922" t="str">
        <f t="shared" si="180"/>
        <v>30-45</v>
      </c>
      <c r="N2922" t="str">
        <f t="shared" si="181"/>
        <v>Medium</v>
      </c>
      <c r="O2922" t="str">
        <f t="shared" si="182"/>
        <v>Zero Balance</v>
      </c>
      <c r="P2922" t="str">
        <f t="shared" si="183"/>
        <v>Mid-term</v>
      </c>
    </row>
    <row r="2923" spans="1:16" x14ac:dyDescent="0.25">
      <c r="A2923">
        <v>2025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  <c r="M2923" t="str">
        <f t="shared" si="180"/>
        <v>46-60</v>
      </c>
      <c r="N2923" t="str">
        <f t="shared" si="181"/>
        <v>Medium</v>
      </c>
      <c r="O2923" t="str">
        <f t="shared" si="182"/>
        <v>High Balance</v>
      </c>
      <c r="P2923" t="str">
        <f t="shared" si="183"/>
        <v>Long-term</v>
      </c>
    </row>
    <row r="2924" spans="1:16" x14ac:dyDescent="0.25">
      <c r="A2924">
        <v>2025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  <c r="M2924" t="str">
        <f t="shared" si="180"/>
        <v>30-45</v>
      </c>
      <c r="N2924" t="str">
        <f t="shared" si="181"/>
        <v>Medium</v>
      </c>
      <c r="O2924" t="str">
        <f t="shared" si="182"/>
        <v>Low Balance</v>
      </c>
      <c r="P2924" t="str">
        <f t="shared" si="183"/>
        <v>Mid-term</v>
      </c>
    </row>
    <row r="2925" spans="1:16" x14ac:dyDescent="0.25">
      <c r="A2925">
        <v>2025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  <c r="M2925" t="str">
        <f t="shared" si="180"/>
        <v>30-45</v>
      </c>
      <c r="N2925" t="str">
        <f t="shared" si="181"/>
        <v>High</v>
      </c>
      <c r="O2925" t="str">
        <f t="shared" si="182"/>
        <v>Low Balance</v>
      </c>
      <c r="P2925" t="str">
        <f t="shared" si="183"/>
        <v>Mid-term</v>
      </c>
    </row>
    <row r="2926" spans="1:16" x14ac:dyDescent="0.25">
      <c r="A2926">
        <v>2025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  <c r="M2926" t="str">
        <f t="shared" si="180"/>
        <v>&lt;30</v>
      </c>
      <c r="N2926" t="str">
        <f t="shared" si="181"/>
        <v>Low</v>
      </c>
      <c r="O2926" t="str">
        <f t="shared" si="182"/>
        <v>High Balance</v>
      </c>
      <c r="P2926" t="str">
        <f t="shared" si="183"/>
        <v>Mid-term</v>
      </c>
    </row>
    <row r="2927" spans="1:16" x14ac:dyDescent="0.25">
      <c r="A2927">
        <v>2025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  <c r="M2927" t="str">
        <f t="shared" si="180"/>
        <v>60+</v>
      </c>
      <c r="N2927" t="str">
        <f t="shared" si="181"/>
        <v>High</v>
      </c>
      <c r="O2927" t="str">
        <f t="shared" si="182"/>
        <v>High Balance</v>
      </c>
      <c r="P2927" t="str">
        <f t="shared" si="183"/>
        <v>Long-term</v>
      </c>
    </row>
    <row r="2928" spans="1:16" x14ac:dyDescent="0.25">
      <c r="A2928">
        <v>2025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  <c r="M2928" t="str">
        <f t="shared" si="180"/>
        <v>60+</v>
      </c>
      <c r="N2928" t="str">
        <f t="shared" si="181"/>
        <v>Medium</v>
      </c>
      <c r="O2928" t="str">
        <f t="shared" si="182"/>
        <v>Zero Balance</v>
      </c>
      <c r="P2928" t="str">
        <f t="shared" si="183"/>
        <v>Long-term</v>
      </c>
    </row>
    <row r="2929" spans="1:16" x14ac:dyDescent="0.25">
      <c r="A2929">
        <v>2025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  <c r="M2929" t="str">
        <f t="shared" si="180"/>
        <v>30-45</v>
      </c>
      <c r="N2929" t="str">
        <f t="shared" si="181"/>
        <v>Medium</v>
      </c>
      <c r="O2929" t="str">
        <f t="shared" si="182"/>
        <v>High Balance</v>
      </c>
      <c r="P2929" t="str">
        <f t="shared" si="183"/>
        <v>Mid-term</v>
      </c>
    </row>
    <row r="2930" spans="1:16" x14ac:dyDescent="0.25">
      <c r="A2930">
        <v>2025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  <c r="M2930" t="str">
        <f t="shared" si="180"/>
        <v>30-45</v>
      </c>
      <c r="N2930" t="str">
        <f t="shared" si="181"/>
        <v>Medium</v>
      </c>
      <c r="O2930" t="str">
        <f t="shared" si="182"/>
        <v>High Balance</v>
      </c>
      <c r="P2930" t="str">
        <f t="shared" si="183"/>
        <v>New</v>
      </c>
    </row>
    <row r="2931" spans="1:16" x14ac:dyDescent="0.25">
      <c r="A2931">
        <v>2025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  <c r="M2931" t="str">
        <f t="shared" si="180"/>
        <v>30-45</v>
      </c>
      <c r="N2931" t="str">
        <f t="shared" si="181"/>
        <v>High</v>
      </c>
      <c r="O2931" t="str">
        <f t="shared" si="182"/>
        <v>Low Balance</v>
      </c>
      <c r="P2931" t="str">
        <f t="shared" si="183"/>
        <v>Mid-term</v>
      </c>
    </row>
    <row r="2932" spans="1:16" x14ac:dyDescent="0.25">
      <c r="A2932">
        <v>2025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  <c r="M2932" t="str">
        <f t="shared" si="180"/>
        <v>30-45</v>
      </c>
      <c r="N2932" t="str">
        <f t="shared" si="181"/>
        <v>Medium</v>
      </c>
      <c r="O2932" t="str">
        <f t="shared" si="182"/>
        <v>High Balance</v>
      </c>
      <c r="P2932" t="str">
        <f t="shared" si="183"/>
        <v>Mid-term</v>
      </c>
    </row>
    <row r="2933" spans="1:16" x14ac:dyDescent="0.25">
      <c r="A2933">
        <v>2025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  <c r="M2933" t="str">
        <f t="shared" si="180"/>
        <v>30-45</v>
      </c>
      <c r="N2933" t="str">
        <f t="shared" si="181"/>
        <v>Medium</v>
      </c>
      <c r="O2933" t="str">
        <f t="shared" si="182"/>
        <v>High Balance</v>
      </c>
      <c r="P2933" t="str">
        <f t="shared" si="183"/>
        <v>Mid-term</v>
      </c>
    </row>
    <row r="2934" spans="1:16" x14ac:dyDescent="0.25">
      <c r="A2934">
        <v>2025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  <c r="M2934" t="str">
        <f t="shared" si="180"/>
        <v>46-60</v>
      </c>
      <c r="N2934" t="str">
        <f t="shared" si="181"/>
        <v>Medium</v>
      </c>
      <c r="O2934" t="str">
        <f t="shared" si="182"/>
        <v>Zero Balance</v>
      </c>
      <c r="P2934" t="str">
        <f t="shared" si="183"/>
        <v>Long-term</v>
      </c>
    </row>
    <row r="2935" spans="1:16" x14ac:dyDescent="0.25">
      <c r="A2935">
        <v>2025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  <c r="M2935" t="str">
        <f t="shared" si="180"/>
        <v>46-60</v>
      </c>
      <c r="N2935" t="str">
        <f t="shared" si="181"/>
        <v>Medium</v>
      </c>
      <c r="O2935" t="str">
        <f t="shared" si="182"/>
        <v>Zero Balance</v>
      </c>
      <c r="P2935" t="str">
        <f t="shared" si="183"/>
        <v>Long-term</v>
      </c>
    </row>
    <row r="2936" spans="1:16" x14ac:dyDescent="0.25">
      <c r="A2936">
        <v>2025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  <c r="M2936" t="str">
        <f t="shared" si="180"/>
        <v>30-45</v>
      </c>
      <c r="N2936" t="str">
        <f t="shared" si="181"/>
        <v>Medium</v>
      </c>
      <c r="O2936" t="str">
        <f t="shared" si="182"/>
        <v>Zero Balance</v>
      </c>
      <c r="P2936" t="str">
        <f t="shared" si="183"/>
        <v>Mid-term</v>
      </c>
    </row>
    <row r="2937" spans="1:16" x14ac:dyDescent="0.25">
      <c r="A2937">
        <v>2025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  <c r="M2937" t="str">
        <f t="shared" si="180"/>
        <v>30-45</v>
      </c>
      <c r="N2937" t="str">
        <f t="shared" si="181"/>
        <v>Medium</v>
      </c>
      <c r="O2937" t="str">
        <f t="shared" si="182"/>
        <v>High Balance</v>
      </c>
      <c r="P2937" t="str">
        <f t="shared" si="183"/>
        <v>Long-term</v>
      </c>
    </row>
    <row r="2938" spans="1:16" x14ac:dyDescent="0.25">
      <c r="A2938">
        <v>2025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  <c r="M2938" t="str">
        <f t="shared" si="180"/>
        <v>30-45</v>
      </c>
      <c r="N2938" t="str">
        <f t="shared" si="181"/>
        <v>Medium</v>
      </c>
      <c r="O2938" t="str">
        <f t="shared" si="182"/>
        <v>High Balance</v>
      </c>
      <c r="P2938" t="str">
        <f t="shared" si="183"/>
        <v>Long-term</v>
      </c>
    </row>
    <row r="2939" spans="1:16" x14ac:dyDescent="0.25">
      <c r="A2939">
        <v>2025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  <c r="M2939" t="str">
        <f t="shared" si="180"/>
        <v>&lt;30</v>
      </c>
      <c r="N2939" t="str">
        <f t="shared" si="181"/>
        <v>High</v>
      </c>
      <c r="O2939" t="str">
        <f t="shared" si="182"/>
        <v>Zero Balance</v>
      </c>
      <c r="P2939" t="str">
        <f t="shared" si="183"/>
        <v>Mid-term</v>
      </c>
    </row>
    <row r="2940" spans="1:16" x14ac:dyDescent="0.25">
      <c r="A2940">
        <v>2025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  <c r="M2940" t="str">
        <f t="shared" si="180"/>
        <v>&lt;30</v>
      </c>
      <c r="N2940" t="str">
        <f t="shared" si="181"/>
        <v>High</v>
      </c>
      <c r="O2940" t="str">
        <f t="shared" si="182"/>
        <v>Zero Balance</v>
      </c>
      <c r="P2940" t="str">
        <f t="shared" si="183"/>
        <v>Mid-term</v>
      </c>
    </row>
    <row r="2941" spans="1:16" x14ac:dyDescent="0.25">
      <c r="A2941">
        <v>2025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  <c r="M2941" t="str">
        <f t="shared" si="180"/>
        <v>30-45</v>
      </c>
      <c r="N2941" t="str">
        <f t="shared" si="181"/>
        <v>Medium</v>
      </c>
      <c r="O2941" t="str">
        <f t="shared" si="182"/>
        <v>Zero Balance</v>
      </c>
      <c r="P2941" t="str">
        <f t="shared" si="183"/>
        <v>New</v>
      </c>
    </row>
    <row r="2942" spans="1:16" x14ac:dyDescent="0.25">
      <c r="A2942">
        <v>2025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  <c r="M2942" t="str">
        <f t="shared" si="180"/>
        <v>&lt;30</v>
      </c>
      <c r="N2942" t="str">
        <f t="shared" si="181"/>
        <v>High</v>
      </c>
      <c r="O2942" t="str">
        <f t="shared" si="182"/>
        <v>Zero Balance</v>
      </c>
      <c r="P2942" t="str">
        <f t="shared" si="183"/>
        <v>Mid-term</v>
      </c>
    </row>
    <row r="2943" spans="1:16" x14ac:dyDescent="0.25">
      <c r="A2943">
        <v>2025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  <c r="M2943" t="str">
        <f t="shared" si="180"/>
        <v>&lt;30</v>
      </c>
      <c r="N2943" t="str">
        <f t="shared" si="181"/>
        <v>Medium</v>
      </c>
      <c r="O2943" t="str">
        <f t="shared" si="182"/>
        <v>Zero Balance</v>
      </c>
      <c r="P2943" t="str">
        <f t="shared" si="183"/>
        <v>Long-term</v>
      </c>
    </row>
    <row r="2944" spans="1:16" x14ac:dyDescent="0.25">
      <c r="A2944">
        <v>2025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  <c r="M2944" t="str">
        <f t="shared" si="180"/>
        <v>30-45</v>
      </c>
      <c r="N2944" t="str">
        <f t="shared" si="181"/>
        <v>High</v>
      </c>
      <c r="O2944" t="str">
        <f t="shared" si="182"/>
        <v>High Balance</v>
      </c>
      <c r="P2944" t="str">
        <f t="shared" si="183"/>
        <v>Long-term</v>
      </c>
    </row>
    <row r="2945" spans="1:16" x14ac:dyDescent="0.25">
      <c r="A2945">
        <v>2025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  <c r="M2945" t="str">
        <f t="shared" si="180"/>
        <v>30-45</v>
      </c>
      <c r="N2945" t="str">
        <f t="shared" si="181"/>
        <v>Medium</v>
      </c>
      <c r="O2945" t="str">
        <f t="shared" si="182"/>
        <v>Zero Balance</v>
      </c>
      <c r="P2945" t="str">
        <f t="shared" si="183"/>
        <v>Long-term</v>
      </c>
    </row>
    <row r="2946" spans="1:16" x14ac:dyDescent="0.25">
      <c r="A2946">
        <v>2025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  <c r="M2946" t="str">
        <f t="shared" si="180"/>
        <v>30-45</v>
      </c>
      <c r="N2946" t="str">
        <f t="shared" si="181"/>
        <v>Medium</v>
      </c>
      <c r="O2946" t="str">
        <f t="shared" si="182"/>
        <v>Zero Balance</v>
      </c>
      <c r="P2946" t="str">
        <f t="shared" si="183"/>
        <v>Mid-term</v>
      </c>
    </row>
    <row r="2947" spans="1:16" x14ac:dyDescent="0.25">
      <c r="A2947">
        <v>2025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  <c r="M2947" t="str">
        <f t="shared" ref="M2947:M3010" si="184">IF(E2947&lt;30,"&lt;30",IF(E2947&lt;=45,"30-45",IF(E2947&lt;=60,"46-60","60+")))</f>
        <v>&lt;30</v>
      </c>
      <c r="N2947" t="str">
        <f t="shared" ref="N2947:N3010" si="185">IF(B2947&lt;500,"Low",IF(B2947&lt;700,"Medium","High"))</f>
        <v>High</v>
      </c>
      <c r="O2947" t="str">
        <f t="shared" ref="O2947:O3010" si="186">IF(G2947=0,"Zero Balance",IF(G2947&lt;100000,"Low Balance","High Balance"))</f>
        <v>High Balance</v>
      </c>
      <c r="P2947" t="str">
        <f t="shared" ref="P2947:P3010" si="187">IF(F2947&lt;=3,"New",IF(F2947&lt;=7,"Mid-term","Long-term"))</f>
        <v>Mid-term</v>
      </c>
    </row>
    <row r="2948" spans="1:16" x14ac:dyDescent="0.25">
      <c r="A2948">
        <v>2025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  <c r="M2948" t="str">
        <f t="shared" si="184"/>
        <v>30-45</v>
      </c>
      <c r="N2948" t="str">
        <f t="shared" si="185"/>
        <v>Medium</v>
      </c>
      <c r="O2948" t="str">
        <f t="shared" si="186"/>
        <v>High Balance</v>
      </c>
      <c r="P2948" t="str">
        <f t="shared" si="187"/>
        <v>New</v>
      </c>
    </row>
    <row r="2949" spans="1:16" x14ac:dyDescent="0.25">
      <c r="A2949">
        <v>2025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  <c r="M2949" t="str">
        <f t="shared" si="184"/>
        <v>30-45</v>
      </c>
      <c r="N2949" t="str">
        <f t="shared" si="185"/>
        <v>High</v>
      </c>
      <c r="O2949" t="str">
        <f t="shared" si="186"/>
        <v>High Balance</v>
      </c>
      <c r="P2949" t="str">
        <f t="shared" si="187"/>
        <v>Mid-term</v>
      </c>
    </row>
    <row r="2950" spans="1:16" x14ac:dyDescent="0.25">
      <c r="A2950">
        <v>2025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  <c r="M2950" t="str">
        <f t="shared" si="184"/>
        <v>&lt;30</v>
      </c>
      <c r="N2950" t="str">
        <f t="shared" si="185"/>
        <v>Medium</v>
      </c>
      <c r="O2950" t="str">
        <f t="shared" si="186"/>
        <v>High Balance</v>
      </c>
      <c r="P2950" t="str">
        <f t="shared" si="187"/>
        <v>New</v>
      </c>
    </row>
    <row r="2951" spans="1:16" x14ac:dyDescent="0.25">
      <c r="A2951">
        <v>2025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  <c r="M2951" t="str">
        <f t="shared" si="184"/>
        <v>30-45</v>
      </c>
      <c r="N2951" t="str">
        <f t="shared" si="185"/>
        <v>Medium</v>
      </c>
      <c r="O2951" t="str">
        <f t="shared" si="186"/>
        <v>High Balance</v>
      </c>
      <c r="P2951" t="str">
        <f t="shared" si="187"/>
        <v>Mid-term</v>
      </c>
    </row>
    <row r="2952" spans="1:16" x14ac:dyDescent="0.25">
      <c r="A2952">
        <v>2025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  <c r="M2952" t="str">
        <f t="shared" si="184"/>
        <v>30-45</v>
      </c>
      <c r="N2952" t="str">
        <f t="shared" si="185"/>
        <v>High</v>
      </c>
      <c r="O2952" t="str">
        <f t="shared" si="186"/>
        <v>High Balance</v>
      </c>
      <c r="P2952" t="str">
        <f t="shared" si="187"/>
        <v>New</v>
      </c>
    </row>
    <row r="2953" spans="1:16" x14ac:dyDescent="0.25">
      <c r="A2953">
        <v>2025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  <c r="M2953" t="str">
        <f t="shared" si="184"/>
        <v>30-45</v>
      </c>
      <c r="N2953" t="str">
        <f t="shared" si="185"/>
        <v>High</v>
      </c>
      <c r="O2953" t="str">
        <f t="shared" si="186"/>
        <v>High Balance</v>
      </c>
      <c r="P2953" t="str">
        <f t="shared" si="187"/>
        <v>Mid-term</v>
      </c>
    </row>
    <row r="2954" spans="1:16" x14ac:dyDescent="0.25">
      <c r="A2954">
        <v>2025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  <c r="M2954" t="str">
        <f t="shared" si="184"/>
        <v>46-60</v>
      </c>
      <c r="N2954" t="str">
        <f t="shared" si="185"/>
        <v>High</v>
      </c>
      <c r="O2954" t="str">
        <f t="shared" si="186"/>
        <v>High Balance</v>
      </c>
      <c r="P2954" t="str">
        <f t="shared" si="187"/>
        <v>Long-term</v>
      </c>
    </row>
    <row r="2955" spans="1:16" x14ac:dyDescent="0.25">
      <c r="A2955">
        <v>2025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  <c r="M2955" t="str">
        <f t="shared" si="184"/>
        <v>30-45</v>
      </c>
      <c r="N2955" t="str">
        <f t="shared" si="185"/>
        <v>Medium</v>
      </c>
      <c r="O2955" t="str">
        <f t="shared" si="186"/>
        <v>Zero Balance</v>
      </c>
      <c r="P2955" t="str">
        <f t="shared" si="187"/>
        <v>Mid-term</v>
      </c>
    </row>
    <row r="2956" spans="1:16" x14ac:dyDescent="0.25">
      <c r="A2956">
        <v>2025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  <c r="M2956" t="str">
        <f t="shared" si="184"/>
        <v>30-45</v>
      </c>
      <c r="N2956" t="str">
        <f t="shared" si="185"/>
        <v>Medium</v>
      </c>
      <c r="O2956" t="str">
        <f t="shared" si="186"/>
        <v>Zero Balance</v>
      </c>
      <c r="P2956" t="str">
        <f t="shared" si="187"/>
        <v>Mid-term</v>
      </c>
    </row>
    <row r="2957" spans="1:16" x14ac:dyDescent="0.25">
      <c r="A2957">
        <v>2025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  <c r="M2957" t="str">
        <f t="shared" si="184"/>
        <v>46-60</v>
      </c>
      <c r="N2957" t="str">
        <f t="shared" si="185"/>
        <v>Medium</v>
      </c>
      <c r="O2957" t="str">
        <f t="shared" si="186"/>
        <v>Zero Balance</v>
      </c>
      <c r="P2957" t="str">
        <f t="shared" si="187"/>
        <v>New</v>
      </c>
    </row>
    <row r="2958" spans="1:16" x14ac:dyDescent="0.25">
      <c r="A2958">
        <v>2025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  <c r="M2958" t="str">
        <f t="shared" si="184"/>
        <v>30-45</v>
      </c>
      <c r="N2958" t="str">
        <f t="shared" si="185"/>
        <v>High</v>
      </c>
      <c r="O2958" t="str">
        <f t="shared" si="186"/>
        <v>Zero Balance</v>
      </c>
      <c r="P2958" t="str">
        <f t="shared" si="187"/>
        <v>Long-term</v>
      </c>
    </row>
    <row r="2959" spans="1:16" x14ac:dyDescent="0.25">
      <c r="A2959">
        <v>2025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  <c r="M2959" t="str">
        <f t="shared" si="184"/>
        <v>30-45</v>
      </c>
      <c r="N2959" t="str">
        <f t="shared" si="185"/>
        <v>Medium</v>
      </c>
      <c r="O2959" t="str">
        <f t="shared" si="186"/>
        <v>Zero Balance</v>
      </c>
      <c r="P2959" t="str">
        <f t="shared" si="187"/>
        <v>Long-term</v>
      </c>
    </row>
    <row r="2960" spans="1:16" x14ac:dyDescent="0.25">
      <c r="A2960">
        <v>2025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  <c r="M2960" t="str">
        <f t="shared" si="184"/>
        <v>&lt;30</v>
      </c>
      <c r="N2960" t="str">
        <f t="shared" si="185"/>
        <v>Medium</v>
      </c>
      <c r="O2960" t="str">
        <f t="shared" si="186"/>
        <v>Zero Balance</v>
      </c>
      <c r="P2960" t="str">
        <f t="shared" si="187"/>
        <v>New</v>
      </c>
    </row>
    <row r="2961" spans="1:16" x14ac:dyDescent="0.25">
      <c r="A2961">
        <v>2025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  <c r="M2961" t="str">
        <f t="shared" si="184"/>
        <v>&lt;30</v>
      </c>
      <c r="N2961" t="str">
        <f t="shared" si="185"/>
        <v>Medium</v>
      </c>
      <c r="O2961" t="str">
        <f t="shared" si="186"/>
        <v>High Balance</v>
      </c>
      <c r="P2961" t="str">
        <f t="shared" si="187"/>
        <v>Long-term</v>
      </c>
    </row>
    <row r="2962" spans="1:16" x14ac:dyDescent="0.25">
      <c r="A2962">
        <v>2025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  <c r="M2962" t="str">
        <f t="shared" si="184"/>
        <v>&lt;30</v>
      </c>
      <c r="N2962" t="str">
        <f t="shared" si="185"/>
        <v>High</v>
      </c>
      <c r="O2962" t="str">
        <f t="shared" si="186"/>
        <v>High Balance</v>
      </c>
      <c r="P2962" t="str">
        <f t="shared" si="187"/>
        <v>Mid-term</v>
      </c>
    </row>
    <row r="2963" spans="1:16" x14ac:dyDescent="0.25">
      <c r="A2963">
        <v>2025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  <c r="M2963" t="str">
        <f t="shared" si="184"/>
        <v>30-45</v>
      </c>
      <c r="N2963" t="str">
        <f t="shared" si="185"/>
        <v>Medium</v>
      </c>
      <c r="O2963" t="str">
        <f t="shared" si="186"/>
        <v>Low Balance</v>
      </c>
      <c r="P2963" t="str">
        <f t="shared" si="187"/>
        <v>Mid-term</v>
      </c>
    </row>
    <row r="2964" spans="1:16" x14ac:dyDescent="0.25">
      <c r="A2964">
        <v>2025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  <c r="M2964" t="str">
        <f t="shared" si="184"/>
        <v>30-45</v>
      </c>
      <c r="N2964" t="str">
        <f t="shared" si="185"/>
        <v>Medium</v>
      </c>
      <c r="O2964" t="str">
        <f t="shared" si="186"/>
        <v>High Balance</v>
      </c>
      <c r="P2964" t="str">
        <f t="shared" si="187"/>
        <v>Long-term</v>
      </c>
    </row>
    <row r="2965" spans="1:16" x14ac:dyDescent="0.25">
      <c r="A2965">
        <v>2025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  <c r="M2965" t="str">
        <f t="shared" si="184"/>
        <v>46-60</v>
      </c>
      <c r="N2965" t="str">
        <f t="shared" si="185"/>
        <v>Medium</v>
      </c>
      <c r="O2965" t="str">
        <f t="shared" si="186"/>
        <v>Zero Balance</v>
      </c>
      <c r="P2965" t="str">
        <f t="shared" si="187"/>
        <v>New</v>
      </c>
    </row>
    <row r="2966" spans="1:16" x14ac:dyDescent="0.25">
      <c r="A2966">
        <v>2025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  <c r="M2966" t="str">
        <f t="shared" si="184"/>
        <v>46-60</v>
      </c>
      <c r="N2966" t="str">
        <f t="shared" si="185"/>
        <v>High</v>
      </c>
      <c r="O2966" t="str">
        <f t="shared" si="186"/>
        <v>High Balance</v>
      </c>
      <c r="P2966" t="str">
        <f t="shared" si="187"/>
        <v>New</v>
      </c>
    </row>
    <row r="2967" spans="1:16" x14ac:dyDescent="0.25">
      <c r="A2967">
        <v>2025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  <c r="M2967" t="str">
        <f t="shared" si="184"/>
        <v>30-45</v>
      </c>
      <c r="N2967" t="str">
        <f t="shared" si="185"/>
        <v>Low</v>
      </c>
      <c r="O2967" t="str">
        <f t="shared" si="186"/>
        <v>High Balance</v>
      </c>
      <c r="P2967" t="str">
        <f t="shared" si="187"/>
        <v>Mid-term</v>
      </c>
    </row>
    <row r="2968" spans="1:16" x14ac:dyDescent="0.25">
      <c r="A2968">
        <v>2025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  <c r="M2968" t="str">
        <f t="shared" si="184"/>
        <v>30-45</v>
      </c>
      <c r="N2968" t="str">
        <f t="shared" si="185"/>
        <v>Medium</v>
      </c>
      <c r="O2968" t="str">
        <f t="shared" si="186"/>
        <v>Low Balance</v>
      </c>
      <c r="P2968" t="str">
        <f t="shared" si="187"/>
        <v>Mid-term</v>
      </c>
    </row>
    <row r="2969" spans="1:16" x14ac:dyDescent="0.25">
      <c r="A2969">
        <v>2025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  <c r="M2969" t="str">
        <f t="shared" si="184"/>
        <v>30-45</v>
      </c>
      <c r="N2969" t="str">
        <f t="shared" si="185"/>
        <v>Medium</v>
      </c>
      <c r="O2969" t="str">
        <f t="shared" si="186"/>
        <v>High Balance</v>
      </c>
      <c r="P2969" t="str">
        <f t="shared" si="187"/>
        <v>Mid-term</v>
      </c>
    </row>
    <row r="2970" spans="1:16" x14ac:dyDescent="0.25">
      <c r="A2970">
        <v>2025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  <c r="M2970" t="str">
        <f t="shared" si="184"/>
        <v>30-45</v>
      </c>
      <c r="N2970" t="str">
        <f t="shared" si="185"/>
        <v>Medium</v>
      </c>
      <c r="O2970" t="str">
        <f t="shared" si="186"/>
        <v>Zero Balance</v>
      </c>
      <c r="P2970" t="str">
        <f t="shared" si="187"/>
        <v>Mid-term</v>
      </c>
    </row>
    <row r="2971" spans="1:16" x14ac:dyDescent="0.25">
      <c r="A2971">
        <v>2025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  <c r="M2971" t="str">
        <f t="shared" si="184"/>
        <v>30-45</v>
      </c>
      <c r="N2971" t="str">
        <f t="shared" si="185"/>
        <v>Medium</v>
      </c>
      <c r="O2971" t="str">
        <f t="shared" si="186"/>
        <v>Zero Balance</v>
      </c>
      <c r="P2971" t="str">
        <f t="shared" si="187"/>
        <v>Mid-term</v>
      </c>
    </row>
    <row r="2972" spans="1:16" x14ac:dyDescent="0.25">
      <c r="A2972">
        <v>2025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  <c r="M2972" t="str">
        <f t="shared" si="184"/>
        <v>30-45</v>
      </c>
      <c r="N2972" t="str">
        <f t="shared" si="185"/>
        <v>High</v>
      </c>
      <c r="O2972" t="str">
        <f t="shared" si="186"/>
        <v>Zero Balance</v>
      </c>
      <c r="P2972" t="str">
        <f t="shared" si="187"/>
        <v>Mid-term</v>
      </c>
    </row>
    <row r="2973" spans="1:16" x14ac:dyDescent="0.25">
      <c r="A2973">
        <v>2025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  <c r="M2973" t="str">
        <f t="shared" si="184"/>
        <v>30-45</v>
      </c>
      <c r="N2973" t="str">
        <f t="shared" si="185"/>
        <v>Medium</v>
      </c>
      <c r="O2973" t="str">
        <f t="shared" si="186"/>
        <v>High Balance</v>
      </c>
      <c r="P2973" t="str">
        <f t="shared" si="187"/>
        <v>New</v>
      </c>
    </row>
    <row r="2974" spans="1:16" x14ac:dyDescent="0.25">
      <c r="A2974">
        <v>2025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  <c r="M2974" t="str">
        <f t="shared" si="184"/>
        <v>30-45</v>
      </c>
      <c r="N2974" t="str">
        <f t="shared" si="185"/>
        <v>Medium</v>
      </c>
      <c r="O2974" t="str">
        <f t="shared" si="186"/>
        <v>High Balance</v>
      </c>
      <c r="P2974" t="str">
        <f t="shared" si="187"/>
        <v>Long-term</v>
      </c>
    </row>
    <row r="2975" spans="1:16" x14ac:dyDescent="0.25">
      <c r="A2975">
        <v>2025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  <c r="M2975" t="str">
        <f t="shared" si="184"/>
        <v>46-60</v>
      </c>
      <c r="N2975" t="str">
        <f t="shared" si="185"/>
        <v>Medium</v>
      </c>
      <c r="O2975" t="str">
        <f t="shared" si="186"/>
        <v>High Balance</v>
      </c>
      <c r="P2975" t="str">
        <f t="shared" si="187"/>
        <v>Long-term</v>
      </c>
    </row>
    <row r="2976" spans="1:16" x14ac:dyDescent="0.25">
      <c r="A2976">
        <v>2025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  <c r="M2976" t="str">
        <f t="shared" si="184"/>
        <v>46-60</v>
      </c>
      <c r="N2976" t="str">
        <f t="shared" si="185"/>
        <v>Medium</v>
      </c>
      <c r="O2976" t="str">
        <f t="shared" si="186"/>
        <v>Low Balance</v>
      </c>
      <c r="P2976" t="str">
        <f t="shared" si="187"/>
        <v>Long-term</v>
      </c>
    </row>
    <row r="2977" spans="1:16" x14ac:dyDescent="0.25">
      <c r="A2977">
        <v>2025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  <c r="M2977" t="str">
        <f t="shared" si="184"/>
        <v>30-45</v>
      </c>
      <c r="N2977" t="str">
        <f t="shared" si="185"/>
        <v>Low</v>
      </c>
      <c r="O2977" t="str">
        <f t="shared" si="186"/>
        <v>Zero Balance</v>
      </c>
      <c r="P2977" t="str">
        <f t="shared" si="187"/>
        <v>Mid-term</v>
      </c>
    </row>
    <row r="2978" spans="1:16" x14ac:dyDescent="0.25">
      <c r="A2978">
        <v>2025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  <c r="M2978" t="str">
        <f t="shared" si="184"/>
        <v>30-45</v>
      </c>
      <c r="N2978" t="str">
        <f t="shared" si="185"/>
        <v>High</v>
      </c>
      <c r="O2978" t="str">
        <f t="shared" si="186"/>
        <v>High Balance</v>
      </c>
      <c r="P2978" t="str">
        <f t="shared" si="187"/>
        <v>Mid-term</v>
      </c>
    </row>
    <row r="2979" spans="1:16" x14ac:dyDescent="0.25">
      <c r="A2979">
        <v>2025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  <c r="M2979" t="str">
        <f t="shared" si="184"/>
        <v>30-45</v>
      </c>
      <c r="N2979" t="str">
        <f t="shared" si="185"/>
        <v>Medium</v>
      </c>
      <c r="O2979" t="str">
        <f t="shared" si="186"/>
        <v>High Balance</v>
      </c>
      <c r="P2979" t="str">
        <f t="shared" si="187"/>
        <v>Long-term</v>
      </c>
    </row>
    <row r="2980" spans="1:16" x14ac:dyDescent="0.25">
      <c r="A2980">
        <v>2025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  <c r="M2980" t="str">
        <f t="shared" si="184"/>
        <v>30-45</v>
      </c>
      <c r="N2980" t="str">
        <f t="shared" si="185"/>
        <v>Medium</v>
      </c>
      <c r="O2980" t="str">
        <f t="shared" si="186"/>
        <v>High Balance</v>
      </c>
      <c r="P2980" t="str">
        <f t="shared" si="187"/>
        <v>New</v>
      </c>
    </row>
    <row r="2981" spans="1:16" x14ac:dyDescent="0.25">
      <c r="A2981">
        <v>2025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  <c r="M2981" t="str">
        <f t="shared" si="184"/>
        <v>30-45</v>
      </c>
      <c r="N2981" t="str">
        <f t="shared" si="185"/>
        <v>Medium</v>
      </c>
      <c r="O2981" t="str">
        <f t="shared" si="186"/>
        <v>High Balance</v>
      </c>
      <c r="P2981" t="str">
        <f t="shared" si="187"/>
        <v>New</v>
      </c>
    </row>
    <row r="2982" spans="1:16" x14ac:dyDescent="0.25">
      <c r="A2982">
        <v>2025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  <c r="M2982" t="str">
        <f t="shared" si="184"/>
        <v>30-45</v>
      </c>
      <c r="N2982" t="str">
        <f t="shared" si="185"/>
        <v>High</v>
      </c>
      <c r="O2982" t="str">
        <f t="shared" si="186"/>
        <v>Low Balance</v>
      </c>
      <c r="P2982" t="str">
        <f t="shared" si="187"/>
        <v>New</v>
      </c>
    </row>
    <row r="2983" spans="1:16" x14ac:dyDescent="0.25">
      <c r="A2983">
        <v>2025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  <c r="M2983" t="str">
        <f t="shared" si="184"/>
        <v>30-45</v>
      </c>
      <c r="N2983" t="str">
        <f t="shared" si="185"/>
        <v>Medium</v>
      </c>
      <c r="O2983" t="str">
        <f t="shared" si="186"/>
        <v>High Balance</v>
      </c>
      <c r="P2983" t="str">
        <f t="shared" si="187"/>
        <v>New</v>
      </c>
    </row>
    <row r="2984" spans="1:16" x14ac:dyDescent="0.25">
      <c r="A2984">
        <v>2025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  <c r="M2984" t="str">
        <f t="shared" si="184"/>
        <v>30-45</v>
      </c>
      <c r="N2984" t="str">
        <f t="shared" si="185"/>
        <v>Medium</v>
      </c>
      <c r="O2984" t="str">
        <f t="shared" si="186"/>
        <v>Zero Balance</v>
      </c>
      <c r="P2984" t="str">
        <f t="shared" si="187"/>
        <v>New</v>
      </c>
    </row>
    <row r="2985" spans="1:16" x14ac:dyDescent="0.25">
      <c r="A2985">
        <v>2025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  <c r="M2985" t="str">
        <f t="shared" si="184"/>
        <v>30-45</v>
      </c>
      <c r="N2985" t="str">
        <f t="shared" si="185"/>
        <v>Medium</v>
      </c>
      <c r="O2985" t="str">
        <f t="shared" si="186"/>
        <v>High Balance</v>
      </c>
      <c r="P2985" t="str">
        <f t="shared" si="187"/>
        <v>Long-term</v>
      </c>
    </row>
    <row r="2986" spans="1:16" x14ac:dyDescent="0.25">
      <c r="A2986">
        <v>2025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  <c r="M2986" t="str">
        <f t="shared" si="184"/>
        <v>30-45</v>
      </c>
      <c r="N2986" t="str">
        <f t="shared" si="185"/>
        <v>Medium</v>
      </c>
      <c r="O2986" t="str">
        <f t="shared" si="186"/>
        <v>Zero Balance</v>
      </c>
      <c r="P2986" t="str">
        <f t="shared" si="187"/>
        <v>Long-term</v>
      </c>
    </row>
    <row r="2987" spans="1:16" x14ac:dyDescent="0.25">
      <c r="A2987">
        <v>2025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  <c r="M2987" t="str">
        <f t="shared" si="184"/>
        <v>30-45</v>
      </c>
      <c r="N2987" t="str">
        <f t="shared" si="185"/>
        <v>High</v>
      </c>
      <c r="O2987" t="str">
        <f t="shared" si="186"/>
        <v>High Balance</v>
      </c>
      <c r="P2987" t="str">
        <f t="shared" si="187"/>
        <v>Long-term</v>
      </c>
    </row>
    <row r="2988" spans="1:16" x14ac:dyDescent="0.25">
      <c r="A2988">
        <v>2025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  <c r="M2988" t="str">
        <f t="shared" si="184"/>
        <v>30-45</v>
      </c>
      <c r="N2988" t="str">
        <f t="shared" si="185"/>
        <v>Medium</v>
      </c>
      <c r="O2988" t="str">
        <f t="shared" si="186"/>
        <v>High Balance</v>
      </c>
      <c r="P2988" t="str">
        <f t="shared" si="187"/>
        <v>New</v>
      </c>
    </row>
    <row r="2989" spans="1:16" x14ac:dyDescent="0.25">
      <c r="A2989">
        <v>2025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  <c r="M2989" t="str">
        <f t="shared" si="184"/>
        <v>&lt;30</v>
      </c>
      <c r="N2989" t="str">
        <f t="shared" si="185"/>
        <v>Medium</v>
      </c>
      <c r="O2989" t="str">
        <f t="shared" si="186"/>
        <v>High Balance</v>
      </c>
      <c r="P2989" t="str">
        <f t="shared" si="187"/>
        <v>New</v>
      </c>
    </row>
    <row r="2990" spans="1:16" x14ac:dyDescent="0.25">
      <c r="A2990">
        <v>2025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  <c r="M2990" t="str">
        <f t="shared" si="184"/>
        <v>46-60</v>
      </c>
      <c r="N2990" t="str">
        <f t="shared" si="185"/>
        <v>Medium</v>
      </c>
      <c r="O2990" t="str">
        <f t="shared" si="186"/>
        <v>Low Balance</v>
      </c>
      <c r="P2990" t="str">
        <f t="shared" si="187"/>
        <v>New</v>
      </c>
    </row>
    <row r="2991" spans="1:16" x14ac:dyDescent="0.25">
      <c r="A2991">
        <v>2025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  <c r="M2991" t="str">
        <f t="shared" si="184"/>
        <v>30-45</v>
      </c>
      <c r="N2991" t="str">
        <f t="shared" si="185"/>
        <v>High</v>
      </c>
      <c r="O2991" t="str">
        <f t="shared" si="186"/>
        <v>Zero Balance</v>
      </c>
      <c r="P2991" t="str">
        <f t="shared" si="187"/>
        <v>New</v>
      </c>
    </row>
    <row r="2992" spans="1:16" x14ac:dyDescent="0.25">
      <c r="A2992">
        <v>2025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  <c r="M2992" t="str">
        <f t="shared" si="184"/>
        <v>&lt;30</v>
      </c>
      <c r="N2992" t="str">
        <f t="shared" si="185"/>
        <v>Low</v>
      </c>
      <c r="O2992" t="str">
        <f t="shared" si="186"/>
        <v>High Balance</v>
      </c>
      <c r="P2992" t="str">
        <f t="shared" si="187"/>
        <v>New</v>
      </c>
    </row>
    <row r="2993" spans="1:16" x14ac:dyDescent="0.25">
      <c r="A2993">
        <v>2025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  <c r="M2993" t="str">
        <f t="shared" si="184"/>
        <v>46-60</v>
      </c>
      <c r="N2993" t="str">
        <f t="shared" si="185"/>
        <v>Medium</v>
      </c>
      <c r="O2993" t="str">
        <f t="shared" si="186"/>
        <v>High Balance</v>
      </c>
      <c r="P2993" t="str">
        <f t="shared" si="187"/>
        <v>Long-term</v>
      </c>
    </row>
    <row r="2994" spans="1:16" x14ac:dyDescent="0.25">
      <c r="A2994">
        <v>2025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  <c r="M2994" t="str">
        <f t="shared" si="184"/>
        <v>46-60</v>
      </c>
      <c r="N2994" t="str">
        <f t="shared" si="185"/>
        <v>High</v>
      </c>
      <c r="O2994" t="str">
        <f t="shared" si="186"/>
        <v>Zero Balance</v>
      </c>
      <c r="P2994" t="str">
        <f t="shared" si="187"/>
        <v>Mid-term</v>
      </c>
    </row>
    <row r="2995" spans="1:16" x14ac:dyDescent="0.25">
      <c r="A2995">
        <v>2025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  <c r="M2995" t="str">
        <f t="shared" si="184"/>
        <v>46-60</v>
      </c>
      <c r="N2995" t="str">
        <f t="shared" si="185"/>
        <v>High</v>
      </c>
      <c r="O2995" t="str">
        <f t="shared" si="186"/>
        <v>Zero Balance</v>
      </c>
      <c r="P2995" t="str">
        <f t="shared" si="187"/>
        <v>Long-term</v>
      </c>
    </row>
    <row r="2996" spans="1:16" x14ac:dyDescent="0.25">
      <c r="A2996">
        <v>2025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  <c r="M2996" t="str">
        <f t="shared" si="184"/>
        <v>30-45</v>
      </c>
      <c r="N2996" t="str">
        <f t="shared" si="185"/>
        <v>Medium</v>
      </c>
      <c r="O2996" t="str">
        <f t="shared" si="186"/>
        <v>High Balance</v>
      </c>
      <c r="P2996" t="str">
        <f t="shared" si="187"/>
        <v>New</v>
      </c>
    </row>
    <row r="2997" spans="1:16" x14ac:dyDescent="0.25">
      <c r="A2997">
        <v>2025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  <c r="M2997" t="str">
        <f t="shared" si="184"/>
        <v>&lt;30</v>
      </c>
      <c r="N2997" t="str">
        <f t="shared" si="185"/>
        <v>Medium</v>
      </c>
      <c r="O2997" t="str">
        <f t="shared" si="186"/>
        <v>High Balance</v>
      </c>
      <c r="P2997" t="str">
        <f t="shared" si="187"/>
        <v>New</v>
      </c>
    </row>
    <row r="2998" spans="1:16" x14ac:dyDescent="0.25">
      <c r="A2998">
        <v>2025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  <c r="M2998" t="str">
        <f t="shared" si="184"/>
        <v>30-45</v>
      </c>
      <c r="N2998" t="str">
        <f t="shared" si="185"/>
        <v>High</v>
      </c>
      <c r="O2998" t="str">
        <f t="shared" si="186"/>
        <v>Low Balance</v>
      </c>
      <c r="P2998" t="str">
        <f t="shared" si="187"/>
        <v>Mid-term</v>
      </c>
    </row>
    <row r="2999" spans="1:16" x14ac:dyDescent="0.25">
      <c r="A2999">
        <v>2025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  <c r="M2999" t="str">
        <f t="shared" si="184"/>
        <v>&lt;30</v>
      </c>
      <c r="N2999" t="str">
        <f t="shared" si="185"/>
        <v>Medium</v>
      </c>
      <c r="O2999" t="str">
        <f t="shared" si="186"/>
        <v>High Balance</v>
      </c>
      <c r="P2999" t="str">
        <f t="shared" si="187"/>
        <v>Mid-term</v>
      </c>
    </row>
    <row r="3000" spans="1:16" x14ac:dyDescent="0.25">
      <c r="A3000">
        <v>2025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  <c r="M3000" t="str">
        <f t="shared" si="184"/>
        <v>46-60</v>
      </c>
      <c r="N3000" t="str">
        <f t="shared" si="185"/>
        <v>High</v>
      </c>
      <c r="O3000" t="str">
        <f t="shared" si="186"/>
        <v>High Balance</v>
      </c>
      <c r="P3000" t="str">
        <f t="shared" si="187"/>
        <v>Mid-term</v>
      </c>
    </row>
    <row r="3001" spans="1:16" x14ac:dyDescent="0.25">
      <c r="A3001">
        <v>2025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  <c r="M3001" t="str">
        <f t="shared" si="184"/>
        <v>30-45</v>
      </c>
      <c r="N3001" t="str">
        <f t="shared" si="185"/>
        <v>Medium</v>
      </c>
      <c r="O3001" t="str">
        <f t="shared" si="186"/>
        <v>High Balance</v>
      </c>
      <c r="P3001" t="str">
        <f t="shared" si="187"/>
        <v>New</v>
      </c>
    </row>
    <row r="3002" spans="1:16" x14ac:dyDescent="0.25">
      <c r="A3002">
        <v>2025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  <c r="M3002" t="str">
        <f t="shared" si="184"/>
        <v>30-45</v>
      </c>
      <c r="N3002" t="str">
        <f t="shared" si="185"/>
        <v>Medium</v>
      </c>
      <c r="O3002" t="str">
        <f t="shared" si="186"/>
        <v>Zero Balance</v>
      </c>
      <c r="P3002" t="str">
        <f t="shared" si="187"/>
        <v>Mid-term</v>
      </c>
    </row>
    <row r="3003" spans="1:16" x14ac:dyDescent="0.25">
      <c r="A3003">
        <v>2025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  <c r="M3003" t="str">
        <f t="shared" si="184"/>
        <v>30-45</v>
      </c>
      <c r="N3003" t="str">
        <f t="shared" si="185"/>
        <v>Medium</v>
      </c>
      <c r="O3003" t="str">
        <f t="shared" si="186"/>
        <v>Zero Balance</v>
      </c>
      <c r="P3003" t="str">
        <f t="shared" si="187"/>
        <v>Mid-term</v>
      </c>
    </row>
    <row r="3004" spans="1:16" x14ac:dyDescent="0.25">
      <c r="A3004">
        <v>2025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  <c r="M3004" t="str">
        <f t="shared" si="184"/>
        <v>30-45</v>
      </c>
      <c r="N3004" t="str">
        <f t="shared" si="185"/>
        <v>High</v>
      </c>
      <c r="O3004" t="str">
        <f t="shared" si="186"/>
        <v>High Balance</v>
      </c>
      <c r="P3004" t="str">
        <f t="shared" si="187"/>
        <v>New</v>
      </c>
    </row>
    <row r="3005" spans="1:16" x14ac:dyDescent="0.25">
      <c r="A3005">
        <v>2025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  <c r="M3005" t="str">
        <f t="shared" si="184"/>
        <v>46-60</v>
      </c>
      <c r="N3005" t="str">
        <f t="shared" si="185"/>
        <v>Medium</v>
      </c>
      <c r="O3005" t="str">
        <f t="shared" si="186"/>
        <v>High Balance</v>
      </c>
      <c r="P3005" t="str">
        <f t="shared" si="187"/>
        <v>Mid-term</v>
      </c>
    </row>
    <row r="3006" spans="1:16" x14ac:dyDescent="0.25">
      <c r="A3006">
        <v>2025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  <c r="M3006" t="str">
        <f t="shared" si="184"/>
        <v>46-60</v>
      </c>
      <c r="N3006" t="str">
        <f t="shared" si="185"/>
        <v>Medium</v>
      </c>
      <c r="O3006" t="str">
        <f t="shared" si="186"/>
        <v>High Balance</v>
      </c>
      <c r="P3006" t="str">
        <f t="shared" si="187"/>
        <v>Mid-term</v>
      </c>
    </row>
    <row r="3007" spans="1:16" x14ac:dyDescent="0.25">
      <c r="A3007">
        <v>2025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  <c r="M3007" t="str">
        <f t="shared" si="184"/>
        <v>30-45</v>
      </c>
      <c r="N3007" t="str">
        <f t="shared" si="185"/>
        <v>Medium</v>
      </c>
      <c r="O3007" t="str">
        <f t="shared" si="186"/>
        <v>Zero Balance</v>
      </c>
      <c r="P3007" t="str">
        <f t="shared" si="187"/>
        <v>Mid-term</v>
      </c>
    </row>
    <row r="3008" spans="1:16" x14ac:dyDescent="0.25">
      <c r="A3008">
        <v>2025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  <c r="M3008" t="str">
        <f t="shared" si="184"/>
        <v>30-45</v>
      </c>
      <c r="N3008" t="str">
        <f t="shared" si="185"/>
        <v>High</v>
      </c>
      <c r="O3008" t="str">
        <f t="shared" si="186"/>
        <v>High Balance</v>
      </c>
      <c r="P3008" t="str">
        <f t="shared" si="187"/>
        <v>New</v>
      </c>
    </row>
    <row r="3009" spans="1:16" x14ac:dyDescent="0.25">
      <c r="A3009">
        <v>2025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  <c r="M3009" t="str">
        <f t="shared" si="184"/>
        <v>30-45</v>
      </c>
      <c r="N3009" t="str">
        <f t="shared" si="185"/>
        <v>Medium</v>
      </c>
      <c r="O3009" t="str">
        <f t="shared" si="186"/>
        <v>High Balance</v>
      </c>
      <c r="P3009" t="str">
        <f t="shared" si="187"/>
        <v>Mid-term</v>
      </c>
    </row>
    <row r="3010" spans="1:16" x14ac:dyDescent="0.25">
      <c r="A3010">
        <v>2025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  <c r="M3010" t="str">
        <f t="shared" si="184"/>
        <v>60+</v>
      </c>
      <c r="N3010" t="str">
        <f t="shared" si="185"/>
        <v>High</v>
      </c>
      <c r="O3010" t="str">
        <f t="shared" si="186"/>
        <v>High Balance</v>
      </c>
      <c r="P3010" t="str">
        <f t="shared" si="187"/>
        <v>Long-term</v>
      </c>
    </row>
    <row r="3011" spans="1:16" x14ac:dyDescent="0.25">
      <c r="A3011">
        <v>2025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  <c r="M3011" t="str">
        <f t="shared" ref="M3011:M3074" si="188">IF(E3011&lt;30,"&lt;30",IF(E3011&lt;=45,"30-45",IF(E3011&lt;=60,"46-60","60+")))</f>
        <v>30-45</v>
      </c>
      <c r="N3011" t="str">
        <f t="shared" ref="N3011:N3074" si="189">IF(B3011&lt;500,"Low",IF(B3011&lt;700,"Medium","High"))</f>
        <v>Medium</v>
      </c>
      <c r="O3011" t="str">
        <f t="shared" ref="O3011:O3074" si="190">IF(G3011=0,"Zero Balance",IF(G3011&lt;100000,"Low Balance","High Balance"))</f>
        <v>Zero Balance</v>
      </c>
      <c r="P3011" t="str">
        <f t="shared" ref="P3011:P3074" si="191">IF(F3011&lt;=3,"New",IF(F3011&lt;=7,"Mid-term","Long-term"))</f>
        <v>New</v>
      </c>
    </row>
    <row r="3012" spans="1:16" x14ac:dyDescent="0.25">
      <c r="A3012">
        <v>2025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  <c r="M3012" t="str">
        <f t="shared" si="188"/>
        <v>46-60</v>
      </c>
      <c r="N3012" t="str">
        <f t="shared" si="189"/>
        <v>Medium</v>
      </c>
      <c r="O3012" t="str">
        <f t="shared" si="190"/>
        <v>Zero Balance</v>
      </c>
      <c r="P3012" t="str">
        <f t="shared" si="191"/>
        <v>New</v>
      </c>
    </row>
    <row r="3013" spans="1:16" x14ac:dyDescent="0.25">
      <c r="A3013">
        <v>2025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  <c r="M3013" t="str">
        <f t="shared" si="188"/>
        <v>30-45</v>
      </c>
      <c r="N3013" t="str">
        <f t="shared" si="189"/>
        <v>Medium</v>
      </c>
      <c r="O3013" t="str">
        <f t="shared" si="190"/>
        <v>Zero Balance</v>
      </c>
      <c r="P3013" t="str">
        <f t="shared" si="191"/>
        <v>Long-term</v>
      </c>
    </row>
    <row r="3014" spans="1:16" x14ac:dyDescent="0.25">
      <c r="A3014">
        <v>2025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  <c r="M3014" t="str">
        <f t="shared" si="188"/>
        <v>30-45</v>
      </c>
      <c r="N3014" t="str">
        <f t="shared" si="189"/>
        <v>High</v>
      </c>
      <c r="O3014" t="str">
        <f t="shared" si="190"/>
        <v>High Balance</v>
      </c>
      <c r="P3014" t="str">
        <f t="shared" si="191"/>
        <v>Long-term</v>
      </c>
    </row>
    <row r="3015" spans="1:16" x14ac:dyDescent="0.25">
      <c r="A3015">
        <v>2025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  <c r="M3015" t="str">
        <f t="shared" si="188"/>
        <v>&lt;30</v>
      </c>
      <c r="N3015" t="str">
        <f t="shared" si="189"/>
        <v>Low</v>
      </c>
      <c r="O3015" t="str">
        <f t="shared" si="190"/>
        <v>Zero Balance</v>
      </c>
      <c r="P3015" t="str">
        <f t="shared" si="191"/>
        <v>Mid-term</v>
      </c>
    </row>
    <row r="3016" spans="1:16" x14ac:dyDescent="0.25">
      <c r="A3016">
        <v>2025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  <c r="M3016" t="str">
        <f t="shared" si="188"/>
        <v>30-45</v>
      </c>
      <c r="N3016" t="str">
        <f t="shared" si="189"/>
        <v>Medium</v>
      </c>
      <c r="O3016" t="str">
        <f t="shared" si="190"/>
        <v>High Balance</v>
      </c>
      <c r="P3016" t="str">
        <f t="shared" si="191"/>
        <v>New</v>
      </c>
    </row>
    <row r="3017" spans="1:16" x14ac:dyDescent="0.25">
      <c r="A3017">
        <v>2025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  <c r="M3017" t="str">
        <f t="shared" si="188"/>
        <v>30-45</v>
      </c>
      <c r="N3017" t="str">
        <f t="shared" si="189"/>
        <v>Medium</v>
      </c>
      <c r="O3017" t="str">
        <f t="shared" si="190"/>
        <v>Low Balance</v>
      </c>
      <c r="P3017" t="str">
        <f t="shared" si="191"/>
        <v>Long-term</v>
      </c>
    </row>
    <row r="3018" spans="1:16" x14ac:dyDescent="0.25">
      <c r="A3018">
        <v>2025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  <c r="M3018" t="str">
        <f t="shared" si="188"/>
        <v>30-45</v>
      </c>
      <c r="N3018" t="str">
        <f t="shared" si="189"/>
        <v>High</v>
      </c>
      <c r="O3018" t="str">
        <f t="shared" si="190"/>
        <v>High Balance</v>
      </c>
      <c r="P3018" t="str">
        <f t="shared" si="191"/>
        <v>Long-term</v>
      </c>
    </row>
    <row r="3019" spans="1:16" x14ac:dyDescent="0.25">
      <c r="A3019">
        <v>2025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  <c r="M3019" t="str">
        <f t="shared" si="188"/>
        <v>&lt;30</v>
      </c>
      <c r="N3019" t="str">
        <f t="shared" si="189"/>
        <v>Medium</v>
      </c>
      <c r="O3019" t="str">
        <f t="shared" si="190"/>
        <v>High Balance</v>
      </c>
      <c r="P3019" t="str">
        <f t="shared" si="191"/>
        <v>New</v>
      </c>
    </row>
    <row r="3020" spans="1:16" x14ac:dyDescent="0.25">
      <c r="A3020">
        <v>2025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  <c r="M3020" t="str">
        <f t="shared" si="188"/>
        <v>&lt;30</v>
      </c>
      <c r="N3020" t="str">
        <f t="shared" si="189"/>
        <v>Medium</v>
      </c>
      <c r="O3020" t="str">
        <f t="shared" si="190"/>
        <v>Zero Balance</v>
      </c>
      <c r="P3020" t="str">
        <f t="shared" si="191"/>
        <v>Long-term</v>
      </c>
    </row>
    <row r="3021" spans="1:16" x14ac:dyDescent="0.25">
      <c r="A3021">
        <v>2025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  <c r="M3021" t="str">
        <f t="shared" si="188"/>
        <v>&lt;30</v>
      </c>
      <c r="N3021" t="str">
        <f t="shared" si="189"/>
        <v>Medium</v>
      </c>
      <c r="O3021" t="str">
        <f t="shared" si="190"/>
        <v>Zero Balance</v>
      </c>
      <c r="P3021" t="str">
        <f t="shared" si="191"/>
        <v>Mid-term</v>
      </c>
    </row>
    <row r="3022" spans="1:16" x14ac:dyDescent="0.25">
      <c r="A3022">
        <v>2025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  <c r="M3022" t="str">
        <f t="shared" si="188"/>
        <v>30-45</v>
      </c>
      <c r="N3022" t="str">
        <f t="shared" si="189"/>
        <v>Medium</v>
      </c>
      <c r="O3022" t="str">
        <f t="shared" si="190"/>
        <v>High Balance</v>
      </c>
      <c r="P3022" t="str">
        <f t="shared" si="191"/>
        <v>Mid-term</v>
      </c>
    </row>
    <row r="3023" spans="1:16" x14ac:dyDescent="0.25">
      <c r="A3023">
        <v>2025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  <c r="M3023" t="str">
        <f t="shared" si="188"/>
        <v>30-45</v>
      </c>
      <c r="N3023" t="str">
        <f t="shared" si="189"/>
        <v>Medium</v>
      </c>
      <c r="O3023" t="str">
        <f t="shared" si="190"/>
        <v>High Balance</v>
      </c>
      <c r="P3023" t="str">
        <f t="shared" si="191"/>
        <v>New</v>
      </c>
    </row>
    <row r="3024" spans="1:16" x14ac:dyDescent="0.25">
      <c r="A3024">
        <v>2025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  <c r="M3024" t="str">
        <f t="shared" si="188"/>
        <v>&lt;30</v>
      </c>
      <c r="N3024" t="str">
        <f t="shared" si="189"/>
        <v>Medium</v>
      </c>
      <c r="O3024" t="str">
        <f t="shared" si="190"/>
        <v>Zero Balance</v>
      </c>
      <c r="P3024" t="str">
        <f t="shared" si="191"/>
        <v>Mid-term</v>
      </c>
    </row>
    <row r="3025" spans="1:16" x14ac:dyDescent="0.25">
      <c r="A3025">
        <v>2025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  <c r="M3025" t="str">
        <f t="shared" si="188"/>
        <v>30-45</v>
      </c>
      <c r="N3025" t="str">
        <f t="shared" si="189"/>
        <v>Medium</v>
      </c>
      <c r="O3025" t="str">
        <f t="shared" si="190"/>
        <v>Low Balance</v>
      </c>
      <c r="P3025" t="str">
        <f t="shared" si="191"/>
        <v>New</v>
      </c>
    </row>
    <row r="3026" spans="1:16" x14ac:dyDescent="0.25">
      <c r="A3026">
        <v>2025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  <c r="M3026" t="str">
        <f t="shared" si="188"/>
        <v>30-45</v>
      </c>
      <c r="N3026" t="str">
        <f t="shared" si="189"/>
        <v>Medium</v>
      </c>
      <c r="O3026" t="str">
        <f t="shared" si="190"/>
        <v>High Balance</v>
      </c>
      <c r="P3026" t="str">
        <f t="shared" si="191"/>
        <v>Mid-term</v>
      </c>
    </row>
    <row r="3027" spans="1:16" x14ac:dyDescent="0.25">
      <c r="A3027">
        <v>2025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  <c r="M3027" t="str">
        <f t="shared" si="188"/>
        <v>30-45</v>
      </c>
      <c r="N3027" t="str">
        <f t="shared" si="189"/>
        <v>High</v>
      </c>
      <c r="O3027" t="str">
        <f t="shared" si="190"/>
        <v>Zero Balance</v>
      </c>
      <c r="P3027" t="str">
        <f t="shared" si="191"/>
        <v>Mid-term</v>
      </c>
    </row>
    <row r="3028" spans="1:16" x14ac:dyDescent="0.25">
      <c r="A3028">
        <v>2025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  <c r="M3028" t="str">
        <f t="shared" si="188"/>
        <v>30-45</v>
      </c>
      <c r="N3028" t="str">
        <f t="shared" si="189"/>
        <v>Medium</v>
      </c>
      <c r="O3028" t="str">
        <f t="shared" si="190"/>
        <v>Zero Balance</v>
      </c>
      <c r="P3028" t="str">
        <f t="shared" si="191"/>
        <v>Mid-term</v>
      </c>
    </row>
    <row r="3029" spans="1:16" x14ac:dyDescent="0.25">
      <c r="A3029">
        <v>2025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  <c r="M3029" t="str">
        <f t="shared" si="188"/>
        <v>30-45</v>
      </c>
      <c r="N3029" t="str">
        <f t="shared" si="189"/>
        <v>High</v>
      </c>
      <c r="O3029" t="str">
        <f t="shared" si="190"/>
        <v>High Balance</v>
      </c>
      <c r="P3029" t="str">
        <f t="shared" si="191"/>
        <v>New</v>
      </c>
    </row>
    <row r="3030" spans="1:16" x14ac:dyDescent="0.25">
      <c r="A3030">
        <v>2025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  <c r="M3030" t="str">
        <f t="shared" si="188"/>
        <v>46-60</v>
      </c>
      <c r="N3030" t="str">
        <f t="shared" si="189"/>
        <v>Medium</v>
      </c>
      <c r="O3030" t="str">
        <f t="shared" si="190"/>
        <v>High Balance</v>
      </c>
      <c r="P3030" t="str">
        <f t="shared" si="191"/>
        <v>New</v>
      </c>
    </row>
    <row r="3031" spans="1:16" x14ac:dyDescent="0.25">
      <c r="A3031">
        <v>2025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  <c r="M3031" t="str">
        <f t="shared" si="188"/>
        <v>30-45</v>
      </c>
      <c r="N3031" t="str">
        <f t="shared" si="189"/>
        <v>Medium</v>
      </c>
      <c r="O3031" t="str">
        <f t="shared" si="190"/>
        <v>High Balance</v>
      </c>
      <c r="P3031" t="str">
        <f t="shared" si="191"/>
        <v>Long-term</v>
      </c>
    </row>
    <row r="3032" spans="1:16" x14ac:dyDescent="0.25">
      <c r="A3032">
        <v>2025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  <c r="M3032" t="str">
        <f t="shared" si="188"/>
        <v>&lt;30</v>
      </c>
      <c r="N3032" t="str">
        <f t="shared" si="189"/>
        <v>Medium</v>
      </c>
      <c r="O3032" t="str">
        <f t="shared" si="190"/>
        <v>Low Balance</v>
      </c>
      <c r="P3032" t="str">
        <f t="shared" si="191"/>
        <v>New</v>
      </c>
    </row>
    <row r="3033" spans="1:16" x14ac:dyDescent="0.25">
      <c r="A3033">
        <v>2025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  <c r="M3033" t="str">
        <f t="shared" si="188"/>
        <v>&lt;30</v>
      </c>
      <c r="N3033" t="str">
        <f t="shared" si="189"/>
        <v>Medium</v>
      </c>
      <c r="O3033" t="str">
        <f t="shared" si="190"/>
        <v>High Balance</v>
      </c>
      <c r="P3033" t="str">
        <f t="shared" si="191"/>
        <v>Mid-term</v>
      </c>
    </row>
    <row r="3034" spans="1:16" x14ac:dyDescent="0.25">
      <c r="A3034">
        <v>2025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  <c r="M3034" t="str">
        <f t="shared" si="188"/>
        <v>30-45</v>
      </c>
      <c r="N3034" t="str">
        <f t="shared" si="189"/>
        <v>Low</v>
      </c>
      <c r="O3034" t="str">
        <f t="shared" si="190"/>
        <v>Low Balance</v>
      </c>
      <c r="P3034" t="str">
        <f t="shared" si="191"/>
        <v>New</v>
      </c>
    </row>
    <row r="3035" spans="1:16" x14ac:dyDescent="0.25">
      <c r="A3035">
        <v>2025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  <c r="M3035" t="str">
        <f t="shared" si="188"/>
        <v>60+</v>
      </c>
      <c r="N3035" t="str">
        <f t="shared" si="189"/>
        <v>High</v>
      </c>
      <c r="O3035" t="str">
        <f t="shared" si="190"/>
        <v>Zero Balance</v>
      </c>
      <c r="P3035" t="str">
        <f t="shared" si="191"/>
        <v>Long-term</v>
      </c>
    </row>
    <row r="3036" spans="1:16" x14ac:dyDescent="0.25">
      <c r="A3036">
        <v>2025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  <c r="M3036" t="str">
        <f t="shared" si="188"/>
        <v>30-45</v>
      </c>
      <c r="N3036" t="str">
        <f t="shared" si="189"/>
        <v>High</v>
      </c>
      <c r="O3036" t="str">
        <f t="shared" si="190"/>
        <v>Low Balance</v>
      </c>
      <c r="P3036" t="str">
        <f t="shared" si="191"/>
        <v>New</v>
      </c>
    </row>
    <row r="3037" spans="1:16" x14ac:dyDescent="0.25">
      <c r="A3037">
        <v>2025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  <c r="M3037" t="str">
        <f t="shared" si="188"/>
        <v>30-45</v>
      </c>
      <c r="N3037" t="str">
        <f t="shared" si="189"/>
        <v>High</v>
      </c>
      <c r="O3037" t="str">
        <f t="shared" si="190"/>
        <v>High Balance</v>
      </c>
      <c r="P3037" t="str">
        <f t="shared" si="191"/>
        <v>Long-term</v>
      </c>
    </row>
    <row r="3038" spans="1:16" x14ac:dyDescent="0.25">
      <c r="A3038">
        <v>2025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  <c r="M3038" t="str">
        <f t="shared" si="188"/>
        <v>30-45</v>
      </c>
      <c r="N3038" t="str">
        <f t="shared" si="189"/>
        <v>Medium</v>
      </c>
      <c r="O3038" t="str">
        <f t="shared" si="190"/>
        <v>High Balance</v>
      </c>
      <c r="P3038" t="str">
        <f t="shared" si="191"/>
        <v>New</v>
      </c>
    </row>
    <row r="3039" spans="1:16" x14ac:dyDescent="0.25">
      <c r="A3039">
        <v>2025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  <c r="M3039" t="str">
        <f t="shared" si="188"/>
        <v>&lt;30</v>
      </c>
      <c r="N3039" t="str">
        <f t="shared" si="189"/>
        <v>Medium</v>
      </c>
      <c r="O3039" t="str">
        <f t="shared" si="190"/>
        <v>Zero Balance</v>
      </c>
      <c r="P3039" t="str">
        <f t="shared" si="191"/>
        <v>New</v>
      </c>
    </row>
    <row r="3040" spans="1:16" x14ac:dyDescent="0.25">
      <c r="A3040">
        <v>2025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  <c r="M3040" t="str">
        <f t="shared" si="188"/>
        <v>46-60</v>
      </c>
      <c r="N3040" t="str">
        <f t="shared" si="189"/>
        <v>High</v>
      </c>
      <c r="O3040" t="str">
        <f t="shared" si="190"/>
        <v>Zero Balance</v>
      </c>
      <c r="P3040" t="str">
        <f t="shared" si="191"/>
        <v>Long-term</v>
      </c>
    </row>
    <row r="3041" spans="1:16" x14ac:dyDescent="0.25">
      <c r="A3041">
        <v>2025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  <c r="M3041" t="str">
        <f t="shared" si="188"/>
        <v>&lt;30</v>
      </c>
      <c r="N3041" t="str">
        <f t="shared" si="189"/>
        <v>High</v>
      </c>
      <c r="O3041" t="str">
        <f t="shared" si="190"/>
        <v>High Balance</v>
      </c>
      <c r="P3041" t="str">
        <f t="shared" si="191"/>
        <v>Long-term</v>
      </c>
    </row>
    <row r="3042" spans="1:16" x14ac:dyDescent="0.25">
      <c r="A3042">
        <v>2025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  <c r="M3042" t="str">
        <f t="shared" si="188"/>
        <v>30-45</v>
      </c>
      <c r="N3042" t="str">
        <f t="shared" si="189"/>
        <v>High</v>
      </c>
      <c r="O3042" t="str">
        <f t="shared" si="190"/>
        <v>Zero Balance</v>
      </c>
      <c r="P3042" t="str">
        <f t="shared" si="191"/>
        <v>Mid-term</v>
      </c>
    </row>
    <row r="3043" spans="1:16" x14ac:dyDescent="0.25">
      <c r="A3043">
        <v>2025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  <c r="M3043" t="str">
        <f t="shared" si="188"/>
        <v>30-45</v>
      </c>
      <c r="N3043" t="str">
        <f t="shared" si="189"/>
        <v>Medium</v>
      </c>
      <c r="O3043" t="str">
        <f t="shared" si="190"/>
        <v>High Balance</v>
      </c>
      <c r="P3043" t="str">
        <f t="shared" si="191"/>
        <v>Mid-term</v>
      </c>
    </row>
    <row r="3044" spans="1:16" x14ac:dyDescent="0.25">
      <c r="A3044">
        <v>2025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  <c r="M3044" t="str">
        <f t="shared" si="188"/>
        <v>&lt;30</v>
      </c>
      <c r="N3044" t="str">
        <f t="shared" si="189"/>
        <v>High</v>
      </c>
      <c r="O3044" t="str">
        <f t="shared" si="190"/>
        <v>High Balance</v>
      </c>
      <c r="P3044" t="str">
        <f t="shared" si="191"/>
        <v>Long-term</v>
      </c>
    </row>
    <row r="3045" spans="1:16" x14ac:dyDescent="0.25">
      <c r="A3045">
        <v>2025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  <c r="M3045" t="str">
        <f t="shared" si="188"/>
        <v>30-45</v>
      </c>
      <c r="N3045" t="str">
        <f t="shared" si="189"/>
        <v>Medium</v>
      </c>
      <c r="O3045" t="str">
        <f t="shared" si="190"/>
        <v>Zero Balance</v>
      </c>
      <c r="P3045" t="str">
        <f t="shared" si="191"/>
        <v>New</v>
      </c>
    </row>
    <row r="3046" spans="1:16" x14ac:dyDescent="0.25">
      <c r="A3046">
        <v>2025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  <c r="M3046" t="str">
        <f t="shared" si="188"/>
        <v>&lt;30</v>
      </c>
      <c r="N3046" t="str">
        <f t="shared" si="189"/>
        <v>Medium</v>
      </c>
      <c r="O3046" t="str">
        <f t="shared" si="190"/>
        <v>Low Balance</v>
      </c>
      <c r="P3046" t="str">
        <f t="shared" si="191"/>
        <v>New</v>
      </c>
    </row>
    <row r="3047" spans="1:16" x14ac:dyDescent="0.25">
      <c r="A3047">
        <v>2025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  <c r="M3047" t="str">
        <f t="shared" si="188"/>
        <v>&lt;30</v>
      </c>
      <c r="N3047" t="str">
        <f t="shared" si="189"/>
        <v>Medium</v>
      </c>
      <c r="O3047" t="str">
        <f t="shared" si="190"/>
        <v>Low Balance</v>
      </c>
      <c r="P3047" t="str">
        <f t="shared" si="191"/>
        <v>New</v>
      </c>
    </row>
    <row r="3048" spans="1:16" x14ac:dyDescent="0.25">
      <c r="A3048">
        <v>2025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  <c r="M3048" t="str">
        <f t="shared" si="188"/>
        <v>30-45</v>
      </c>
      <c r="N3048" t="str">
        <f t="shared" si="189"/>
        <v>Medium</v>
      </c>
      <c r="O3048" t="str">
        <f t="shared" si="190"/>
        <v>High Balance</v>
      </c>
      <c r="P3048" t="str">
        <f t="shared" si="191"/>
        <v>New</v>
      </c>
    </row>
    <row r="3049" spans="1:16" x14ac:dyDescent="0.25">
      <c r="A3049">
        <v>2025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  <c r="M3049" t="str">
        <f t="shared" si="188"/>
        <v>46-60</v>
      </c>
      <c r="N3049" t="str">
        <f t="shared" si="189"/>
        <v>High</v>
      </c>
      <c r="O3049" t="str">
        <f t="shared" si="190"/>
        <v>Zero Balance</v>
      </c>
      <c r="P3049" t="str">
        <f t="shared" si="191"/>
        <v>Mid-term</v>
      </c>
    </row>
    <row r="3050" spans="1:16" x14ac:dyDescent="0.25">
      <c r="A3050">
        <v>2025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  <c r="M3050" t="str">
        <f t="shared" si="188"/>
        <v>30-45</v>
      </c>
      <c r="N3050" t="str">
        <f t="shared" si="189"/>
        <v>High</v>
      </c>
      <c r="O3050" t="str">
        <f t="shared" si="190"/>
        <v>High Balance</v>
      </c>
      <c r="P3050" t="str">
        <f t="shared" si="191"/>
        <v>New</v>
      </c>
    </row>
    <row r="3051" spans="1:16" x14ac:dyDescent="0.25">
      <c r="A3051">
        <v>2025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  <c r="M3051" t="str">
        <f t="shared" si="188"/>
        <v>30-45</v>
      </c>
      <c r="N3051" t="str">
        <f t="shared" si="189"/>
        <v>Medium</v>
      </c>
      <c r="O3051" t="str">
        <f t="shared" si="190"/>
        <v>Zero Balance</v>
      </c>
      <c r="P3051" t="str">
        <f t="shared" si="191"/>
        <v>Mid-term</v>
      </c>
    </row>
    <row r="3052" spans="1:16" x14ac:dyDescent="0.25">
      <c r="A3052">
        <v>2025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  <c r="M3052" t="str">
        <f t="shared" si="188"/>
        <v>30-45</v>
      </c>
      <c r="N3052" t="str">
        <f t="shared" si="189"/>
        <v>High</v>
      </c>
      <c r="O3052" t="str">
        <f t="shared" si="190"/>
        <v>Zero Balance</v>
      </c>
      <c r="P3052" t="str">
        <f t="shared" si="191"/>
        <v>Mid-term</v>
      </c>
    </row>
    <row r="3053" spans="1:16" x14ac:dyDescent="0.25">
      <c r="A3053">
        <v>2025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  <c r="M3053" t="str">
        <f t="shared" si="188"/>
        <v>46-60</v>
      </c>
      <c r="N3053" t="str">
        <f t="shared" si="189"/>
        <v>High</v>
      </c>
      <c r="O3053" t="str">
        <f t="shared" si="190"/>
        <v>High Balance</v>
      </c>
      <c r="P3053" t="str">
        <f t="shared" si="191"/>
        <v>New</v>
      </c>
    </row>
    <row r="3054" spans="1:16" x14ac:dyDescent="0.25">
      <c r="A3054">
        <v>2025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  <c r="M3054" t="str">
        <f t="shared" si="188"/>
        <v>30-45</v>
      </c>
      <c r="N3054" t="str">
        <f t="shared" si="189"/>
        <v>Medium</v>
      </c>
      <c r="O3054" t="str">
        <f t="shared" si="190"/>
        <v>Zero Balance</v>
      </c>
      <c r="P3054" t="str">
        <f t="shared" si="191"/>
        <v>New</v>
      </c>
    </row>
    <row r="3055" spans="1:16" x14ac:dyDescent="0.25">
      <c r="A3055">
        <v>2025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  <c r="M3055" t="str">
        <f t="shared" si="188"/>
        <v>30-45</v>
      </c>
      <c r="N3055" t="str">
        <f t="shared" si="189"/>
        <v>Medium</v>
      </c>
      <c r="O3055" t="str">
        <f t="shared" si="190"/>
        <v>Zero Balance</v>
      </c>
      <c r="P3055" t="str">
        <f t="shared" si="191"/>
        <v>Mid-term</v>
      </c>
    </row>
    <row r="3056" spans="1:16" x14ac:dyDescent="0.25">
      <c r="A3056">
        <v>2025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  <c r="M3056" t="str">
        <f t="shared" si="188"/>
        <v>60+</v>
      </c>
      <c r="N3056" t="str">
        <f t="shared" si="189"/>
        <v>Medium</v>
      </c>
      <c r="O3056" t="str">
        <f t="shared" si="190"/>
        <v>Low Balance</v>
      </c>
      <c r="P3056" t="str">
        <f t="shared" si="191"/>
        <v>New</v>
      </c>
    </row>
    <row r="3057" spans="1:16" x14ac:dyDescent="0.25">
      <c r="A3057">
        <v>2025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  <c r="M3057" t="str">
        <f t="shared" si="188"/>
        <v>30-45</v>
      </c>
      <c r="N3057" t="str">
        <f t="shared" si="189"/>
        <v>High</v>
      </c>
      <c r="O3057" t="str">
        <f t="shared" si="190"/>
        <v>High Balance</v>
      </c>
      <c r="P3057" t="str">
        <f t="shared" si="191"/>
        <v>Mid-term</v>
      </c>
    </row>
    <row r="3058" spans="1:16" x14ac:dyDescent="0.25">
      <c r="A3058">
        <v>2025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  <c r="M3058" t="str">
        <f t="shared" si="188"/>
        <v>46-60</v>
      </c>
      <c r="N3058" t="str">
        <f t="shared" si="189"/>
        <v>Medium</v>
      </c>
      <c r="O3058" t="str">
        <f t="shared" si="190"/>
        <v>High Balance</v>
      </c>
      <c r="P3058" t="str">
        <f t="shared" si="191"/>
        <v>New</v>
      </c>
    </row>
    <row r="3059" spans="1:16" x14ac:dyDescent="0.25">
      <c r="A3059">
        <v>2025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  <c r="M3059" t="str">
        <f t="shared" si="188"/>
        <v>30-45</v>
      </c>
      <c r="N3059" t="str">
        <f t="shared" si="189"/>
        <v>Medium</v>
      </c>
      <c r="O3059" t="str">
        <f t="shared" si="190"/>
        <v>High Balance</v>
      </c>
      <c r="P3059" t="str">
        <f t="shared" si="191"/>
        <v>New</v>
      </c>
    </row>
    <row r="3060" spans="1:16" x14ac:dyDescent="0.25">
      <c r="A3060">
        <v>2025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  <c r="M3060" t="str">
        <f t="shared" si="188"/>
        <v>46-60</v>
      </c>
      <c r="N3060" t="str">
        <f t="shared" si="189"/>
        <v>Medium</v>
      </c>
      <c r="O3060" t="str">
        <f t="shared" si="190"/>
        <v>Zero Balance</v>
      </c>
      <c r="P3060" t="str">
        <f t="shared" si="191"/>
        <v>Long-term</v>
      </c>
    </row>
    <row r="3061" spans="1:16" x14ac:dyDescent="0.25">
      <c r="A3061">
        <v>2025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  <c r="M3061" t="str">
        <f t="shared" si="188"/>
        <v>30-45</v>
      </c>
      <c r="N3061" t="str">
        <f t="shared" si="189"/>
        <v>Medium</v>
      </c>
      <c r="O3061" t="str">
        <f t="shared" si="190"/>
        <v>Zero Balance</v>
      </c>
      <c r="P3061" t="str">
        <f t="shared" si="191"/>
        <v>Long-term</v>
      </c>
    </row>
    <row r="3062" spans="1:16" x14ac:dyDescent="0.25">
      <c r="A3062">
        <v>2025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  <c r="M3062" t="str">
        <f t="shared" si="188"/>
        <v>30-45</v>
      </c>
      <c r="N3062" t="str">
        <f t="shared" si="189"/>
        <v>Medium</v>
      </c>
      <c r="O3062" t="str">
        <f t="shared" si="190"/>
        <v>Zero Balance</v>
      </c>
      <c r="P3062" t="str">
        <f t="shared" si="191"/>
        <v>Mid-term</v>
      </c>
    </row>
    <row r="3063" spans="1:16" x14ac:dyDescent="0.25">
      <c r="A3063">
        <v>2025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  <c r="M3063" t="str">
        <f t="shared" si="188"/>
        <v>30-45</v>
      </c>
      <c r="N3063" t="str">
        <f t="shared" si="189"/>
        <v>Medium</v>
      </c>
      <c r="O3063" t="str">
        <f t="shared" si="190"/>
        <v>Low Balance</v>
      </c>
      <c r="P3063" t="str">
        <f t="shared" si="191"/>
        <v>New</v>
      </c>
    </row>
    <row r="3064" spans="1:16" x14ac:dyDescent="0.25">
      <c r="A3064">
        <v>2025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  <c r="M3064" t="str">
        <f t="shared" si="188"/>
        <v>30-45</v>
      </c>
      <c r="N3064" t="str">
        <f t="shared" si="189"/>
        <v>Medium</v>
      </c>
      <c r="O3064" t="str">
        <f t="shared" si="190"/>
        <v>Zero Balance</v>
      </c>
      <c r="P3064" t="str">
        <f t="shared" si="191"/>
        <v>Long-term</v>
      </c>
    </row>
    <row r="3065" spans="1:16" x14ac:dyDescent="0.25">
      <c r="A3065">
        <v>2025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  <c r="M3065" t="str">
        <f t="shared" si="188"/>
        <v>30-45</v>
      </c>
      <c r="N3065" t="str">
        <f t="shared" si="189"/>
        <v>Medium</v>
      </c>
      <c r="O3065" t="str">
        <f t="shared" si="190"/>
        <v>Low Balance</v>
      </c>
      <c r="P3065" t="str">
        <f t="shared" si="191"/>
        <v>Mid-term</v>
      </c>
    </row>
    <row r="3066" spans="1:16" x14ac:dyDescent="0.25">
      <c r="A3066">
        <v>2025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  <c r="M3066" t="str">
        <f t="shared" si="188"/>
        <v>30-45</v>
      </c>
      <c r="N3066" t="str">
        <f t="shared" si="189"/>
        <v>Medium</v>
      </c>
      <c r="O3066" t="str">
        <f t="shared" si="190"/>
        <v>High Balance</v>
      </c>
      <c r="P3066" t="str">
        <f t="shared" si="191"/>
        <v>Mid-term</v>
      </c>
    </row>
    <row r="3067" spans="1:16" x14ac:dyDescent="0.25">
      <c r="A3067">
        <v>2025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  <c r="M3067" t="str">
        <f t="shared" si="188"/>
        <v>30-45</v>
      </c>
      <c r="N3067" t="str">
        <f t="shared" si="189"/>
        <v>Medium</v>
      </c>
      <c r="O3067" t="str">
        <f t="shared" si="190"/>
        <v>High Balance</v>
      </c>
      <c r="P3067" t="str">
        <f t="shared" si="191"/>
        <v>Long-term</v>
      </c>
    </row>
    <row r="3068" spans="1:16" x14ac:dyDescent="0.25">
      <c r="A3068">
        <v>2025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  <c r="M3068" t="str">
        <f t="shared" si="188"/>
        <v>&lt;30</v>
      </c>
      <c r="N3068" t="str">
        <f t="shared" si="189"/>
        <v>Medium</v>
      </c>
      <c r="O3068" t="str">
        <f t="shared" si="190"/>
        <v>Zero Balance</v>
      </c>
      <c r="P3068" t="str">
        <f t="shared" si="191"/>
        <v>Mid-term</v>
      </c>
    </row>
    <row r="3069" spans="1:16" x14ac:dyDescent="0.25">
      <c r="A3069">
        <v>2025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  <c r="M3069" t="str">
        <f t="shared" si="188"/>
        <v>30-45</v>
      </c>
      <c r="N3069" t="str">
        <f t="shared" si="189"/>
        <v>High</v>
      </c>
      <c r="O3069" t="str">
        <f t="shared" si="190"/>
        <v>High Balance</v>
      </c>
      <c r="P3069" t="str">
        <f t="shared" si="191"/>
        <v>Long-term</v>
      </c>
    </row>
    <row r="3070" spans="1:16" x14ac:dyDescent="0.25">
      <c r="A3070">
        <v>2025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  <c r="M3070" t="str">
        <f t="shared" si="188"/>
        <v>30-45</v>
      </c>
      <c r="N3070" t="str">
        <f t="shared" si="189"/>
        <v>Medium</v>
      </c>
      <c r="O3070" t="str">
        <f t="shared" si="190"/>
        <v>High Balance</v>
      </c>
      <c r="P3070" t="str">
        <f t="shared" si="191"/>
        <v>Mid-term</v>
      </c>
    </row>
    <row r="3071" spans="1:16" x14ac:dyDescent="0.25">
      <c r="A3071">
        <v>2025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  <c r="M3071" t="str">
        <f t="shared" si="188"/>
        <v>30-45</v>
      </c>
      <c r="N3071" t="str">
        <f t="shared" si="189"/>
        <v>Medium</v>
      </c>
      <c r="O3071" t="str">
        <f t="shared" si="190"/>
        <v>High Balance</v>
      </c>
      <c r="P3071" t="str">
        <f t="shared" si="191"/>
        <v>Mid-term</v>
      </c>
    </row>
    <row r="3072" spans="1:16" x14ac:dyDescent="0.25">
      <c r="A3072">
        <v>2025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  <c r="M3072" t="str">
        <f t="shared" si="188"/>
        <v>30-45</v>
      </c>
      <c r="N3072" t="str">
        <f t="shared" si="189"/>
        <v>Medium</v>
      </c>
      <c r="O3072" t="str">
        <f t="shared" si="190"/>
        <v>Zero Balance</v>
      </c>
      <c r="P3072" t="str">
        <f t="shared" si="191"/>
        <v>New</v>
      </c>
    </row>
    <row r="3073" spans="1:16" x14ac:dyDescent="0.25">
      <c r="A3073">
        <v>2025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  <c r="M3073" t="str">
        <f t="shared" si="188"/>
        <v>30-45</v>
      </c>
      <c r="N3073" t="str">
        <f t="shared" si="189"/>
        <v>High</v>
      </c>
      <c r="O3073" t="str">
        <f t="shared" si="190"/>
        <v>Zero Balance</v>
      </c>
      <c r="P3073" t="str">
        <f t="shared" si="191"/>
        <v>Mid-term</v>
      </c>
    </row>
    <row r="3074" spans="1:16" x14ac:dyDescent="0.25">
      <c r="A3074">
        <v>2025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  <c r="M3074" t="str">
        <f t="shared" si="188"/>
        <v>30-45</v>
      </c>
      <c r="N3074" t="str">
        <f t="shared" si="189"/>
        <v>High</v>
      </c>
      <c r="O3074" t="str">
        <f t="shared" si="190"/>
        <v>High Balance</v>
      </c>
      <c r="P3074" t="str">
        <f t="shared" si="191"/>
        <v>Long-term</v>
      </c>
    </row>
    <row r="3075" spans="1:16" x14ac:dyDescent="0.25">
      <c r="A3075">
        <v>2025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  <c r="M3075" t="str">
        <f t="shared" ref="M3075:M3138" si="192">IF(E3075&lt;30,"&lt;30",IF(E3075&lt;=45,"30-45",IF(E3075&lt;=60,"46-60","60+")))</f>
        <v>30-45</v>
      </c>
      <c r="N3075" t="str">
        <f t="shared" ref="N3075:N3138" si="193">IF(B3075&lt;500,"Low",IF(B3075&lt;700,"Medium","High"))</f>
        <v>Medium</v>
      </c>
      <c r="O3075" t="str">
        <f t="shared" ref="O3075:O3138" si="194">IF(G3075=0,"Zero Balance",IF(G3075&lt;100000,"Low Balance","High Balance"))</f>
        <v>High Balance</v>
      </c>
      <c r="P3075" t="str">
        <f t="shared" ref="P3075:P3138" si="195">IF(F3075&lt;=3,"New",IF(F3075&lt;=7,"Mid-term","Long-term"))</f>
        <v>New</v>
      </c>
    </row>
    <row r="3076" spans="1:16" x14ac:dyDescent="0.25">
      <c r="A3076">
        <v>2025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  <c r="M3076" t="str">
        <f t="shared" si="192"/>
        <v>30-45</v>
      </c>
      <c r="N3076" t="str">
        <f t="shared" si="193"/>
        <v>Medium</v>
      </c>
      <c r="O3076" t="str">
        <f t="shared" si="194"/>
        <v>High Balance</v>
      </c>
      <c r="P3076" t="str">
        <f t="shared" si="195"/>
        <v>Mid-term</v>
      </c>
    </row>
    <row r="3077" spans="1:16" x14ac:dyDescent="0.25">
      <c r="A3077">
        <v>2025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  <c r="M3077" t="str">
        <f t="shared" si="192"/>
        <v>30-45</v>
      </c>
      <c r="N3077" t="str">
        <f t="shared" si="193"/>
        <v>Medium</v>
      </c>
      <c r="O3077" t="str">
        <f t="shared" si="194"/>
        <v>Zero Balance</v>
      </c>
      <c r="P3077" t="str">
        <f t="shared" si="195"/>
        <v>Long-term</v>
      </c>
    </row>
    <row r="3078" spans="1:16" x14ac:dyDescent="0.25">
      <c r="A3078">
        <v>2025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  <c r="M3078" t="str">
        <f t="shared" si="192"/>
        <v>30-45</v>
      </c>
      <c r="N3078" t="str">
        <f t="shared" si="193"/>
        <v>Medium</v>
      </c>
      <c r="O3078" t="str">
        <f t="shared" si="194"/>
        <v>High Balance</v>
      </c>
      <c r="P3078" t="str">
        <f t="shared" si="195"/>
        <v>New</v>
      </c>
    </row>
    <row r="3079" spans="1:16" x14ac:dyDescent="0.25">
      <c r="A3079">
        <v>2025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  <c r="M3079" t="str">
        <f t="shared" si="192"/>
        <v>30-45</v>
      </c>
      <c r="N3079" t="str">
        <f t="shared" si="193"/>
        <v>Medium</v>
      </c>
      <c r="O3079" t="str">
        <f t="shared" si="194"/>
        <v>High Balance</v>
      </c>
      <c r="P3079" t="str">
        <f t="shared" si="195"/>
        <v>Mid-term</v>
      </c>
    </row>
    <row r="3080" spans="1:16" x14ac:dyDescent="0.25">
      <c r="A3080">
        <v>2025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  <c r="M3080" t="str">
        <f t="shared" si="192"/>
        <v>30-45</v>
      </c>
      <c r="N3080" t="str">
        <f t="shared" si="193"/>
        <v>Medium</v>
      </c>
      <c r="O3080" t="str">
        <f t="shared" si="194"/>
        <v>Zero Balance</v>
      </c>
      <c r="P3080" t="str">
        <f t="shared" si="195"/>
        <v>Mid-term</v>
      </c>
    </row>
    <row r="3081" spans="1:16" x14ac:dyDescent="0.25">
      <c r="A3081">
        <v>2025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  <c r="M3081" t="str">
        <f t="shared" si="192"/>
        <v>30-45</v>
      </c>
      <c r="N3081" t="str">
        <f t="shared" si="193"/>
        <v>High</v>
      </c>
      <c r="O3081" t="str">
        <f t="shared" si="194"/>
        <v>High Balance</v>
      </c>
      <c r="P3081" t="str">
        <f t="shared" si="195"/>
        <v>New</v>
      </c>
    </row>
    <row r="3082" spans="1:16" x14ac:dyDescent="0.25">
      <c r="A3082">
        <v>2025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  <c r="M3082" t="str">
        <f t="shared" si="192"/>
        <v>&lt;30</v>
      </c>
      <c r="N3082" t="str">
        <f t="shared" si="193"/>
        <v>Low</v>
      </c>
      <c r="O3082" t="str">
        <f t="shared" si="194"/>
        <v>Zero Balance</v>
      </c>
      <c r="P3082" t="str">
        <f t="shared" si="195"/>
        <v>New</v>
      </c>
    </row>
    <row r="3083" spans="1:16" x14ac:dyDescent="0.25">
      <c r="A3083">
        <v>2025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  <c r="M3083" t="str">
        <f t="shared" si="192"/>
        <v>&lt;30</v>
      </c>
      <c r="N3083" t="str">
        <f t="shared" si="193"/>
        <v>Medium</v>
      </c>
      <c r="O3083" t="str">
        <f t="shared" si="194"/>
        <v>High Balance</v>
      </c>
      <c r="P3083" t="str">
        <f t="shared" si="195"/>
        <v>New</v>
      </c>
    </row>
    <row r="3084" spans="1:16" x14ac:dyDescent="0.25">
      <c r="A3084">
        <v>2025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  <c r="M3084" t="str">
        <f t="shared" si="192"/>
        <v>30-45</v>
      </c>
      <c r="N3084" t="str">
        <f t="shared" si="193"/>
        <v>Low</v>
      </c>
      <c r="O3084" t="str">
        <f t="shared" si="194"/>
        <v>High Balance</v>
      </c>
      <c r="P3084" t="str">
        <f t="shared" si="195"/>
        <v>Mid-term</v>
      </c>
    </row>
    <row r="3085" spans="1:16" x14ac:dyDescent="0.25">
      <c r="A3085">
        <v>2025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  <c r="M3085" t="str">
        <f t="shared" si="192"/>
        <v>30-45</v>
      </c>
      <c r="N3085" t="str">
        <f t="shared" si="193"/>
        <v>Low</v>
      </c>
      <c r="O3085" t="str">
        <f t="shared" si="194"/>
        <v>Low Balance</v>
      </c>
      <c r="P3085" t="str">
        <f t="shared" si="195"/>
        <v>Mid-term</v>
      </c>
    </row>
    <row r="3086" spans="1:16" x14ac:dyDescent="0.25">
      <c r="A3086">
        <v>2025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  <c r="M3086" t="str">
        <f t="shared" si="192"/>
        <v>30-45</v>
      </c>
      <c r="N3086" t="str">
        <f t="shared" si="193"/>
        <v>High</v>
      </c>
      <c r="O3086" t="str">
        <f t="shared" si="194"/>
        <v>Zero Balance</v>
      </c>
      <c r="P3086" t="str">
        <f t="shared" si="195"/>
        <v>Long-term</v>
      </c>
    </row>
    <row r="3087" spans="1:16" x14ac:dyDescent="0.25">
      <c r="A3087">
        <v>2025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  <c r="M3087" t="str">
        <f t="shared" si="192"/>
        <v>46-60</v>
      </c>
      <c r="N3087" t="str">
        <f t="shared" si="193"/>
        <v>High</v>
      </c>
      <c r="O3087" t="str">
        <f t="shared" si="194"/>
        <v>Zero Balance</v>
      </c>
      <c r="P3087" t="str">
        <f t="shared" si="195"/>
        <v>New</v>
      </c>
    </row>
    <row r="3088" spans="1:16" x14ac:dyDescent="0.25">
      <c r="A3088">
        <v>2025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  <c r="M3088" t="str">
        <f t="shared" si="192"/>
        <v>&lt;30</v>
      </c>
      <c r="N3088" t="str">
        <f t="shared" si="193"/>
        <v>High</v>
      </c>
      <c r="O3088" t="str">
        <f t="shared" si="194"/>
        <v>Zero Balance</v>
      </c>
      <c r="P3088" t="str">
        <f t="shared" si="195"/>
        <v>Long-term</v>
      </c>
    </row>
    <row r="3089" spans="1:16" x14ac:dyDescent="0.25">
      <c r="A3089">
        <v>2025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  <c r="M3089" t="str">
        <f t="shared" si="192"/>
        <v>30-45</v>
      </c>
      <c r="N3089" t="str">
        <f t="shared" si="193"/>
        <v>Low</v>
      </c>
      <c r="O3089" t="str">
        <f t="shared" si="194"/>
        <v>High Balance</v>
      </c>
      <c r="P3089" t="str">
        <f t="shared" si="195"/>
        <v>New</v>
      </c>
    </row>
    <row r="3090" spans="1:16" x14ac:dyDescent="0.25">
      <c r="A3090">
        <v>2025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  <c r="M3090" t="str">
        <f t="shared" si="192"/>
        <v>&lt;30</v>
      </c>
      <c r="N3090" t="str">
        <f t="shared" si="193"/>
        <v>Medium</v>
      </c>
      <c r="O3090" t="str">
        <f t="shared" si="194"/>
        <v>Low Balance</v>
      </c>
      <c r="P3090" t="str">
        <f t="shared" si="195"/>
        <v>Mid-term</v>
      </c>
    </row>
    <row r="3091" spans="1:16" x14ac:dyDescent="0.25">
      <c r="A3091">
        <v>2025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  <c r="M3091" t="str">
        <f t="shared" si="192"/>
        <v>30-45</v>
      </c>
      <c r="N3091" t="str">
        <f t="shared" si="193"/>
        <v>High</v>
      </c>
      <c r="O3091" t="str">
        <f t="shared" si="194"/>
        <v>Low Balance</v>
      </c>
      <c r="P3091" t="str">
        <f t="shared" si="195"/>
        <v>Long-term</v>
      </c>
    </row>
    <row r="3092" spans="1:16" x14ac:dyDescent="0.25">
      <c r="A3092">
        <v>2025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  <c r="M3092" t="str">
        <f t="shared" si="192"/>
        <v>30-45</v>
      </c>
      <c r="N3092" t="str">
        <f t="shared" si="193"/>
        <v>High</v>
      </c>
      <c r="O3092" t="str">
        <f t="shared" si="194"/>
        <v>Low Balance</v>
      </c>
      <c r="P3092" t="str">
        <f t="shared" si="195"/>
        <v>New</v>
      </c>
    </row>
    <row r="3093" spans="1:16" x14ac:dyDescent="0.25">
      <c r="A3093">
        <v>2025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  <c r="M3093" t="str">
        <f t="shared" si="192"/>
        <v>30-45</v>
      </c>
      <c r="N3093" t="str">
        <f t="shared" si="193"/>
        <v>Medium</v>
      </c>
      <c r="O3093" t="str">
        <f t="shared" si="194"/>
        <v>Zero Balance</v>
      </c>
      <c r="P3093" t="str">
        <f t="shared" si="195"/>
        <v>New</v>
      </c>
    </row>
    <row r="3094" spans="1:16" x14ac:dyDescent="0.25">
      <c r="A3094">
        <v>2025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  <c r="M3094" t="str">
        <f t="shared" si="192"/>
        <v>30-45</v>
      </c>
      <c r="N3094" t="str">
        <f t="shared" si="193"/>
        <v>Medium</v>
      </c>
      <c r="O3094" t="str">
        <f t="shared" si="194"/>
        <v>Low Balance</v>
      </c>
      <c r="P3094" t="str">
        <f t="shared" si="195"/>
        <v>New</v>
      </c>
    </row>
    <row r="3095" spans="1:16" x14ac:dyDescent="0.25">
      <c r="A3095">
        <v>2025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  <c r="M3095" t="str">
        <f t="shared" si="192"/>
        <v>30-45</v>
      </c>
      <c r="N3095" t="str">
        <f t="shared" si="193"/>
        <v>Medium</v>
      </c>
      <c r="O3095" t="str">
        <f t="shared" si="194"/>
        <v>High Balance</v>
      </c>
      <c r="P3095" t="str">
        <f t="shared" si="195"/>
        <v>Mid-term</v>
      </c>
    </row>
    <row r="3096" spans="1:16" x14ac:dyDescent="0.25">
      <c r="A3096">
        <v>2025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  <c r="M3096" t="str">
        <f t="shared" si="192"/>
        <v>&lt;30</v>
      </c>
      <c r="N3096" t="str">
        <f t="shared" si="193"/>
        <v>Low</v>
      </c>
      <c r="O3096" t="str">
        <f t="shared" si="194"/>
        <v>High Balance</v>
      </c>
      <c r="P3096" t="str">
        <f t="shared" si="195"/>
        <v>New</v>
      </c>
    </row>
    <row r="3097" spans="1:16" x14ac:dyDescent="0.25">
      <c r="A3097">
        <v>2025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  <c r="M3097" t="str">
        <f t="shared" si="192"/>
        <v>&lt;30</v>
      </c>
      <c r="N3097" t="str">
        <f t="shared" si="193"/>
        <v>High</v>
      </c>
      <c r="O3097" t="str">
        <f t="shared" si="194"/>
        <v>High Balance</v>
      </c>
      <c r="P3097" t="str">
        <f t="shared" si="195"/>
        <v>Mid-term</v>
      </c>
    </row>
    <row r="3098" spans="1:16" x14ac:dyDescent="0.25">
      <c r="A3098">
        <v>2025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  <c r="M3098" t="str">
        <f t="shared" si="192"/>
        <v>46-60</v>
      </c>
      <c r="N3098" t="str">
        <f t="shared" si="193"/>
        <v>Medium</v>
      </c>
      <c r="O3098" t="str">
        <f t="shared" si="194"/>
        <v>Low Balance</v>
      </c>
      <c r="P3098" t="str">
        <f t="shared" si="195"/>
        <v>Long-term</v>
      </c>
    </row>
    <row r="3099" spans="1:16" x14ac:dyDescent="0.25">
      <c r="A3099">
        <v>2025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  <c r="M3099" t="str">
        <f t="shared" si="192"/>
        <v>30-45</v>
      </c>
      <c r="N3099" t="str">
        <f t="shared" si="193"/>
        <v>Low</v>
      </c>
      <c r="O3099" t="str">
        <f t="shared" si="194"/>
        <v>High Balance</v>
      </c>
      <c r="P3099" t="str">
        <f t="shared" si="195"/>
        <v>New</v>
      </c>
    </row>
    <row r="3100" spans="1:16" x14ac:dyDescent="0.25">
      <c r="A3100">
        <v>2025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  <c r="M3100" t="str">
        <f t="shared" si="192"/>
        <v>&lt;30</v>
      </c>
      <c r="N3100" t="str">
        <f t="shared" si="193"/>
        <v>Medium</v>
      </c>
      <c r="O3100" t="str">
        <f t="shared" si="194"/>
        <v>Zero Balance</v>
      </c>
      <c r="P3100" t="str">
        <f t="shared" si="195"/>
        <v>New</v>
      </c>
    </row>
    <row r="3101" spans="1:16" x14ac:dyDescent="0.25">
      <c r="A3101">
        <v>2025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  <c r="M3101" t="str">
        <f t="shared" si="192"/>
        <v>46-60</v>
      </c>
      <c r="N3101" t="str">
        <f t="shared" si="193"/>
        <v>Medium</v>
      </c>
      <c r="O3101" t="str">
        <f t="shared" si="194"/>
        <v>Low Balance</v>
      </c>
      <c r="P3101" t="str">
        <f t="shared" si="195"/>
        <v>Long-term</v>
      </c>
    </row>
    <row r="3102" spans="1:16" x14ac:dyDescent="0.25">
      <c r="A3102">
        <v>2025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  <c r="M3102" t="str">
        <f t="shared" si="192"/>
        <v>30-45</v>
      </c>
      <c r="N3102" t="str">
        <f t="shared" si="193"/>
        <v>High</v>
      </c>
      <c r="O3102" t="str">
        <f t="shared" si="194"/>
        <v>Low Balance</v>
      </c>
      <c r="P3102" t="str">
        <f t="shared" si="195"/>
        <v>New</v>
      </c>
    </row>
    <row r="3103" spans="1:16" x14ac:dyDescent="0.25">
      <c r="A3103">
        <v>2025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  <c r="M3103" t="str">
        <f t="shared" si="192"/>
        <v>30-45</v>
      </c>
      <c r="N3103" t="str">
        <f t="shared" si="193"/>
        <v>High</v>
      </c>
      <c r="O3103" t="str">
        <f t="shared" si="194"/>
        <v>High Balance</v>
      </c>
      <c r="P3103" t="str">
        <f t="shared" si="195"/>
        <v>Long-term</v>
      </c>
    </row>
    <row r="3104" spans="1:16" x14ac:dyDescent="0.25">
      <c r="A3104">
        <v>2025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  <c r="M3104" t="str">
        <f t="shared" si="192"/>
        <v>&lt;30</v>
      </c>
      <c r="N3104" t="str">
        <f t="shared" si="193"/>
        <v>Medium</v>
      </c>
      <c r="O3104" t="str">
        <f t="shared" si="194"/>
        <v>Zero Balance</v>
      </c>
      <c r="P3104" t="str">
        <f t="shared" si="195"/>
        <v>New</v>
      </c>
    </row>
    <row r="3105" spans="1:16" x14ac:dyDescent="0.25">
      <c r="A3105">
        <v>2025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  <c r="M3105" t="str">
        <f t="shared" si="192"/>
        <v>46-60</v>
      </c>
      <c r="N3105" t="str">
        <f t="shared" si="193"/>
        <v>Medium</v>
      </c>
      <c r="O3105" t="str">
        <f t="shared" si="194"/>
        <v>Zero Balance</v>
      </c>
      <c r="P3105" t="str">
        <f t="shared" si="195"/>
        <v>Long-term</v>
      </c>
    </row>
    <row r="3106" spans="1:16" x14ac:dyDescent="0.25">
      <c r="A3106">
        <v>2025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  <c r="M3106" t="str">
        <f t="shared" si="192"/>
        <v>30-45</v>
      </c>
      <c r="N3106" t="str">
        <f t="shared" si="193"/>
        <v>Medium</v>
      </c>
      <c r="O3106" t="str">
        <f t="shared" si="194"/>
        <v>High Balance</v>
      </c>
      <c r="P3106" t="str">
        <f t="shared" si="195"/>
        <v>Mid-term</v>
      </c>
    </row>
    <row r="3107" spans="1:16" x14ac:dyDescent="0.25">
      <c r="A3107">
        <v>2025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  <c r="M3107" t="str">
        <f t="shared" si="192"/>
        <v>&lt;30</v>
      </c>
      <c r="N3107" t="str">
        <f t="shared" si="193"/>
        <v>Medium</v>
      </c>
      <c r="O3107" t="str">
        <f t="shared" si="194"/>
        <v>Zero Balance</v>
      </c>
      <c r="P3107" t="str">
        <f t="shared" si="195"/>
        <v>Mid-term</v>
      </c>
    </row>
    <row r="3108" spans="1:16" x14ac:dyDescent="0.25">
      <c r="A3108">
        <v>2025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  <c r="M3108" t="str">
        <f t="shared" si="192"/>
        <v>30-45</v>
      </c>
      <c r="N3108" t="str">
        <f t="shared" si="193"/>
        <v>Medium</v>
      </c>
      <c r="O3108" t="str">
        <f t="shared" si="194"/>
        <v>Zero Balance</v>
      </c>
      <c r="P3108" t="str">
        <f t="shared" si="195"/>
        <v>Mid-term</v>
      </c>
    </row>
    <row r="3109" spans="1:16" x14ac:dyDescent="0.25">
      <c r="A3109">
        <v>2025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  <c r="M3109" t="str">
        <f t="shared" si="192"/>
        <v>30-45</v>
      </c>
      <c r="N3109" t="str">
        <f t="shared" si="193"/>
        <v>Medium</v>
      </c>
      <c r="O3109" t="str">
        <f t="shared" si="194"/>
        <v>High Balance</v>
      </c>
      <c r="P3109" t="str">
        <f t="shared" si="195"/>
        <v>New</v>
      </c>
    </row>
    <row r="3110" spans="1:16" x14ac:dyDescent="0.25">
      <c r="A3110">
        <v>2025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  <c r="M3110" t="str">
        <f t="shared" si="192"/>
        <v>&lt;30</v>
      </c>
      <c r="N3110" t="str">
        <f t="shared" si="193"/>
        <v>Medium</v>
      </c>
      <c r="O3110" t="str">
        <f t="shared" si="194"/>
        <v>Zero Balance</v>
      </c>
      <c r="P3110" t="str">
        <f t="shared" si="195"/>
        <v>New</v>
      </c>
    </row>
    <row r="3111" spans="1:16" x14ac:dyDescent="0.25">
      <c r="A3111">
        <v>2025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  <c r="M3111" t="str">
        <f t="shared" si="192"/>
        <v>46-60</v>
      </c>
      <c r="N3111" t="str">
        <f t="shared" si="193"/>
        <v>High</v>
      </c>
      <c r="O3111" t="str">
        <f t="shared" si="194"/>
        <v>High Balance</v>
      </c>
      <c r="P3111" t="str">
        <f t="shared" si="195"/>
        <v>Long-term</v>
      </c>
    </row>
    <row r="3112" spans="1:16" x14ac:dyDescent="0.25">
      <c r="A3112">
        <v>2025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  <c r="M3112" t="str">
        <f t="shared" si="192"/>
        <v>60+</v>
      </c>
      <c r="N3112" t="str">
        <f t="shared" si="193"/>
        <v>Medium</v>
      </c>
      <c r="O3112" t="str">
        <f t="shared" si="194"/>
        <v>High Balance</v>
      </c>
      <c r="P3112" t="str">
        <f t="shared" si="195"/>
        <v>Long-term</v>
      </c>
    </row>
    <row r="3113" spans="1:16" x14ac:dyDescent="0.25">
      <c r="A3113">
        <v>2025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  <c r="M3113" t="str">
        <f t="shared" si="192"/>
        <v>30-45</v>
      </c>
      <c r="N3113" t="str">
        <f t="shared" si="193"/>
        <v>Medium</v>
      </c>
      <c r="O3113" t="str">
        <f t="shared" si="194"/>
        <v>High Balance</v>
      </c>
      <c r="P3113" t="str">
        <f t="shared" si="195"/>
        <v>New</v>
      </c>
    </row>
    <row r="3114" spans="1:16" x14ac:dyDescent="0.25">
      <c r="A3114">
        <v>2025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  <c r="M3114" t="str">
        <f t="shared" si="192"/>
        <v>30-45</v>
      </c>
      <c r="N3114" t="str">
        <f t="shared" si="193"/>
        <v>Medium</v>
      </c>
      <c r="O3114" t="str">
        <f t="shared" si="194"/>
        <v>High Balance</v>
      </c>
      <c r="P3114" t="str">
        <f t="shared" si="195"/>
        <v>Mid-term</v>
      </c>
    </row>
    <row r="3115" spans="1:16" x14ac:dyDescent="0.25">
      <c r="A3115">
        <v>2025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  <c r="M3115" t="str">
        <f t="shared" si="192"/>
        <v>30-45</v>
      </c>
      <c r="N3115" t="str">
        <f t="shared" si="193"/>
        <v>Medium</v>
      </c>
      <c r="O3115" t="str">
        <f t="shared" si="194"/>
        <v>Zero Balance</v>
      </c>
      <c r="P3115" t="str">
        <f t="shared" si="195"/>
        <v>Mid-term</v>
      </c>
    </row>
    <row r="3116" spans="1:16" x14ac:dyDescent="0.25">
      <c r="A3116">
        <v>2025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  <c r="M3116" t="str">
        <f t="shared" si="192"/>
        <v>30-45</v>
      </c>
      <c r="N3116" t="str">
        <f t="shared" si="193"/>
        <v>Medium</v>
      </c>
      <c r="O3116" t="str">
        <f t="shared" si="194"/>
        <v>Zero Balance</v>
      </c>
      <c r="P3116" t="str">
        <f t="shared" si="195"/>
        <v>Long-term</v>
      </c>
    </row>
    <row r="3117" spans="1:16" x14ac:dyDescent="0.25">
      <c r="A3117">
        <v>2025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  <c r="M3117" t="str">
        <f t="shared" si="192"/>
        <v>&lt;30</v>
      </c>
      <c r="N3117" t="str">
        <f t="shared" si="193"/>
        <v>Medium</v>
      </c>
      <c r="O3117" t="str">
        <f t="shared" si="194"/>
        <v>Zero Balance</v>
      </c>
      <c r="P3117" t="str">
        <f t="shared" si="195"/>
        <v>Mid-term</v>
      </c>
    </row>
    <row r="3118" spans="1:16" x14ac:dyDescent="0.25">
      <c r="A3118">
        <v>2025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  <c r="M3118" t="str">
        <f t="shared" si="192"/>
        <v>30-45</v>
      </c>
      <c r="N3118" t="str">
        <f t="shared" si="193"/>
        <v>High</v>
      </c>
      <c r="O3118" t="str">
        <f t="shared" si="194"/>
        <v>High Balance</v>
      </c>
      <c r="P3118" t="str">
        <f t="shared" si="195"/>
        <v>Mid-term</v>
      </c>
    </row>
    <row r="3119" spans="1:16" x14ac:dyDescent="0.25">
      <c r="A3119">
        <v>2025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  <c r="M3119" t="str">
        <f t="shared" si="192"/>
        <v>30-45</v>
      </c>
      <c r="N3119" t="str">
        <f t="shared" si="193"/>
        <v>High</v>
      </c>
      <c r="O3119" t="str">
        <f t="shared" si="194"/>
        <v>Low Balance</v>
      </c>
      <c r="P3119" t="str">
        <f t="shared" si="195"/>
        <v>New</v>
      </c>
    </row>
    <row r="3120" spans="1:16" x14ac:dyDescent="0.25">
      <c r="A3120">
        <v>2025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  <c r="M3120" t="str">
        <f t="shared" si="192"/>
        <v>30-45</v>
      </c>
      <c r="N3120" t="str">
        <f t="shared" si="193"/>
        <v>Low</v>
      </c>
      <c r="O3120" t="str">
        <f t="shared" si="194"/>
        <v>Zero Balance</v>
      </c>
      <c r="P3120" t="str">
        <f t="shared" si="195"/>
        <v>Mid-term</v>
      </c>
    </row>
    <row r="3121" spans="1:16" x14ac:dyDescent="0.25">
      <c r="A3121">
        <v>2025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  <c r="M3121" t="str">
        <f t="shared" si="192"/>
        <v>46-60</v>
      </c>
      <c r="N3121" t="str">
        <f t="shared" si="193"/>
        <v>Medium</v>
      </c>
      <c r="O3121" t="str">
        <f t="shared" si="194"/>
        <v>High Balance</v>
      </c>
      <c r="P3121" t="str">
        <f t="shared" si="195"/>
        <v>Mid-term</v>
      </c>
    </row>
    <row r="3122" spans="1:16" x14ac:dyDescent="0.25">
      <c r="A3122">
        <v>2025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  <c r="M3122" t="str">
        <f t="shared" si="192"/>
        <v>&lt;30</v>
      </c>
      <c r="N3122" t="str">
        <f t="shared" si="193"/>
        <v>Medium</v>
      </c>
      <c r="O3122" t="str">
        <f t="shared" si="194"/>
        <v>Zero Balance</v>
      </c>
      <c r="P3122" t="str">
        <f t="shared" si="195"/>
        <v>Mid-term</v>
      </c>
    </row>
    <row r="3123" spans="1:16" x14ac:dyDescent="0.25">
      <c r="A3123">
        <v>2025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  <c r="M3123" t="str">
        <f t="shared" si="192"/>
        <v>&lt;30</v>
      </c>
      <c r="N3123" t="str">
        <f t="shared" si="193"/>
        <v>Medium</v>
      </c>
      <c r="O3123" t="str">
        <f t="shared" si="194"/>
        <v>High Balance</v>
      </c>
      <c r="P3123" t="str">
        <f t="shared" si="195"/>
        <v>New</v>
      </c>
    </row>
    <row r="3124" spans="1:16" x14ac:dyDescent="0.25">
      <c r="A3124">
        <v>2025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  <c r="M3124" t="str">
        <f t="shared" si="192"/>
        <v>&lt;30</v>
      </c>
      <c r="N3124" t="str">
        <f t="shared" si="193"/>
        <v>Medium</v>
      </c>
      <c r="O3124" t="str">
        <f t="shared" si="194"/>
        <v>High Balance</v>
      </c>
      <c r="P3124" t="str">
        <f t="shared" si="195"/>
        <v>Mid-term</v>
      </c>
    </row>
    <row r="3125" spans="1:16" x14ac:dyDescent="0.25">
      <c r="A3125">
        <v>2025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  <c r="M3125" t="str">
        <f t="shared" si="192"/>
        <v>30-45</v>
      </c>
      <c r="N3125" t="str">
        <f t="shared" si="193"/>
        <v>Medium</v>
      </c>
      <c r="O3125" t="str">
        <f t="shared" si="194"/>
        <v>Low Balance</v>
      </c>
      <c r="P3125" t="str">
        <f t="shared" si="195"/>
        <v>Long-term</v>
      </c>
    </row>
    <row r="3126" spans="1:16" x14ac:dyDescent="0.25">
      <c r="A3126">
        <v>2025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  <c r="M3126" t="str">
        <f t="shared" si="192"/>
        <v>30-45</v>
      </c>
      <c r="N3126" t="str">
        <f t="shared" si="193"/>
        <v>High</v>
      </c>
      <c r="O3126" t="str">
        <f t="shared" si="194"/>
        <v>High Balance</v>
      </c>
      <c r="P3126" t="str">
        <f t="shared" si="195"/>
        <v>Mid-term</v>
      </c>
    </row>
    <row r="3127" spans="1:16" x14ac:dyDescent="0.25">
      <c r="A3127">
        <v>2025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  <c r="M3127" t="str">
        <f t="shared" si="192"/>
        <v>&lt;30</v>
      </c>
      <c r="N3127" t="str">
        <f t="shared" si="193"/>
        <v>High</v>
      </c>
      <c r="O3127" t="str">
        <f t="shared" si="194"/>
        <v>High Balance</v>
      </c>
      <c r="P3127" t="str">
        <f t="shared" si="195"/>
        <v>Mid-term</v>
      </c>
    </row>
    <row r="3128" spans="1:16" x14ac:dyDescent="0.25">
      <c r="A3128">
        <v>2025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  <c r="M3128" t="str">
        <f t="shared" si="192"/>
        <v>30-45</v>
      </c>
      <c r="N3128" t="str">
        <f t="shared" si="193"/>
        <v>Medium</v>
      </c>
      <c r="O3128" t="str">
        <f t="shared" si="194"/>
        <v>High Balance</v>
      </c>
      <c r="P3128" t="str">
        <f t="shared" si="195"/>
        <v>Mid-term</v>
      </c>
    </row>
    <row r="3129" spans="1:16" x14ac:dyDescent="0.25">
      <c r="A3129">
        <v>2025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  <c r="M3129" t="str">
        <f t="shared" si="192"/>
        <v>30-45</v>
      </c>
      <c r="N3129" t="str">
        <f t="shared" si="193"/>
        <v>High</v>
      </c>
      <c r="O3129" t="str">
        <f t="shared" si="194"/>
        <v>High Balance</v>
      </c>
      <c r="P3129" t="str">
        <f t="shared" si="195"/>
        <v>Long-term</v>
      </c>
    </row>
    <row r="3130" spans="1:16" x14ac:dyDescent="0.25">
      <c r="A3130">
        <v>2025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  <c r="M3130" t="str">
        <f t="shared" si="192"/>
        <v>30-45</v>
      </c>
      <c r="N3130" t="str">
        <f t="shared" si="193"/>
        <v>High</v>
      </c>
      <c r="O3130" t="str">
        <f t="shared" si="194"/>
        <v>High Balance</v>
      </c>
      <c r="P3130" t="str">
        <f t="shared" si="195"/>
        <v>Mid-term</v>
      </c>
    </row>
    <row r="3131" spans="1:16" x14ac:dyDescent="0.25">
      <c r="A3131">
        <v>2025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  <c r="M3131" t="str">
        <f t="shared" si="192"/>
        <v>30-45</v>
      </c>
      <c r="N3131" t="str">
        <f t="shared" si="193"/>
        <v>Medium</v>
      </c>
      <c r="O3131" t="str">
        <f t="shared" si="194"/>
        <v>High Balance</v>
      </c>
      <c r="P3131" t="str">
        <f t="shared" si="195"/>
        <v>Long-term</v>
      </c>
    </row>
    <row r="3132" spans="1:16" x14ac:dyDescent="0.25">
      <c r="A3132">
        <v>2025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  <c r="M3132" t="str">
        <f t="shared" si="192"/>
        <v>46-60</v>
      </c>
      <c r="N3132" t="str">
        <f t="shared" si="193"/>
        <v>High</v>
      </c>
      <c r="O3132" t="str">
        <f t="shared" si="194"/>
        <v>Zero Balance</v>
      </c>
      <c r="P3132" t="str">
        <f t="shared" si="195"/>
        <v>Mid-term</v>
      </c>
    </row>
    <row r="3133" spans="1:16" x14ac:dyDescent="0.25">
      <c r="A3133">
        <v>2025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  <c r="M3133" t="str">
        <f t="shared" si="192"/>
        <v>30-45</v>
      </c>
      <c r="N3133" t="str">
        <f t="shared" si="193"/>
        <v>Medium</v>
      </c>
      <c r="O3133" t="str">
        <f t="shared" si="194"/>
        <v>High Balance</v>
      </c>
      <c r="P3133" t="str">
        <f t="shared" si="195"/>
        <v>New</v>
      </c>
    </row>
    <row r="3134" spans="1:16" x14ac:dyDescent="0.25">
      <c r="A3134">
        <v>2025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  <c r="M3134" t="str">
        <f t="shared" si="192"/>
        <v>30-45</v>
      </c>
      <c r="N3134" t="str">
        <f t="shared" si="193"/>
        <v>Medium</v>
      </c>
      <c r="O3134" t="str">
        <f t="shared" si="194"/>
        <v>High Balance</v>
      </c>
      <c r="P3134" t="str">
        <f t="shared" si="195"/>
        <v>Mid-term</v>
      </c>
    </row>
    <row r="3135" spans="1:16" x14ac:dyDescent="0.25">
      <c r="A3135">
        <v>2025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  <c r="M3135" t="str">
        <f t="shared" si="192"/>
        <v>&lt;30</v>
      </c>
      <c r="N3135" t="str">
        <f t="shared" si="193"/>
        <v>Medium</v>
      </c>
      <c r="O3135" t="str">
        <f t="shared" si="194"/>
        <v>Low Balance</v>
      </c>
      <c r="P3135" t="str">
        <f t="shared" si="195"/>
        <v>New</v>
      </c>
    </row>
    <row r="3136" spans="1:16" x14ac:dyDescent="0.25">
      <c r="A3136">
        <v>2025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  <c r="M3136" t="str">
        <f t="shared" si="192"/>
        <v>30-45</v>
      </c>
      <c r="N3136" t="str">
        <f t="shared" si="193"/>
        <v>Medium</v>
      </c>
      <c r="O3136" t="str">
        <f t="shared" si="194"/>
        <v>High Balance</v>
      </c>
      <c r="P3136" t="str">
        <f t="shared" si="195"/>
        <v>Mid-term</v>
      </c>
    </row>
    <row r="3137" spans="1:16" x14ac:dyDescent="0.25">
      <c r="A3137">
        <v>2025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  <c r="M3137" t="str">
        <f t="shared" si="192"/>
        <v>30-45</v>
      </c>
      <c r="N3137" t="str">
        <f t="shared" si="193"/>
        <v>Medium</v>
      </c>
      <c r="O3137" t="str">
        <f t="shared" si="194"/>
        <v>High Balance</v>
      </c>
      <c r="P3137" t="str">
        <f t="shared" si="195"/>
        <v>Long-term</v>
      </c>
    </row>
    <row r="3138" spans="1:16" x14ac:dyDescent="0.25">
      <c r="A3138">
        <v>2025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  <c r="M3138" t="str">
        <f t="shared" si="192"/>
        <v>30-45</v>
      </c>
      <c r="N3138" t="str">
        <f t="shared" si="193"/>
        <v>Medium</v>
      </c>
      <c r="O3138" t="str">
        <f t="shared" si="194"/>
        <v>Zero Balance</v>
      </c>
      <c r="P3138" t="str">
        <f t="shared" si="195"/>
        <v>New</v>
      </c>
    </row>
    <row r="3139" spans="1:16" x14ac:dyDescent="0.25">
      <c r="A3139">
        <v>2025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  <c r="M3139" t="str">
        <f t="shared" ref="M3139:M3202" si="196">IF(E3139&lt;30,"&lt;30",IF(E3139&lt;=45,"30-45",IF(E3139&lt;=60,"46-60","60+")))</f>
        <v>46-60</v>
      </c>
      <c r="N3139" t="str">
        <f t="shared" ref="N3139:N3202" si="197">IF(B3139&lt;500,"Low",IF(B3139&lt;700,"Medium","High"))</f>
        <v>Medium</v>
      </c>
      <c r="O3139" t="str">
        <f t="shared" ref="O3139:O3202" si="198">IF(G3139=0,"Zero Balance",IF(G3139&lt;100000,"Low Balance","High Balance"))</f>
        <v>Zero Balance</v>
      </c>
      <c r="P3139" t="str">
        <f t="shared" ref="P3139:P3202" si="199">IF(F3139&lt;=3,"New",IF(F3139&lt;=7,"Mid-term","Long-term"))</f>
        <v>Long-term</v>
      </c>
    </row>
    <row r="3140" spans="1:16" x14ac:dyDescent="0.25">
      <c r="A3140">
        <v>2025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  <c r="M3140" t="str">
        <f t="shared" si="196"/>
        <v>46-60</v>
      </c>
      <c r="N3140" t="str">
        <f t="shared" si="197"/>
        <v>High</v>
      </c>
      <c r="O3140" t="str">
        <f t="shared" si="198"/>
        <v>Zero Balance</v>
      </c>
      <c r="P3140" t="str">
        <f t="shared" si="199"/>
        <v>New</v>
      </c>
    </row>
    <row r="3141" spans="1:16" x14ac:dyDescent="0.25">
      <c r="A3141">
        <v>2025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  <c r="M3141" t="str">
        <f t="shared" si="196"/>
        <v>30-45</v>
      </c>
      <c r="N3141" t="str">
        <f t="shared" si="197"/>
        <v>Medium</v>
      </c>
      <c r="O3141" t="str">
        <f t="shared" si="198"/>
        <v>High Balance</v>
      </c>
      <c r="P3141" t="str">
        <f t="shared" si="199"/>
        <v>New</v>
      </c>
    </row>
    <row r="3142" spans="1:16" x14ac:dyDescent="0.25">
      <c r="A3142">
        <v>2025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  <c r="M3142" t="str">
        <f t="shared" si="196"/>
        <v>30-45</v>
      </c>
      <c r="N3142" t="str">
        <f t="shared" si="197"/>
        <v>Medium</v>
      </c>
      <c r="O3142" t="str">
        <f t="shared" si="198"/>
        <v>Zero Balance</v>
      </c>
      <c r="P3142" t="str">
        <f t="shared" si="199"/>
        <v>Mid-term</v>
      </c>
    </row>
    <row r="3143" spans="1:16" x14ac:dyDescent="0.25">
      <c r="A3143">
        <v>2025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  <c r="M3143" t="str">
        <f t="shared" si="196"/>
        <v>&lt;30</v>
      </c>
      <c r="N3143" t="str">
        <f t="shared" si="197"/>
        <v>High</v>
      </c>
      <c r="O3143" t="str">
        <f t="shared" si="198"/>
        <v>High Balance</v>
      </c>
      <c r="P3143" t="str">
        <f t="shared" si="199"/>
        <v>New</v>
      </c>
    </row>
    <row r="3144" spans="1:16" x14ac:dyDescent="0.25">
      <c r="A3144">
        <v>2025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  <c r="M3144" t="str">
        <f t="shared" si="196"/>
        <v>60+</v>
      </c>
      <c r="N3144" t="str">
        <f t="shared" si="197"/>
        <v>Medium</v>
      </c>
      <c r="O3144" t="str">
        <f t="shared" si="198"/>
        <v>Zero Balance</v>
      </c>
      <c r="P3144" t="str">
        <f t="shared" si="199"/>
        <v>Mid-term</v>
      </c>
    </row>
    <row r="3145" spans="1:16" x14ac:dyDescent="0.25">
      <c r="A3145">
        <v>2025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  <c r="M3145" t="str">
        <f t="shared" si="196"/>
        <v>30-45</v>
      </c>
      <c r="N3145" t="str">
        <f t="shared" si="197"/>
        <v>Medium</v>
      </c>
      <c r="O3145" t="str">
        <f t="shared" si="198"/>
        <v>High Balance</v>
      </c>
      <c r="P3145" t="str">
        <f t="shared" si="199"/>
        <v>Long-term</v>
      </c>
    </row>
    <row r="3146" spans="1:16" x14ac:dyDescent="0.25">
      <c r="A3146">
        <v>2025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  <c r="M3146" t="str">
        <f t="shared" si="196"/>
        <v>46-60</v>
      </c>
      <c r="N3146" t="str">
        <f t="shared" si="197"/>
        <v>Medium</v>
      </c>
      <c r="O3146" t="str">
        <f t="shared" si="198"/>
        <v>Low Balance</v>
      </c>
      <c r="P3146" t="str">
        <f t="shared" si="199"/>
        <v>New</v>
      </c>
    </row>
    <row r="3147" spans="1:16" x14ac:dyDescent="0.25">
      <c r="A3147">
        <v>2025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  <c r="M3147" t="str">
        <f t="shared" si="196"/>
        <v>46-60</v>
      </c>
      <c r="N3147" t="str">
        <f t="shared" si="197"/>
        <v>Low</v>
      </c>
      <c r="O3147" t="str">
        <f t="shared" si="198"/>
        <v>Low Balance</v>
      </c>
      <c r="P3147" t="str">
        <f t="shared" si="199"/>
        <v>New</v>
      </c>
    </row>
    <row r="3148" spans="1:16" x14ac:dyDescent="0.25">
      <c r="A3148">
        <v>2025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  <c r="M3148" t="str">
        <f t="shared" si="196"/>
        <v>&lt;30</v>
      </c>
      <c r="N3148" t="str">
        <f t="shared" si="197"/>
        <v>Medium</v>
      </c>
      <c r="O3148" t="str">
        <f t="shared" si="198"/>
        <v>High Balance</v>
      </c>
      <c r="P3148" t="str">
        <f t="shared" si="199"/>
        <v>Long-term</v>
      </c>
    </row>
    <row r="3149" spans="1:16" x14ac:dyDescent="0.25">
      <c r="A3149">
        <v>2025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  <c r="M3149" t="str">
        <f t="shared" si="196"/>
        <v>30-45</v>
      </c>
      <c r="N3149" t="str">
        <f t="shared" si="197"/>
        <v>High</v>
      </c>
      <c r="O3149" t="str">
        <f t="shared" si="198"/>
        <v>Low Balance</v>
      </c>
      <c r="P3149" t="str">
        <f t="shared" si="199"/>
        <v>Mid-term</v>
      </c>
    </row>
    <row r="3150" spans="1:16" x14ac:dyDescent="0.25">
      <c r="A3150">
        <v>2025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  <c r="M3150" t="str">
        <f t="shared" si="196"/>
        <v>30-45</v>
      </c>
      <c r="N3150" t="str">
        <f t="shared" si="197"/>
        <v>Medium</v>
      </c>
      <c r="O3150" t="str">
        <f t="shared" si="198"/>
        <v>High Balance</v>
      </c>
      <c r="P3150" t="str">
        <f t="shared" si="199"/>
        <v>Mid-term</v>
      </c>
    </row>
    <row r="3151" spans="1:16" x14ac:dyDescent="0.25">
      <c r="A3151">
        <v>2025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  <c r="M3151" t="str">
        <f t="shared" si="196"/>
        <v>30-45</v>
      </c>
      <c r="N3151" t="str">
        <f t="shared" si="197"/>
        <v>Medium</v>
      </c>
      <c r="O3151" t="str">
        <f t="shared" si="198"/>
        <v>High Balance</v>
      </c>
      <c r="P3151" t="str">
        <f t="shared" si="199"/>
        <v>Long-term</v>
      </c>
    </row>
    <row r="3152" spans="1:16" x14ac:dyDescent="0.25">
      <c r="A3152">
        <v>2025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  <c r="M3152" t="str">
        <f t="shared" si="196"/>
        <v>30-45</v>
      </c>
      <c r="N3152" t="str">
        <f t="shared" si="197"/>
        <v>Medium</v>
      </c>
      <c r="O3152" t="str">
        <f t="shared" si="198"/>
        <v>High Balance</v>
      </c>
      <c r="P3152" t="str">
        <f t="shared" si="199"/>
        <v>Long-term</v>
      </c>
    </row>
    <row r="3153" spans="1:16" x14ac:dyDescent="0.25">
      <c r="A3153">
        <v>2025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  <c r="M3153" t="str">
        <f t="shared" si="196"/>
        <v>30-45</v>
      </c>
      <c r="N3153" t="str">
        <f t="shared" si="197"/>
        <v>Medium</v>
      </c>
      <c r="O3153" t="str">
        <f t="shared" si="198"/>
        <v>High Balance</v>
      </c>
      <c r="P3153" t="str">
        <f t="shared" si="199"/>
        <v>New</v>
      </c>
    </row>
    <row r="3154" spans="1:16" x14ac:dyDescent="0.25">
      <c r="A3154">
        <v>2025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  <c r="M3154" t="str">
        <f t="shared" si="196"/>
        <v>30-45</v>
      </c>
      <c r="N3154" t="str">
        <f t="shared" si="197"/>
        <v>Medium</v>
      </c>
      <c r="O3154" t="str">
        <f t="shared" si="198"/>
        <v>High Balance</v>
      </c>
      <c r="P3154" t="str">
        <f t="shared" si="199"/>
        <v>Long-term</v>
      </c>
    </row>
    <row r="3155" spans="1:16" x14ac:dyDescent="0.25">
      <c r="A3155">
        <v>2025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  <c r="M3155" t="str">
        <f t="shared" si="196"/>
        <v>&lt;30</v>
      </c>
      <c r="N3155" t="str">
        <f t="shared" si="197"/>
        <v>High</v>
      </c>
      <c r="O3155" t="str">
        <f t="shared" si="198"/>
        <v>High Balance</v>
      </c>
      <c r="P3155" t="str">
        <f t="shared" si="199"/>
        <v>Mid-term</v>
      </c>
    </row>
    <row r="3156" spans="1:16" x14ac:dyDescent="0.25">
      <c r="A3156">
        <v>2025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  <c r="M3156" t="str">
        <f t="shared" si="196"/>
        <v>46-60</v>
      </c>
      <c r="N3156" t="str">
        <f t="shared" si="197"/>
        <v>Medium</v>
      </c>
      <c r="O3156" t="str">
        <f t="shared" si="198"/>
        <v>Zero Balance</v>
      </c>
      <c r="P3156" t="str">
        <f t="shared" si="199"/>
        <v>Mid-term</v>
      </c>
    </row>
    <row r="3157" spans="1:16" x14ac:dyDescent="0.25">
      <c r="A3157">
        <v>2025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  <c r="M3157" t="str">
        <f t="shared" si="196"/>
        <v>30-45</v>
      </c>
      <c r="N3157" t="str">
        <f t="shared" si="197"/>
        <v>Medium</v>
      </c>
      <c r="O3157" t="str">
        <f t="shared" si="198"/>
        <v>Zero Balance</v>
      </c>
      <c r="P3157" t="str">
        <f t="shared" si="199"/>
        <v>Mid-term</v>
      </c>
    </row>
    <row r="3158" spans="1:16" x14ac:dyDescent="0.25">
      <c r="A3158">
        <v>2025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  <c r="M3158" t="str">
        <f t="shared" si="196"/>
        <v>30-45</v>
      </c>
      <c r="N3158" t="str">
        <f t="shared" si="197"/>
        <v>Medium</v>
      </c>
      <c r="O3158" t="str">
        <f t="shared" si="198"/>
        <v>High Balance</v>
      </c>
      <c r="P3158" t="str">
        <f t="shared" si="199"/>
        <v>Long-term</v>
      </c>
    </row>
    <row r="3159" spans="1:16" x14ac:dyDescent="0.25">
      <c r="A3159">
        <v>2025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  <c r="M3159" t="str">
        <f t="shared" si="196"/>
        <v>30-45</v>
      </c>
      <c r="N3159" t="str">
        <f t="shared" si="197"/>
        <v>Medium</v>
      </c>
      <c r="O3159" t="str">
        <f t="shared" si="198"/>
        <v>Zero Balance</v>
      </c>
      <c r="P3159" t="str">
        <f t="shared" si="199"/>
        <v>Mid-term</v>
      </c>
    </row>
    <row r="3160" spans="1:16" x14ac:dyDescent="0.25">
      <c r="A3160">
        <v>2025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  <c r="M3160" t="str">
        <f t="shared" si="196"/>
        <v>30-45</v>
      </c>
      <c r="N3160" t="str">
        <f t="shared" si="197"/>
        <v>Medium</v>
      </c>
      <c r="O3160" t="str">
        <f t="shared" si="198"/>
        <v>High Balance</v>
      </c>
      <c r="P3160" t="str">
        <f t="shared" si="199"/>
        <v>New</v>
      </c>
    </row>
    <row r="3161" spans="1:16" x14ac:dyDescent="0.25">
      <c r="A3161">
        <v>2025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  <c r="M3161" t="str">
        <f t="shared" si="196"/>
        <v>&lt;30</v>
      </c>
      <c r="N3161" t="str">
        <f t="shared" si="197"/>
        <v>High</v>
      </c>
      <c r="O3161" t="str">
        <f t="shared" si="198"/>
        <v>High Balance</v>
      </c>
      <c r="P3161" t="str">
        <f t="shared" si="199"/>
        <v>Mid-term</v>
      </c>
    </row>
    <row r="3162" spans="1:16" x14ac:dyDescent="0.25">
      <c r="A3162">
        <v>2025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  <c r="M3162" t="str">
        <f t="shared" si="196"/>
        <v>&lt;30</v>
      </c>
      <c r="N3162" t="str">
        <f t="shared" si="197"/>
        <v>Medium</v>
      </c>
      <c r="O3162" t="str">
        <f t="shared" si="198"/>
        <v>Zero Balance</v>
      </c>
      <c r="P3162" t="str">
        <f t="shared" si="199"/>
        <v>Mid-term</v>
      </c>
    </row>
    <row r="3163" spans="1:16" x14ac:dyDescent="0.25">
      <c r="A3163">
        <v>2025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  <c r="M3163" t="str">
        <f t="shared" si="196"/>
        <v>30-45</v>
      </c>
      <c r="N3163" t="str">
        <f t="shared" si="197"/>
        <v>Low</v>
      </c>
      <c r="O3163" t="str">
        <f t="shared" si="198"/>
        <v>Zero Balance</v>
      </c>
      <c r="P3163" t="str">
        <f t="shared" si="199"/>
        <v>Long-term</v>
      </c>
    </row>
    <row r="3164" spans="1:16" x14ac:dyDescent="0.25">
      <c r="A3164">
        <v>2025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  <c r="M3164" t="str">
        <f t="shared" si="196"/>
        <v>30-45</v>
      </c>
      <c r="N3164" t="str">
        <f t="shared" si="197"/>
        <v>Medium</v>
      </c>
      <c r="O3164" t="str">
        <f t="shared" si="198"/>
        <v>Low Balance</v>
      </c>
      <c r="P3164" t="str">
        <f t="shared" si="199"/>
        <v>Mid-term</v>
      </c>
    </row>
    <row r="3165" spans="1:16" x14ac:dyDescent="0.25">
      <c r="A3165">
        <v>2025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  <c r="M3165" t="str">
        <f t="shared" si="196"/>
        <v>30-45</v>
      </c>
      <c r="N3165" t="str">
        <f t="shared" si="197"/>
        <v>Medium</v>
      </c>
      <c r="O3165" t="str">
        <f t="shared" si="198"/>
        <v>High Balance</v>
      </c>
      <c r="P3165" t="str">
        <f t="shared" si="199"/>
        <v>Long-term</v>
      </c>
    </row>
    <row r="3166" spans="1:16" x14ac:dyDescent="0.25">
      <c r="A3166">
        <v>2025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  <c r="M3166" t="str">
        <f t="shared" si="196"/>
        <v>30-45</v>
      </c>
      <c r="N3166" t="str">
        <f t="shared" si="197"/>
        <v>Medium</v>
      </c>
      <c r="O3166" t="str">
        <f t="shared" si="198"/>
        <v>Zero Balance</v>
      </c>
      <c r="P3166" t="str">
        <f t="shared" si="199"/>
        <v>Mid-term</v>
      </c>
    </row>
    <row r="3167" spans="1:16" x14ac:dyDescent="0.25">
      <c r="A3167">
        <v>2025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  <c r="M3167" t="str">
        <f t="shared" si="196"/>
        <v>30-45</v>
      </c>
      <c r="N3167" t="str">
        <f t="shared" si="197"/>
        <v>Medium</v>
      </c>
      <c r="O3167" t="str">
        <f t="shared" si="198"/>
        <v>Zero Balance</v>
      </c>
      <c r="P3167" t="str">
        <f t="shared" si="199"/>
        <v>Mid-term</v>
      </c>
    </row>
    <row r="3168" spans="1:16" x14ac:dyDescent="0.25">
      <c r="A3168">
        <v>2025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  <c r="M3168" t="str">
        <f t="shared" si="196"/>
        <v>60+</v>
      </c>
      <c r="N3168" t="str">
        <f t="shared" si="197"/>
        <v>Medium</v>
      </c>
      <c r="O3168" t="str">
        <f t="shared" si="198"/>
        <v>High Balance</v>
      </c>
      <c r="P3168" t="str">
        <f t="shared" si="199"/>
        <v>Mid-term</v>
      </c>
    </row>
    <row r="3169" spans="1:16" x14ac:dyDescent="0.25">
      <c r="A3169">
        <v>2025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  <c r="M3169" t="str">
        <f t="shared" si="196"/>
        <v>46-60</v>
      </c>
      <c r="N3169" t="str">
        <f t="shared" si="197"/>
        <v>Medium</v>
      </c>
      <c r="O3169" t="str">
        <f t="shared" si="198"/>
        <v>High Balance</v>
      </c>
      <c r="P3169" t="str">
        <f t="shared" si="199"/>
        <v>Mid-term</v>
      </c>
    </row>
    <row r="3170" spans="1:16" x14ac:dyDescent="0.25">
      <c r="A3170">
        <v>2025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  <c r="M3170" t="str">
        <f t="shared" si="196"/>
        <v>46-60</v>
      </c>
      <c r="N3170" t="str">
        <f t="shared" si="197"/>
        <v>Medium</v>
      </c>
      <c r="O3170" t="str">
        <f t="shared" si="198"/>
        <v>Zero Balance</v>
      </c>
      <c r="P3170" t="str">
        <f t="shared" si="199"/>
        <v>New</v>
      </c>
    </row>
    <row r="3171" spans="1:16" x14ac:dyDescent="0.25">
      <c r="A3171">
        <v>2025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  <c r="M3171" t="str">
        <f t="shared" si="196"/>
        <v>30-45</v>
      </c>
      <c r="N3171" t="str">
        <f t="shared" si="197"/>
        <v>Medium</v>
      </c>
      <c r="O3171" t="str">
        <f t="shared" si="198"/>
        <v>Zero Balance</v>
      </c>
      <c r="P3171" t="str">
        <f t="shared" si="199"/>
        <v>Mid-term</v>
      </c>
    </row>
    <row r="3172" spans="1:16" x14ac:dyDescent="0.25">
      <c r="A3172">
        <v>2025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  <c r="M3172" t="str">
        <f t="shared" si="196"/>
        <v>30-45</v>
      </c>
      <c r="N3172" t="str">
        <f t="shared" si="197"/>
        <v>High</v>
      </c>
      <c r="O3172" t="str">
        <f t="shared" si="198"/>
        <v>Low Balance</v>
      </c>
      <c r="P3172" t="str">
        <f t="shared" si="199"/>
        <v>New</v>
      </c>
    </row>
    <row r="3173" spans="1:16" x14ac:dyDescent="0.25">
      <c r="A3173">
        <v>2025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  <c r="M3173" t="str">
        <f t="shared" si="196"/>
        <v>46-60</v>
      </c>
      <c r="N3173" t="str">
        <f t="shared" si="197"/>
        <v>High</v>
      </c>
      <c r="O3173" t="str">
        <f t="shared" si="198"/>
        <v>Zero Balance</v>
      </c>
      <c r="P3173" t="str">
        <f t="shared" si="199"/>
        <v>New</v>
      </c>
    </row>
    <row r="3174" spans="1:16" x14ac:dyDescent="0.25">
      <c r="A3174">
        <v>2025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  <c r="M3174" t="str">
        <f t="shared" si="196"/>
        <v>30-45</v>
      </c>
      <c r="N3174" t="str">
        <f t="shared" si="197"/>
        <v>Medium</v>
      </c>
      <c r="O3174" t="str">
        <f t="shared" si="198"/>
        <v>High Balance</v>
      </c>
      <c r="P3174" t="str">
        <f t="shared" si="199"/>
        <v>New</v>
      </c>
    </row>
    <row r="3175" spans="1:16" x14ac:dyDescent="0.25">
      <c r="A3175">
        <v>2025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  <c r="M3175" t="str">
        <f t="shared" si="196"/>
        <v>&lt;30</v>
      </c>
      <c r="N3175" t="str">
        <f t="shared" si="197"/>
        <v>Low</v>
      </c>
      <c r="O3175" t="str">
        <f t="shared" si="198"/>
        <v>Zero Balance</v>
      </c>
      <c r="P3175" t="str">
        <f t="shared" si="199"/>
        <v>New</v>
      </c>
    </row>
    <row r="3176" spans="1:16" x14ac:dyDescent="0.25">
      <c r="A3176">
        <v>2025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  <c r="M3176" t="str">
        <f t="shared" si="196"/>
        <v>30-45</v>
      </c>
      <c r="N3176" t="str">
        <f t="shared" si="197"/>
        <v>Medium</v>
      </c>
      <c r="O3176" t="str">
        <f t="shared" si="198"/>
        <v>Zero Balance</v>
      </c>
      <c r="P3176" t="str">
        <f t="shared" si="199"/>
        <v>Mid-term</v>
      </c>
    </row>
    <row r="3177" spans="1:16" x14ac:dyDescent="0.25">
      <c r="A3177">
        <v>2025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  <c r="M3177" t="str">
        <f t="shared" si="196"/>
        <v>30-45</v>
      </c>
      <c r="N3177" t="str">
        <f t="shared" si="197"/>
        <v>Medium</v>
      </c>
      <c r="O3177" t="str">
        <f t="shared" si="198"/>
        <v>High Balance</v>
      </c>
      <c r="P3177" t="str">
        <f t="shared" si="199"/>
        <v>Mid-term</v>
      </c>
    </row>
    <row r="3178" spans="1:16" x14ac:dyDescent="0.25">
      <c r="A3178">
        <v>2025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  <c r="M3178" t="str">
        <f t="shared" si="196"/>
        <v>&lt;30</v>
      </c>
      <c r="N3178" t="str">
        <f t="shared" si="197"/>
        <v>High</v>
      </c>
      <c r="O3178" t="str">
        <f t="shared" si="198"/>
        <v>High Balance</v>
      </c>
      <c r="P3178" t="str">
        <f t="shared" si="199"/>
        <v>New</v>
      </c>
    </row>
    <row r="3179" spans="1:16" x14ac:dyDescent="0.25">
      <c r="A3179">
        <v>2025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  <c r="M3179" t="str">
        <f t="shared" si="196"/>
        <v>&lt;30</v>
      </c>
      <c r="N3179" t="str">
        <f t="shared" si="197"/>
        <v>Medium</v>
      </c>
      <c r="O3179" t="str">
        <f t="shared" si="198"/>
        <v>High Balance</v>
      </c>
      <c r="P3179" t="str">
        <f t="shared" si="199"/>
        <v>Mid-term</v>
      </c>
    </row>
    <row r="3180" spans="1:16" x14ac:dyDescent="0.25">
      <c r="A3180">
        <v>2025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  <c r="M3180" t="str">
        <f t="shared" si="196"/>
        <v>30-45</v>
      </c>
      <c r="N3180" t="str">
        <f t="shared" si="197"/>
        <v>Medium</v>
      </c>
      <c r="O3180" t="str">
        <f t="shared" si="198"/>
        <v>High Balance</v>
      </c>
      <c r="P3180" t="str">
        <f t="shared" si="199"/>
        <v>Mid-term</v>
      </c>
    </row>
    <row r="3181" spans="1:16" x14ac:dyDescent="0.25">
      <c r="A3181">
        <v>2025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  <c r="M3181" t="str">
        <f t="shared" si="196"/>
        <v>30-45</v>
      </c>
      <c r="N3181" t="str">
        <f t="shared" si="197"/>
        <v>Medium</v>
      </c>
      <c r="O3181" t="str">
        <f t="shared" si="198"/>
        <v>Zero Balance</v>
      </c>
      <c r="P3181" t="str">
        <f t="shared" si="199"/>
        <v>Mid-term</v>
      </c>
    </row>
    <row r="3182" spans="1:16" x14ac:dyDescent="0.25">
      <c r="A3182">
        <v>2025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  <c r="M3182" t="str">
        <f t="shared" si="196"/>
        <v>46-60</v>
      </c>
      <c r="N3182" t="str">
        <f t="shared" si="197"/>
        <v>Medium</v>
      </c>
      <c r="O3182" t="str">
        <f t="shared" si="198"/>
        <v>High Balance</v>
      </c>
      <c r="P3182" t="str">
        <f t="shared" si="199"/>
        <v>Long-term</v>
      </c>
    </row>
    <row r="3183" spans="1:16" x14ac:dyDescent="0.25">
      <c r="A3183">
        <v>2025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  <c r="M3183" t="str">
        <f t="shared" si="196"/>
        <v>30-45</v>
      </c>
      <c r="N3183" t="str">
        <f t="shared" si="197"/>
        <v>Medium</v>
      </c>
      <c r="O3183" t="str">
        <f t="shared" si="198"/>
        <v>High Balance</v>
      </c>
      <c r="P3183" t="str">
        <f t="shared" si="199"/>
        <v>Long-term</v>
      </c>
    </row>
    <row r="3184" spans="1:16" x14ac:dyDescent="0.25">
      <c r="A3184">
        <v>2025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  <c r="M3184" t="str">
        <f t="shared" si="196"/>
        <v>30-45</v>
      </c>
      <c r="N3184" t="str">
        <f t="shared" si="197"/>
        <v>Medium</v>
      </c>
      <c r="O3184" t="str">
        <f t="shared" si="198"/>
        <v>High Balance</v>
      </c>
      <c r="P3184" t="str">
        <f t="shared" si="199"/>
        <v>New</v>
      </c>
    </row>
    <row r="3185" spans="1:16" x14ac:dyDescent="0.25">
      <c r="A3185">
        <v>2025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  <c r="M3185" t="str">
        <f t="shared" si="196"/>
        <v>30-45</v>
      </c>
      <c r="N3185" t="str">
        <f t="shared" si="197"/>
        <v>Medium</v>
      </c>
      <c r="O3185" t="str">
        <f t="shared" si="198"/>
        <v>Zero Balance</v>
      </c>
      <c r="P3185" t="str">
        <f t="shared" si="199"/>
        <v>Mid-term</v>
      </c>
    </row>
    <row r="3186" spans="1:16" x14ac:dyDescent="0.25">
      <c r="A3186">
        <v>2025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  <c r="M3186" t="str">
        <f t="shared" si="196"/>
        <v>46-60</v>
      </c>
      <c r="N3186" t="str">
        <f t="shared" si="197"/>
        <v>Medium</v>
      </c>
      <c r="O3186" t="str">
        <f t="shared" si="198"/>
        <v>High Balance</v>
      </c>
      <c r="P3186" t="str">
        <f t="shared" si="199"/>
        <v>Long-term</v>
      </c>
    </row>
    <row r="3187" spans="1:16" x14ac:dyDescent="0.25">
      <c r="A3187">
        <v>2025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  <c r="M3187" t="str">
        <f t="shared" si="196"/>
        <v>30-45</v>
      </c>
      <c r="N3187" t="str">
        <f t="shared" si="197"/>
        <v>Medium</v>
      </c>
      <c r="O3187" t="str">
        <f t="shared" si="198"/>
        <v>High Balance</v>
      </c>
      <c r="P3187" t="str">
        <f t="shared" si="199"/>
        <v>Long-term</v>
      </c>
    </row>
    <row r="3188" spans="1:16" x14ac:dyDescent="0.25">
      <c r="A3188">
        <v>2025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  <c r="M3188" t="str">
        <f t="shared" si="196"/>
        <v>30-45</v>
      </c>
      <c r="N3188" t="str">
        <f t="shared" si="197"/>
        <v>Medium</v>
      </c>
      <c r="O3188" t="str">
        <f t="shared" si="198"/>
        <v>High Balance</v>
      </c>
      <c r="P3188" t="str">
        <f t="shared" si="199"/>
        <v>Long-term</v>
      </c>
    </row>
    <row r="3189" spans="1:16" x14ac:dyDescent="0.25">
      <c r="A3189">
        <v>2025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  <c r="M3189" t="str">
        <f t="shared" si="196"/>
        <v>30-45</v>
      </c>
      <c r="N3189" t="str">
        <f t="shared" si="197"/>
        <v>Medium</v>
      </c>
      <c r="O3189" t="str">
        <f t="shared" si="198"/>
        <v>High Balance</v>
      </c>
      <c r="P3189" t="str">
        <f t="shared" si="199"/>
        <v>Long-term</v>
      </c>
    </row>
    <row r="3190" spans="1:16" x14ac:dyDescent="0.25">
      <c r="A3190">
        <v>2025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  <c r="M3190" t="str">
        <f t="shared" si="196"/>
        <v>30-45</v>
      </c>
      <c r="N3190" t="str">
        <f t="shared" si="197"/>
        <v>High</v>
      </c>
      <c r="O3190" t="str">
        <f t="shared" si="198"/>
        <v>Low Balance</v>
      </c>
      <c r="P3190" t="str">
        <f t="shared" si="199"/>
        <v>Mid-term</v>
      </c>
    </row>
    <row r="3191" spans="1:16" x14ac:dyDescent="0.25">
      <c r="A3191">
        <v>2025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  <c r="M3191" t="str">
        <f t="shared" si="196"/>
        <v>30-45</v>
      </c>
      <c r="N3191" t="str">
        <f t="shared" si="197"/>
        <v>Medium</v>
      </c>
      <c r="O3191" t="str">
        <f t="shared" si="198"/>
        <v>Zero Balance</v>
      </c>
      <c r="P3191" t="str">
        <f t="shared" si="199"/>
        <v>New</v>
      </c>
    </row>
    <row r="3192" spans="1:16" x14ac:dyDescent="0.25">
      <c r="A3192">
        <v>2025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  <c r="M3192" t="str">
        <f t="shared" si="196"/>
        <v>&lt;30</v>
      </c>
      <c r="N3192" t="str">
        <f t="shared" si="197"/>
        <v>Medium</v>
      </c>
      <c r="O3192" t="str">
        <f t="shared" si="198"/>
        <v>High Balance</v>
      </c>
      <c r="P3192" t="str">
        <f t="shared" si="199"/>
        <v>Mid-term</v>
      </c>
    </row>
    <row r="3193" spans="1:16" x14ac:dyDescent="0.25">
      <c r="A3193">
        <v>2025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  <c r="M3193" t="str">
        <f t="shared" si="196"/>
        <v>30-45</v>
      </c>
      <c r="N3193" t="str">
        <f t="shared" si="197"/>
        <v>Medium</v>
      </c>
      <c r="O3193" t="str">
        <f t="shared" si="198"/>
        <v>Zero Balance</v>
      </c>
      <c r="P3193" t="str">
        <f t="shared" si="199"/>
        <v>Mid-term</v>
      </c>
    </row>
    <row r="3194" spans="1:16" x14ac:dyDescent="0.25">
      <c r="A3194">
        <v>2025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  <c r="M3194" t="str">
        <f t="shared" si="196"/>
        <v>60+</v>
      </c>
      <c r="N3194" t="str">
        <f t="shared" si="197"/>
        <v>Medium</v>
      </c>
      <c r="O3194" t="str">
        <f t="shared" si="198"/>
        <v>Zero Balance</v>
      </c>
      <c r="P3194" t="str">
        <f t="shared" si="199"/>
        <v>Long-term</v>
      </c>
    </row>
    <row r="3195" spans="1:16" x14ac:dyDescent="0.25">
      <c r="A3195">
        <v>2025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  <c r="M3195" t="str">
        <f t="shared" si="196"/>
        <v>46-60</v>
      </c>
      <c r="N3195" t="str">
        <f t="shared" si="197"/>
        <v>Medium</v>
      </c>
      <c r="O3195" t="str">
        <f t="shared" si="198"/>
        <v>Zero Balance</v>
      </c>
      <c r="P3195" t="str">
        <f t="shared" si="199"/>
        <v>New</v>
      </c>
    </row>
    <row r="3196" spans="1:16" x14ac:dyDescent="0.25">
      <c r="A3196">
        <v>2025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  <c r="M3196" t="str">
        <f t="shared" si="196"/>
        <v>&lt;30</v>
      </c>
      <c r="N3196" t="str">
        <f t="shared" si="197"/>
        <v>Medium</v>
      </c>
      <c r="O3196" t="str">
        <f t="shared" si="198"/>
        <v>High Balance</v>
      </c>
      <c r="P3196" t="str">
        <f t="shared" si="199"/>
        <v>New</v>
      </c>
    </row>
    <row r="3197" spans="1:16" x14ac:dyDescent="0.25">
      <c r="A3197">
        <v>2025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  <c r="M3197" t="str">
        <f t="shared" si="196"/>
        <v>&lt;30</v>
      </c>
      <c r="N3197" t="str">
        <f t="shared" si="197"/>
        <v>Medium</v>
      </c>
      <c r="O3197" t="str">
        <f t="shared" si="198"/>
        <v>High Balance</v>
      </c>
      <c r="P3197" t="str">
        <f t="shared" si="199"/>
        <v>New</v>
      </c>
    </row>
    <row r="3198" spans="1:16" x14ac:dyDescent="0.25">
      <c r="A3198">
        <v>2025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  <c r="M3198" t="str">
        <f t="shared" si="196"/>
        <v>30-45</v>
      </c>
      <c r="N3198" t="str">
        <f t="shared" si="197"/>
        <v>Medium</v>
      </c>
      <c r="O3198" t="str">
        <f t="shared" si="198"/>
        <v>High Balance</v>
      </c>
      <c r="P3198" t="str">
        <f t="shared" si="199"/>
        <v>Mid-term</v>
      </c>
    </row>
    <row r="3199" spans="1:16" x14ac:dyDescent="0.25">
      <c r="A3199">
        <v>2025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  <c r="M3199" t="str">
        <f t="shared" si="196"/>
        <v>30-45</v>
      </c>
      <c r="N3199" t="str">
        <f t="shared" si="197"/>
        <v>Medium</v>
      </c>
      <c r="O3199" t="str">
        <f t="shared" si="198"/>
        <v>Zero Balance</v>
      </c>
      <c r="P3199" t="str">
        <f t="shared" si="199"/>
        <v>Mid-term</v>
      </c>
    </row>
    <row r="3200" spans="1:16" x14ac:dyDescent="0.25">
      <c r="A3200">
        <v>2025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  <c r="M3200" t="str">
        <f t="shared" si="196"/>
        <v>&lt;30</v>
      </c>
      <c r="N3200" t="str">
        <f t="shared" si="197"/>
        <v>Medium</v>
      </c>
      <c r="O3200" t="str">
        <f t="shared" si="198"/>
        <v>Low Balance</v>
      </c>
      <c r="P3200" t="str">
        <f t="shared" si="199"/>
        <v>New</v>
      </c>
    </row>
    <row r="3201" spans="1:16" x14ac:dyDescent="0.25">
      <c r="A3201">
        <v>2025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  <c r="M3201" t="str">
        <f t="shared" si="196"/>
        <v>46-60</v>
      </c>
      <c r="N3201" t="str">
        <f t="shared" si="197"/>
        <v>Medium</v>
      </c>
      <c r="O3201" t="str">
        <f t="shared" si="198"/>
        <v>Zero Balance</v>
      </c>
      <c r="P3201" t="str">
        <f t="shared" si="199"/>
        <v>New</v>
      </c>
    </row>
    <row r="3202" spans="1:16" x14ac:dyDescent="0.25">
      <c r="A3202">
        <v>2025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  <c r="M3202" t="str">
        <f t="shared" si="196"/>
        <v>&lt;30</v>
      </c>
      <c r="N3202" t="str">
        <f t="shared" si="197"/>
        <v>Medium</v>
      </c>
      <c r="O3202" t="str">
        <f t="shared" si="198"/>
        <v>High Balance</v>
      </c>
      <c r="P3202" t="str">
        <f t="shared" si="199"/>
        <v>Mid-term</v>
      </c>
    </row>
    <row r="3203" spans="1:16" x14ac:dyDescent="0.25">
      <c r="A3203">
        <v>2025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  <c r="M3203" t="str">
        <f t="shared" ref="M3203:M3266" si="200">IF(E3203&lt;30,"&lt;30",IF(E3203&lt;=45,"30-45",IF(E3203&lt;=60,"46-60","60+")))</f>
        <v>&lt;30</v>
      </c>
      <c r="N3203" t="str">
        <f t="shared" ref="N3203:N3266" si="201">IF(B3203&lt;500,"Low",IF(B3203&lt;700,"Medium","High"))</f>
        <v>High</v>
      </c>
      <c r="O3203" t="str">
        <f t="shared" ref="O3203:O3266" si="202">IF(G3203=0,"Zero Balance",IF(G3203&lt;100000,"Low Balance","High Balance"))</f>
        <v>Zero Balance</v>
      </c>
      <c r="P3203" t="str">
        <f t="shared" ref="P3203:P3266" si="203">IF(F3203&lt;=3,"New",IF(F3203&lt;=7,"Mid-term","Long-term"))</f>
        <v>Mid-term</v>
      </c>
    </row>
    <row r="3204" spans="1:16" x14ac:dyDescent="0.25">
      <c r="A3204">
        <v>2025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  <c r="M3204" t="str">
        <f t="shared" si="200"/>
        <v>30-45</v>
      </c>
      <c r="N3204" t="str">
        <f t="shared" si="201"/>
        <v>Medium</v>
      </c>
      <c r="O3204" t="str">
        <f t="shared" si="202"/>
        <v>High Balance</v>
      </c>
      <c r="P3204" t="str">
        <f t="shared" si="203"/>
        <v>Mid-term</v>
      </c>
    </row>
    <row r="3205" spans="1:16" x14ac:dyDescent="0.25">
      <c r="A3205">
        <v>2025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  <c r="M3205" t="str">
        <f t="shared" si="200"/>
        <v>60+</v>
      </c>
      <c r="N3205" t="str">
        <f t="shared" si="201"/>
        <v>High</v>
      </c>
      <c r="O3205" t="str">
        <f t="shared" si="202"/>
        <v>Zero Balance</v>
      </c>
      <c r="P3205" t="str">
        <f t="shared" si="203"/>
        <v>New</v>
      </c>
    </row>
    <row r="3206" spans="1:16" x14ac:dyDescent="0.25">
      <c r="A3206">
        <v>2025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  <c r="M3206" t="str">
        <f t="shared" si="200"/>
        <v>46-60</v>
      </c>
      <c r="N3206" t="str">
        <f t="shared" si="201"/>
        <v>Medium</v>
      </c>
      <c r="O3206" t="str">
        <f t="shared" si="202"/>
        <v>Low Balance</v>
      </c>
      <c r="P3206" t="str">
        <f t="shared" si="203"/>
        <v>New</v>
      </c>
    </row>
    <row r="3207" spans="1:16" x14ac:dyDescent="0.25">
      <c r="A3207">
        <v>2025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  <c r="M3207" t="str">
        <f t="shared" si="200"/>
        <v>30-45</v>
      </c>
      <c r="N3207" t="str">
        <f t="shared" si="201"/>
        <v>High</v>
      </c>
      <c r="O3207" t="str">
        <f t="shared" si="202"/>
        <v>Zero Balance</v>
      </c>
      <c r="P3207" t="str">
        <f t="shared" si="203"/>
        <v>Long-term</v>
      </c>
    </row>
    <row r="3208" spans="1:16" x14ac:dyDescent="0.25">
      <c r="A3208">
        <v>2025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  <c r="M3208" t="str">
        <f t="shared" si="200"/>
        <v>46-60</v>
      </c>
      <c r="N3208" t="str">
        <f t="shared" si="201"/>
        <v>Medium</v>
      </c>
      <c r="O3208" t="str">
        <f t="shared" si="202"/>
        <v>High Balance</v>
      </c>
      <c r="P3208" t="str">
        <f t="shared" si="203"/>
        <v>Long-term</v>
      </c>
    </row>
    <row r="3209" spans="1:16" x14ac:dyDescent="0.25">
      <c r="A3209">
        <v>2025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  <c r="M3209" t="str">
        <f t="shared" si="200"/>
        <v>46-60</v>
      </c>
      <c r="N3209" t="str">
        <f t="shared" si="201"/>
        <v>Medium</v>
      </c>
      <c r="O3209" t="str">
        <f t="shared" si="202"/>
        <v>High Balance</v>
      </c>
      <c r="P3209" t="str">
        <f t="shared" si="203"/>
        <v>New</v>
      </c>
    </row>
    <row r="3210" spans="1:16" x14ac:dyDescent="0.25">
      <c r="A3210">
        <v>2025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  <c r="M3210" t="str">
        <f t="shared" si="200"/>
        <v>30-45</v>
      </c>
      <c r="N3210" t="str">
        <f t="shared" si="201"/>
        <v>Medium</v>
      </c>
      <c r="O3210" t="str">
        <f t="shared" si="202"/>
        <v>High Balance</v>
      </c>
      <c r="P3210" t="str">
        <f t="shared" si="203"/>
        <v>Long-term</v>
      </c>
    </row>
    <row r="3211" spans="1:16" x14ac:dyDescent="0.25">
      <c r="A3211">
        <v>2025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  <c r="M3211" t="str">
        <f t="shared" si="200"/>
        <v>&lt;30</v>
      </c>
      <c r="N3211" t="str">
        <f t="shared" si="201"/>
        <v>Medium</v>
      </c>
      <c r="O3211" t="str">
        <f t="shared" si="202"/>
        <v>High Balance</v>
      </c>
      <c r="P3211" t="str">
        <f t="shared" si="203"/>
        <v>Mid-term</v>
      </c>
    </row>
    <row r="3212" spans="1:16" x14ac:dyDescent="0.25">
      <c r="A3212">
        <v>2025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  <c r="M3212" t="str">
        <f t="shared" si="200"/>
        <v>46-60</v>
      </c>
      <c r="N3212" t="str">
        <f t="shared" si="201"/>
        <v>Medium</v>
      </c>
      <c r="O3212" t="str">
        <f t="shared" si="202"/>
        <v>High Balance</v>
      </c>
      <c r="P3212" t="str">
        <f t="shared" si="203"/>
        <v>New</v>
      </c>
    </row>
    <row r="3213" spans="1:16" x14ac:dyDescent="0.25">
      <c r="A3213">
        <v>2025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  <c r="M3213" t="str">
        <f t="shared" si="200"/>
        <v>&lt;30</v>
      </c>
      <c r="N3213" t="str">
        <f t="shared" si="201"/>
        <v>Medium</v>
      </c>
      <c r="O3213" t="str">
        <f t="shared" si="202"/>
        <v>High Balance</v>
      </c>
      <c r="P3213" t="str">
        <f t="shared" si="203"/>
        <v>New</v>
      </c>
    </row>
    <row r="3214" spans="1:16" x14ac:dyDescent="0.25">
      <c r="A3214">
        <v>2025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  <c r="M3214" t="str">
        <f t="shared" si="200"/>
        <v>30-45</v>
      </c>
      <c r="N3214" t="str">
        <f t="shared" si="201"/>
        <v>Medium</v>
      </c>
      <c r="O3214" t="str">
        <f t="shared" si="202"/>
        <v>Zero Balance</v>
      </c>
      <c r="P3214" t="str">
        <f t="shared" si="203"/>
        <v>Long-term</v>
      </c>
    </row>
    <row r="3215" spans="1:16" x14ac:dyDescent="0.25">
      <c r="A3215">
        <v>2025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  <c r="M3215" t="str">
        <f t="shared" si="200"/>
        <v>46-60</v>
      </c>
      <c r="N3215" t="str">
        <f t="shared" si="201"/>
        <v>High</v>
      </c>
      <c r="O3215" t="str">
        <f t="shared" si="202"/>
        <v>High Balance</v>
      </c>
      <c r="P3215" t="str">
        <f t="shared" si="203"/>
        <v>New</v>
      </c>
    </row>
    <row r="3216" spans="1:16" x14ac:dyDescent="0.25">
      <c r="A3216">
        <v>2025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  <c r="M3216" t="str">
        <f t="shared" si="200"/>
        <v>30-45</v>
      </c>
      <c r="N3216" t="str">
        <f t="shared" si="201"/>
        <v>Medium</v>
      </c>
      <c r="O3216" t="str">
        <f t="shared" si="202"/>
        <v>Low Balance</v>
      </c>
      <c r="P3216" t="str">
        <f t="shared" si="203"/>
        <v>Long-term</v>
      </c>
    </row>
    <row r="3217" spans="1:16" x14ac:dyDescent="0.25">
      <c r="A3217">
        <v>2025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  <c r="M3217" t="str">
        <f t="shared" si="200"/>
        <v>30-45</v>
      </c>
      <c r="N3217" t="str">
        <f t="shared" si="201"/>
        <v>High</v>
      </c>
      <c r="O3217" t="str">
        <f t="shared" si="202"/>
        <v>Zero Balance</v>
      </c>
      <c r="P3217" t="str">
        <f t="shared" si="203"/>
        <v>Long-term</v>
      </c>
    </row>
    <row r="3218" spans="1:16" x14ac:dyDescent="0.25">
      <c r="A3218">
        <v>2025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  <c r="M3218" t="str">
        <f t="shared" si="200"/>
        <v>30-45</v>
      </c>
      <c r="N3218" t="str">
        <f t="shared" si="201"/>
        <v>Medium</v>
      </c>
      <c r="O3218" t="str">
        <f t="shared" si="202"/>
        <v>High Balance</v>
      </c>
      <c r="P3218" t="str">
        <f t="shared" si="203"/>
        <v>Mid-term</v>
      </c>
    </row>
    <row r="3219" spans="1:16" x14ac:dyDescent="0.25">
      <c r="A3219">
        <v>2025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  <c r="M3219" t="str">
        <f t="shared" si="200"/>
        <v>46-60</v>
      </c>
      <c r="N3219" t="str">
        <f t="shared" si="201"/>
        <v>Medium</v>
      </c>
      <c r="O3219" t="str">
        <f t="shared" si="202"/>
        <v>Low Balance</v>
      </c>
      <c r="P3219" t="str">
        <f t="shared" si="203"/>
        <v>Mid-term</v>
      </c>
    </row>
    <row r="3220" spans="1:16" x14ac:dyDescent="0.25">
      <c r="A3220">
        <v>2025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  <c r="M3220" t="str">
        <f t="shared" si="200"/>
        <v>30-45</v>
      </c>
      <c r="N3220" t="str">
        <f t="shared" si="201"/>
        <v>Medium</v>
      </c>
      <c r="O3220" t="str">
        <f t="shared" si="202"/>
        <v>Zero Balance</v>
      </c>
      <c r="P3220" t="str">
        <f t="shared" si="203"/>
        <v>Long-term</v>
      </c>
    </row>
    <row r="3221" spans="1:16" x14ac:dyDescent="0.25">
      <c r="A3221">
        <v>2025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  <c r="M3221" t="str">
        <f t="shared" si="200"/>
        <v>30-45</v>
      </c>
      <c r="N3221" t="str">
        <f t="shared" si="201"/>
        <v>Medium</v>
      </c>
      <c r="O3221" t="str">
        <f t="shared" si="202"/>
        <v>High Balance</v>
      </c>
      <c r="P3221" t="str">
        <f t="shared" si="203"/>
        <v>Long-term</v>
      </c>
    </row>
    <row r="3222" spans="1:16" x14ac:dyDescent="0.25">
      <c r="A3222">
        <v>2025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  <c r="M3222" t="str">
        <f t="shared" si="200"/>
        <v>30-45</v>
      </c>
      <c r="N3222" t="str">
        <f t="shared" si="201"/>
        <v>Medium</v>
      </c>
      <c r="O3222" t="str">
        <f t="shared" si="202"/>
        <v>High Balance</v>
      </c>
      <c r="P3222" t="str">
        <f t="shared" si="203"/>
        <v>Mid-term</v>
      </c>
    </row>
    <row r="3223" spans="1:16" x14ac:dyDescent="0.25">
      <c r="A3223">
        <v>2025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  <c r="M3223" t="str">
        <f t="shared" si="200"/>
        <v>&lt;30</v>
      </c>
      <c r="N3223" t="str">
        <f t="shared" si="201"/>
        <v>Medium</v>
      </c>
      <c r="O3223" t="str">
        <f t="shared" si="202"/>
        <v>Zero Balance</v>
      </c>
      <c r="P3223" t="str">
        <f t="shared" si="203"/>
        <v>New</v>
      </c>
    </row>
    <row r="3224" spans="1:16" x14ac:dyDescent="0.25">
      <c r="A3224">
        <v>2025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  <c r="M3224" t="str">
        <f t="shared" si="200"/>
        <v>30-45</v>
      </c>
      <c r="N3224" t="str">
        <f t="shared" si="201"/>
        <v>Medium</v>
      </c>
      <c r="O3224" t="str">
        <f t="shared" si="202"/>
        <v>Zero Balance</v>
      </c>
      <c r="P3224" t="str">
        <f t="shared" si="203"/>
        <v>New</v>
      </c>
    </row>
    <row r="3225" spans="1:16" x14ac:dyDescent="0.25">
      <c r="A3225">
        <v>2025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  <c r="M3225" t="str">
        <f t="shared" si="200"/>
        <v>30-45</v>
      </c>
      <c r="N3225" t="str">
        <f t="shared" si="201"/>
        <v>High</v>
      </c>
      <c r="O3225" t="str">
        <f t="shared" si="202"/>
        <v>High Balance</v>
      </c>
      <c r="P3225" t="str">
        <f t="shared" si="203"/>
        <v>New</v>
      </c>
    </row>
    <row r="3226" spans="1:16" x14ac:dyDescent="0.25">
      <c r="A3226">
        <v>2025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  <c r="M3226" t="str">
        <f t="shared" si="200"/>
        <v>30-45</v>
      </c>
      <c r="N3226" t="str">
        <f t="shared" si="201"/>
        <v>Medium</v>
      </c>
      <c r="O3226" t="str">
        <f t="shared" si="202"/>
        <v>High Balance</v>
      </c>
      <c r="P3226" t="str">
        <f t="shared" si="203"/>
        <v>New</v>
      </c>
    </row>
    <row r="3227" spans="1:16" x14ac:dyDescent="0.25">
      <c r="A3227">
        <v>2025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  <c r="M3227" t="str">
        <f t="shared" si="200"/>
        <v>30-45</v>
      </c>
      <c r="N3227" t="str">
        <f t="shared" si="201"/>
        <v>High</v>
      </c>
      <c r="O3227" t="str">
        <f t="shared" si="202"/>
        <v>High Balance</v>
      </c>
      <c r="P3227" t="str">
        <f t="shared" si="203"/>
        <v>New</v>
      </c>
    </row>
    <row r="3228" spans="1:16" x14ac:dyDescent="0.25">
      <c r="A3228">
        <v>2025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  <c r="M3228" t="str">
        <f t="shared" si="200"/>
        <v>30-45</v>
      </c>
      <c r="N3228" t="str">
        <f t="shared" si="201"/>
        <v>Medium</v>
      </c>
      <c r="O3228" t="str">
        <f t="shared" si="202"/>
        <v>High Balance</v>
      </c>
      <c r="P3228" t="str">
        <f t="shared" si="203"/>
        <v>New</v>
      </c>
    </row>
    <row r="3229" spans="1:16" x14ac:dyDescent="0.25">
      <c r="A3229">
        <v>2025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  <c r="M3229" t="str">
        <f t="shared" si="200"/>
        <v>&lt;30</v>
      </c>
      <c r="N3229" t="str">
        <f t="shared" si="201"/>
        <v>Medium</v>
      </c>
      <c r="O3229" t="str">
        <f t="shared" si="202"/>
        <v>High Balance</v>
      </c>
      <c r="P3229" t="str">
        <f t="shared" si="203"/>
        <v>Long-term</v>
      </c>
    </row>
    <row r="3230" spans="1:16" x14ac:dyDescent="0.25">
      <c r="A3230">
        <v>2025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  <c r="M3230" t="str">
        <f t="shared" si="200"/>
        <v>&lt;30</v>
      </c>
      <c r="N3230" t="str">
        <f t="shared" si="201"/>
        <v>Medium</v>
      </c>
      <c r="O3230" t="str">
        <f t="shared" si="202"/>
        <v>Zero Balance</v>
      </c>
      <c r="P3230" t="str">
        <f t="shared" si="203"/>
        <v>Long-term</v>
      </c>
    </row>
    <row r="3231" spans="1:16" x14ac:dyDescent="0.25">
      <c r="A3231">
        <v>2025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  <c r="M3231" t="str">
        <f t="shared" si="200"/>
        <v>60+</v>
      </c>
      <c r="N3231" t="str">
        <f t="shared" si="201"/>
        <v>Medium</v>
      </c>
      <c r="O3231" t="str">
        <f t="shared" si="202"/>
        <v>Zero Balance</v>
      </c>
      <c r="P3231" t="str">
        <f t="shared" si="203"/>
        <v>Mid-term</v>
      </c>
    </row>
    <row r="3232" spans="1:16" x14ac:dyDescent="0.25">
      <c r="A3232">
        <v>2025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  <c r="M3232" t="str">
        <f t="shared" si="200"/>
        <v>30-45</v>
      </c>
      <c r="N3232" t="str">
        <f t="shared" si="201"/>
        <v>Medium</v>
      </c>
      <c r="O3232" t="str">
        <f t="shared" si="202"/>
        <v>Zero Balance</v>
      </c>
      <c r="P3232" t="str">
        <f t="shared" si="203"/>
        <v>Mid-term</v>
      </c>
    </row>
    <row r="3233" spans="1:16" x14ac:dyDescent="0.25">
      <c r="A3233">
        <v>2025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  <c r="M3233" t="str">
        <f t="shared" si="200"/>
        <v>30-45</v>
      </c>
      <c r="N3233" t="str">
        <f t="shared" si="201"/>
        <v>Medium</v>
      </c>
      <c r="O3233" t="str">
        <f t="shared" si="202"/>
        <v>High Balance</v>
      </c>
      <c r="P3233" t="str">
        <f t="shared" si="203"/>
        <v>Mid-term</v>
      </c>
    </row>
    <row r="3234" spans="1:16" x14ac:dyDescent="0.25">
      <c r="A3234">
        <v>2025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  <c r="M3234" t="str">
        <f t="shared" si="200"/>
        <v>30-45</v>
      </c>
      <c r="N3234" t="str">
        <f t="shared" si="201"/>
        <v>Medium</v>
      </c>
      <c r="O3234" t="str">
        <f t="shared" si="202"/>
        <v>Low Balance</v>
      </c>
      <c r="P3234" t="str">
        <f t="shared" si="203"/>
        <v>Mid-term</v>
      </c>
    </row>
    <row r="3235" spans="1:16" x14ac:dyDescent="0.25">
      <c r="A3235">
        <v>2025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  <c r="M3235" t="str">
        <f t="shared" si="200"/>
        <v>30-45</v>
      </c>
      <c r="N3235" t="str">
        <f t="shared" si="201"/>
        <v>Medium</v>
      </c>
      <c r="O3235" t="str">
        <f t="shared" si="202"/>
        <v>Low Balance</v>
      </c>
      <c r="P3235" t="str">
        <f t="shared" si="203"/>
        <v>Mid-term</v>
      </c>
    </row>
    <row r="3236" spans="1:16" x14ac:dyDescent="0.25">
      <c r="A3236">
        <v>2025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  <c r="M3236" t="str">
        <f t="shared" si="200"/>
        <v>46-60</v>
      </c>
      <c r="N3236" t="str">
        <f t="shared" si="201"/>
        <v>Medium</v>
      </c>
      <c r="O3236" t="str">
        <f t="shared" si="202"/>
        <v>Zero Balance</v>
      </c>
      <c r="P3236" t="str">
        <f t="shared" si="203"/>
        <v>New</v>
      </c>
    </row>
    <row r="3237" spans="1:16" x14ac:dyDescent="0.25">
      <c r="A3237">
        <v>2025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  <c r="M3237" t="str">
        <f t="shared" si="200"/>
        <v>30-45</v>
      </c>
      <c r="N3237" t="str">
        <f t="shared" si="201"/>
        <v>Medium</v>
      </c>
      <c r="O3237" t="str">
        <f t="shared" si="202"/>
        <v>High Balance</v>
      </c>
      <c r="P3237" t="str">
        <f t="shared" si="203"/>
        <v>Long-term</v>
      </c>
    </row>
    <row r="3238" spans="1:16" x14ac:dyDescent="0.25">
      <c r="A3238">
        <v>2025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  <c r="M3238" t="str">
        <f t="shared" si="200"/>
        <v>30-45</v>
      </c>
      <c r="N3238" t="str">
        <f t="shared" si="201"/>
        <v>Medium</v>
      </c>
      <c r="O3238" t="str">
        <f t="shared" si="202"/>
        <v>Zero Balance</v>
      </c>
      <c r="P3238" t="str">
        <f t="shared" si="203"/>
        <v>New</v>
      </c>
    </row>
    <row r="3239" spans="1:16" x14ac:dyDescent="0.25">
      <c r="A3239">
        <v>2025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  <c r="M3239" t="str">
        <f t="shared" si="200"/>
        <v>30-45</v>
      </c>
      <c r="N3239" t="str">
        <f t="shared" si="201"/>
        <v>High</v>
      </c>
      <c r="O3239" t="str">
        <f t="shared" si="202"/>
        <v>Zero Balance</v>
      </c>
      <c r="P3239" t="str">
        <f t="shared" si="203"/>
        <v>Mid-term</v>
      </c>
    </row>
    <row r="3240" spans="1:16" x14ac:dyDescent="0.25">
      <c r="A3240">
        <v>2025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  <c r="M3240" t="str">
        <f t="shared" si="200"/>
        <v>46-60</v>
      </c>
      <c r="N3240" t="str">
        <f t="shared" si="201"/>
        <v>Medium</v>
      </c>
      <c r="O3240" t="str">
        <f t="shared" si="202"/>
        <v>Zero Balance</v>
      </c>
      <c r="P3240" t="str">
        <f t="shared" si="203"/>
        <v>Mid-term</v>
      </c>
    </row>
    <row r="3241" spans="1:16" x14ac:dyDescent="0.25">
      <c r="A3241">
        <v>2025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  <c r="M3241" t="str">
        <f t="shared" si="200"/>
        <v>&lt;30</v>
      </c>
      <c r="N3241" t="str">
        <f t="shared" si="201"/>
        <v>High</v>
      </c>
      <c r="O3241" t="str">
        <f t="shared" si="202"/>
        <v>Zero Balance</v>
      </c>
      <c r="P3241" t="str">
        <f t="shared" si="203"/>
        <v>Mid-term</v>
      </c>
    </row>
    <row r="3242" spans="1:16" x14ac:dyDescent="0.25">
      <c r="A3242">
        <v>2025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  <c r="M3242" t="str">
        <f t="shared" si="200"/>
        <v>46-60</v>
      </c>
      <c r="N3242" t="str">
        <f t="shared" si="201"/>
        <v>Medium</v>
      </c>
      <c r="O3242" t="str">
        <f t="shared" si="202"/>
        <v>High Balance</v>
      </c>
      <c r="P3242" t="str">
        <f t="shared" si="203"/>
        <v>New</v>
      </c>
    </row>
    <row r="3243" spans="1:16" x14ac:dyDescent="0.25">
      <c r="A3243">
        <v>2025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  <c r="M3243" t="str">
        <f t="shared" si="200"/>
        <v>30-45</v>
      </c>
      <c r="N3243" t="str">
        <f t="shared" si="201"/>
        <v>Medium</v>
      </c>
      <c r="O3243" t="str">
        <f t="shared" si="202"/>
        <v>High Balance</v>
      </c>
      <c r="P3243" t="str">
        <f t="shared" si="203"/>
        <v>Long-term</v>
      </c>
    </row>
    <row r="3244" spans="1:16" x14ac:dyDescent="0.25">
      <c r="A3244">
        <v>2025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  <c r="M3244" t="str">
        <f t="shared" si="200"/>
        <v>30-45</v>
      </c>
      <c r="N3244" t="str">
        <f t="shared" si="201"/>
        <v>Low</v>
      </c>
      <c r="O3244" t="str">
        <f t="shared" si="202"/>
        <v>Zero Balance</v>
      </c>
      <c r="P3244" t="str">
        <f t="shared" si="203"/>
        <v>Long-term</v>
      </c>
    </row>
    <row r="3245" spans="1:16" x14ac:dyDescent="0.25">
      <c r="A3245">
        <v>2025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  <c r="M3245" t="str">
        <f t="shared" si="200"/>
        <v>&lt;30</v>
      </c>
      <c r="N3245" t="str">
        <f t="shared" si="201"/>
        <v>High</v>
      </c>
      <c r="O3245" t="str">
        <f t="shared" si="202"/>
        <v>High Balance</v>
      </c>
      <c r="P3245" t="str">
        <f t="shared" si="203"/>
        <v>Mid-term</v>
      </c>
    </row>
    <row r="3246" spans="1:16" x14ac:dyDescent="0.25">
      <c r="A3246">
        <v>2025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  <c r="M3246" t="str">
        <f t="shared" si="200"/>
        <v>30-45</v>
      </c>
      <c r="N3246" t="str">
        <f t="shared" si="201"/>
        <v>Medium</v>
      </c>
      <c r="O3246" t="str">
        <f t="shared" si="202"/>
        <v>High Balance</v>
      </c>
      <c r="P3246" t="str">
        <f t="shared" si="203"/>
        <v>New</v>
      </c>
    </row>
    <row r="3247" spans="1:16" x14ac:dyDescent="0.25">
      <c r="A3247">
        <v>2025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  <c r="M3247" t="str">
        <f t="shared" si="200"/>
        <v>30-45</v>
      </c>
      <c r="N3247" t="str">
        <f t="shared" si="201"/>
        <v>Medium</v>
      </c>
      <c r="O3247" t="str">
        <f t="shared" si="202"/>
        <v>High Balance</v>
      </c>
      <c r="P3247" t="str">
        <f t="shared" si="203"/>
        <v>New</v>
      </c>
    </row>
    <row r="3248" spans="1:16" x14ac:dyDescent="0.25">
      <c r="A3248">
        <v>2025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  <c r="M3248" t="str">
        <f t="shared" si="200"/>
        <v>46-60</v>
      </c>
      <c r="N3248" t="str">
        <f t="shared" si="201"/>
        <v>Medium</v>
      </c>
      <c r="O3248" t="str">
        <f t="shared" si="202"/>
        <v>Zero Balance</v>
      </c>
      <c r="P3248" t="str">
        <f t="shared" si="203"/>
        <v>Mid-term</v>
      </c>
    </row>
    <row r="3249" spans="1:16" x14ac:dyDescent="0.25">
      <c r="A3249">
        <v>2025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  <c r="M3249" t="str">
        <f t="shared" si="200"/>
        <v>&lt;30</v>
      </c>
      <c r="N3249" t="str">
        <f t="shared" si="201"/>
        <v>High</v>
      </c>
      <c r="O3249" t="str">
        <f t="shared" si="202"/>
        <v>Zero Balance</v>
      </c>
      <c r="P3249" t="str">
        <f t="shared" si="203"/>
        <v>Mid-term</v>
      </c>
    </row>
    <row r="3250" spans="1:16" x14ac:dyDescent="0.25">
      <c r="A3250">
        <v>2025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  <c r="M3250" t="str">
        <f t="shared" si="200"/>
        <v>30-45</v>
      </c>
      <c r="N3250" t="str">
        <f t="shared" si="201"/>
        <v>Medium</v>
      </c>
      <c r="O3250" t="str">
        <f t="shared" si="202"/>
        <v>High Balance</v>
      </c>
      <c r="P3250" t="str">
        <f t="shared" si="203"/>
        <v>Mid-term</v>
      </c>
    </row>
    <row r="3251" spans="1:16" x14ac:dyDescent="0.25">
      <c r="A3251">
        <v>2025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  <c r="M3251" t="str">
        <f t="shared" si="200"/>
        <v>30-45</v>
      </c>
      <c r="N3251" t="str">
        <f t="shared" si="201"/>
        <v>High</v>
      </c>
      <c r="O3251" t="str">
        <f t="shared" si="202"/>
        <v>Low Balance</v>
      </c>
      <c r="P3251" t="str">
        <f t="shared" si="203"/>
        <v>New</v>
      </c>
    </row>
    <row r="3252" spans="1:16" x14ac:dyDescent="0.25">
      <c r="A3252">
        <v>2025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  <c r="M3252" t="str">
        <f t="shared" si="200"/>
        <v>46-60</v>
      </c>
      <c r="N3252" t="str">
        <f t="shared" si="201"/>
        <v>Medium</v>
      </c>
      <c r="O3252" t="str">
        <f t="shared" si="202"/>
        <v>Zero Balance</v>
      </c>
      <c r="P3252" t="str">
        <f t="shared" si="203"/>
        <v>Long-term</v>
      </c>
    </row>
    <row r="3253" spans="1:16" x14ac:dyDescent="0.25">
      <c r="A3253">
        <v>2025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  <c r="M3253" t="str">
        <f t="shared" si="200"/>
        <v>30-45</v>
      </c>
      <c r="N3253" t="str">
        <f t="shared" si="201"/>
        <v>High</v>
      </c>
      <c r="O3253" t="str">
        <f t="shared" si="202"/>
        <v>High Balance</v>
      </c>
      <c r="P3253" t="str">
        <f t="shared" si="203"/>
        <v>New</v>
      </c>
    </row>
    <row r="3254" spans="1:16" x14ac:dyDescent="0.25">
      <c r="A3254">
        <v>2025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  <c r="M3254" t="str">
        <f t="shared" si="200"/>
        <v>30-45</v>
      </c>
      <c r="N3254" t="str">
        <f t="shared" si="201"/>
        <v>Medium</v>
      </c>
      <c r="O3254" t="str">
        <f t="shared" si="202"/>
        <v>High Balance</v>
      </c>
      <c r="P3254" t="str">
        <f t="shared" si="203"/>
        <v>Long-term</v>
      </c>
    </row>
    <row r="3255" spans="1:16" x14ac:dyDescent="0.25">
      <c r="A3255">
        <v>2025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  <c r="M3255" t="str">
        <f t="shared" si="200"/>
        <v>30-45</v>
      </c>
      <c r="N3255" t="str">
        <f t="shared" si="201"/>
        <v>Medium</v>
      </c>
      <c r="O3255" t="str">
        <f t="shared" si="202"/>
        <v>Zero Balance</v>
      </c>
      <c r="P3255" t="str">
        <f t="shared" si="203"/>
        <v>Mid-term</v>
      </c>
    </row>
    <row r="3256" spans="1:16" x14ac:dyDescent="0.25">
      <c r="A3256">
        <v>2025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  <c r="M3256" t="str">
        <f t="shared" si="200"/>
        <v>46-60</v>
      </c>
      <c r="N3256" t="str">
        <f t="shared" si="201"/>
        <v>Medium</v>
      </c>
      <c r="O3256" t="str">
        <f t="shared" si="202"/>
        <v>High Balance</v>
      </c>
      <c r="P3256" t="str">
        <f t="shared" si="203"/>
        <v>Mid-term</v>
      </c>
    </row>
    <row r="3257" spans="1:16" x14ac:dyDescent="0.25">
      <c r="A3257">
        <v>2025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  <c r="M3257" t="str">
        <f t="shared" si="200"/>
        <v>&lt;30</v>
      </c>
      <c r="N3257" t="str">
        <f t="shared" si="201"/>
        <v>Medium</v>
      </c>
      <c r="O3257" t="str">
        <f t="shared" si="202"/>
        <v>Low Balance</v>
      </c>
      <c r="P3257" t="str">
        <f t="shared" si="203"/>
        <v>Mid-term</v>
      </c>
    </row>
    <row r="3258" spans="1:16" x14ac:dyDescent="0.25">
      <c r="A3258">
        <v>2025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  <c r="M3258" t="str">
        <f t="shared" si="200"/>
        <v>30-45</v>
      </c>
      <c r="N3258" t="str">
        <f t="shared" si="201"/>
        <v>High</v>
      </c>
      <c r="O3258" t="str">
        <f t="shared" si="202"/>
        <v>Low Balance</v>
      </c>
      <c r="P3258" t="str">
        <f t="shared" si="203"/>
        <v>Mid-term</v>
      </c>
    </row>
    <row r="3259" spans="1:16" x14ac:dyDescent="0.25">
      <c r="A3259">
        <v>2025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  <c r="M3259" t="str">
        <f t="shared" si="200"/>
        <v>46-60</v>
      </c>
      <c r="N3259" t="str">
        <f t="shared" si="201"/>
        <v>High</v>
      </c>
      <c r="O3259" t="str">
        <f t="shared" si="202"/>
        <v>High Balance</v>
      </c>
      <c r="P3259" t="str">
        <f t="shared" si="203"/>
        <v>New</v>
      </c>
    </row>
    <row r="3260" spans="1:16" x14ac:dyDescent="0.25">
      <c r="A3260">
        <v>2025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  <c r="M3260" t="str">
        <f t="shared" si="200"/>
        <v>30-45</v>
      </c>
      <c r="N3260" t="str">
        <f t="shared" si="201"/>
        <v>Medium</v>
      </c>
      <c r="O3260" t="str">
        <f t="shared" si="202"/>
        <v>High Balance</v>
      </c>
      <c r="P3260" t="str">
        <f t="shared" si="203"/>
        <v>Mid-term</v>
      </c>
    </row>
    <row r="3261" spans="1:16" x14ac:dyDescent="0.25">
      <c r="A3261">
        <v>2025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  <c r="M3261" t="str">
        <f t="shared" si="200"/>
        <v>30-45</v>
      </c>
      <c r="N3261" t="str">
        <f t="shared" si="201"/>
        <v>High</v>
      </c>
      <c r="O3261" t="str">
        <f t="shared" si="202"/>
        <v>Zero Balance</v>
      </c>
      <c r="P3261" t="str">
        <f t="shared" si="203"/>
        <v>New</v>
      </c>
    </row>
    <row r="3262" spans="1:16" x14ac:dyDescent="0.25">
      <c r="A3262">
        <v>2025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  <c r="M3262" t="str">
        <f t="shared" si="200"/>
        <v>30-45</v>
      </c>
      <c r="N3262" t="str">
        <f t="shared" si="201"/>
        <v>Medium</v>
      </c>
      <c r="O3262" t="str">
        <f t="shared" si="202"/>
        <v>Zero Balance</v>
      </c>
      <c r="P3262" t="str">
        <f t="shared" si="203"/>
        <v>New</v>
      </c>
    </row>
    <row r="3263" spans="1:16" x14ac:dyDescent="0.25">
      <c r="A3263">
        <v>2025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  <c r="M3263" t="str">
        <f t="shared" si="200"/>
        <v>46-60</v>
      </c>
      <c r="N3263" t="str">
        <f t="shared" si="201"/>
        <v>Medium</v>
      </c>
      <c r="O3263" t="str">
        <f t="shared" si="202"/>
        <v>Zero Balance</v>
      </c>
      <c r="P3263" t="str">
        <f t="shared" si="203"/>
        <v>New</v>
      </c>
    </row>
    <row r="3264" spans="1:16" x14ac:dyDescent="0.25">
      <c r="A3264">
        <v>2025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  <c r="M3264" t="str">
        <f t="shared" si="200"/>
        <v>46-60</v>
      </c>
      <c r="N3264" t="str">
        <f t="shared" si="201"/>
        <v>Medium</v>
      </c>
      <c r="O3264" t="str">
        <f t="shared" si="202"/>
        <v>High Balance</v>
      </c>
      <c r="P3264" t="str">
        <f t="shared" si="203"/>
        <v>Mid-term</v>
      </c>
    </row>
    <row r="3265" spans="1:16" x14ac:dyDescent="0.25">
      <c r="A3265">
        <v>2025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  <c r="M3265" t="str">
        <f t="shared" si="200"/>
        <v>30-45</v>
      </c>
      <c r="N3265" t="str">
        <f t="shared" si="201"/>
        <v>Low</v>
      </c>
      <c r="O3265" t="str">
        <f t="shared" si="202"/>
        <v>Zero Balance</v>
      </c>
      <c r="P3265" t="str">
        <f t="shared" si="203"/>
        <v>New</v>
      </c>
    </row>
    <row r="3266" spans="1:16" x14ac:dyDescent="0.25">
      <c r="A3266">
        <v>2025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  <c r="M3266" t="str">
        <f t="shared" si="200"/>
        <v>30-45</v>
      </c>
      <c r="N3266" t="str">
        <f t="shared" si="201"/>
        <v>High</v>
      </c>
      <c r="O3266" t="str">
        <f t="shared" si="202"/>
        <v>High Balance</v>
      </c>
      <c r="P3266" t="str">
        <f t="shared" si="203"/>
        <v>Mid-term</v>
      </c>
    </row>
    <row r="3267" spans="1:16" x14ac:dyDescent="0.25">
      <c r="A3267">
        <v>2025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  <c r="M3267" t="str">
        <f t="shared" ref="M3267:M3330" si="204">IF(E3267&lt;30,"&lt;30",IF(E3267&lt;=45,"30-45",IF(E3267&lt;=60,"46-60","60+")))</f>
        <v>30-45</v>
      </c>
      <c r="N3267" t="str">
        <f t="shared" ref="N3267:N3330" si="205">IF(B3267&lt;500,"Low",IF(B3267&lt;700,"Medium","High"))</f>
        <v>Low</v>
      </c>
      <c r="O3267" t="str">
        <f t="shared" ref="O3267:O3330" si="206">IF(G3267=0,"Zero Balance",IF(G3267&lt;100000,"Low Balance","High Balance"))</f>
        <v>Zero Balance</v>
      </c>
      <c r="P3267" t="str">
        <f t="shared" ref="P3267:P3330" si="207">IF(F3267&lt;=3,"New",IF(F3267&lt;=7,"Mid-term","Long-term"))</f>
        <v>New</v>
      </c>
    </row>
    <row r="3268" spans="1:16" x14ac:dyDescent="0.25">
      <c r="A3268">
        <v>2025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  <c r="M3268" t="str">
        <f t="shared" si="204"/>
        <v>30-45</v>
      </c>
      <c r="N3268" t="str">
        <f t="shared" si="205"/>
        <v>Medium</v>
      </c>
      <c r="O3268" t="str">
        <f t="shared" si="206"/>
        <v>High Balance</v>
      </c>
      <c r="P3268" t="str">
        <f t="shared" si="207"/>
        <v>New</v>
      </c>
    </row>
    <row r="3269" spans="1:16" x14ac:dyDescent="0.25">
      <c r="A3269">
        <v>2025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  <c r="M3269" t="str">
        <f t="shared" si="204"/>
        <v>30-45</v>
      </c>
      <c r="N3269" t="str">
        <f t="shared" si="205"/>
        <v>High</v>
      </c>
      <c r="O3269" t="str">
        <f t="shared" si="206"/>
        <v>High Balance</v>
      </c>
      <c r="P3269" t="str">
        <f t="shared" si="207"/>
        <v>New</v>
      </c>
    </row>
    <row r="3270" spans="1:16" x14ac:dyDescent="0.25">
      <c r="A3270">
        <v>2025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  <c r="M3270" t="str">
        <f t="shared" si="204"/>
        <v>46-60</v>
      </c>
      <c r="N3270" t="str">
        <f t="shared" si="205"/>
        <v>Medium</v>
      </c>
      <c r="O3270" t="str">
        <f t="shared" si="206"/>
        <v>Zero Balance</v>
      </c>
      <c r="P3270" t="str">
        <f t="shared" si="207"/>
        <v>Mid-term</v>
      </c>
    </row>
    <row r="3271" spans="1:16" x14ac:dyDescent="0.25">
      <c r="A3271">
        <v>2025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  <c r="M3271" t="str">
        <f t="shared" si="204"/>
        <v>30-45</v>
      </c>
      <c r="N3271" t="str">
        <f t="shared" si="205"/>
        <v>Medium</v>
      </c>
      <c r="O3271" t="str">
        <f t="shared" si="206"/>
        <v>Low Balance</v>
      </c>
      <c r="P3271" t="str">
        <f t="shared" si="207"/>
        <v>Mid-term</v>
      </c>
    </row>
    <row r="3272" spans="1:16" x14ac:dyDescent="0.25">
      <c r="A3272">
        <v>2025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  <c r="M3272" t="str">
        <f t="shared" si="204"/>
        <v>30-45</v>
      </c>
      <c r="N3272" t="str">
        <f t="shared" si="205"/>
        <v>High</v>
      </c>
      <c r="O3272" t="str">
        <f t="shared" si="206"/>
        <v>High Balance</v>
      </c>
      <c r="P3272" t="str">
        <f t="shared" si="207"/>
        <v>Mid-term</v>
      </c>
    </row>
    <row r="3273" spans="1:16" x14ac:dyDescent="0.25">
      <c r="A3273">
        <v>2025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  <c r="M3273" t="str">
        <f t="shared" si="204"/>
        <v>30-45</v>
      </c>
      <c r="N3273" t="str">
        <f t="shared" si="205"/>
        <v>Medium</v>
      </c>
      <c r="O3273" t="str">
        <f t="shared" si="206"/>
        <v>Low Balance</v>
      </c>
      <c r="P3273" t="str">
        <f t="shared" si="207"/>
        <v>Long-term</v>
      </c>
    </row>
    <row r="3274" spans="1:16" x14ac:dyDescent="0.25">
      <c r="A3274">
        <v>2025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  <c r="M3274" t="str">
        <f t="shared" si="204"/>
        <v>46-60</v>
      </c>
      <c r="N3274" t="str">
        <f t="shared" si="205"/>
        <v>High</v>
      </c>
      <c r="O3274" t="str">
        <f t="shared" si="206"/>
        <v>Zero Balance</v>
      </c>
      <c r="P3274" t="str">
        <f t="shared" si="207"/>
        <v>Mid-term</v>
      </c>
    </row>
    <row r="3275" spans="1:16" x14ac:dyDescent="0.25">
      <c r="A3275">
        <v>2025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  <c r="M3275" t="str">
        <f t="shared" si="204"/>
        <v>30-45</v>
      </c>
      <c r="N3275" t="str">
        <f t="shared" si="205"/>
        <v>Medium</v>
      </c>
      <c r="O3275" t="str">
        <f t="shared" si="206"/>
        <v>Low Balance</v>
      </c>
      <c r="P3275" t="str">
        <f t="shared" si="207"/>
        <v>Mid-term</v>
      </c>
    </row>
    <row r="3276" spans="1:16" x14ac:dyDescent="0.25">
      <c r="A3276">
        <v>2025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  <c r="M3276" t="str">
        <f t="shared" si="204"/>
        <v>30-45</v>
      </c>
      <c r="N3276" t="str">
        <f t="shared" si="205"/>
        <v>Medium</v>
      </c>
      <c r="O3276" t="str">
        <f t="shared" si="206"/>
        <v>Zero Balance</v>
      </c>
      <c r="P3276" t="str">
        <f t="shared" si="207"/>
        <v>Mid-term</v>
      </c>
    </row>
    <row r="3277" spans="1:16" x14ac:dyDescent="0.25">
      <c r="A3277">
        <v>2025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  <c r="M3277" t="str">
        <f t="shared" si="204"/>
        <v>&lt;30</v>
      </c>
      <c r="N3277" t="str">
        <f t="shared" si="205"/>
        <v>Medium</v>
      </c>
      <c r="O3277" t="str">
        <f t="shared" si="206"/>
        <v>Zero Balance</v>
      </c>
      <c r="P3277" t="str">
        <f t="shared" si="207"/>
        <v>New</v>
      </c>
    </row>
    <row r="3278" spans="1:16" x14ac:dyDescent="0.25">
      <c r="A3278">
        <v>2025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  <c r="M3278" t="str">
        <f t="shared" si="204"/>
        <v>46-60</v>
      </c>
      <c r="N3278" t="str">
        <f t="shared" si="205"/>
        <v>High</v>
      </c>
      <c r="O3278" t="str">
        <f t="shared" si="206"/>
        <v>Low Balance</v>
      </c>
      <c r="P3278" t="str">
        <f t="shared" si="207"/>
        <v>New</v>
      </c>
    </row>
    <row r="3279" spans="1:16" x14ac:dyDescent="0.25">
      <c r="A3279">
        <v>2025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  <c r="M3279" t="str">
        <f t="shared" si="204"/>
        <v>30-45</v>
      </c>
      <c r="N3279" t="str">
        <f t="shared" si="205"/>
        <v>High</v>
      </c>
      <c r="O3279" t="str">
        <f t="shared" si="206"/>
        <v>High Balance</v>
      </c>
      <c r="P3279" t="str">
        <f t="shared" si="207"/>
        <v>New</v>
      </c>
    </row>
    <row r="3280" spans="1:16" x14ac:dyDescent="0.25">
      <c r="A3280">
        <v>2025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  <c r="M3280" t="str">
        <f t="shared" si="204"/>
        <v>30-45</v>
      </c>
      <c r="N3280" t="str">
        <f t="shared" si="205"/>
        <v>Medium</v>
      </c>
      <c r="O3280" t="str">
        <f t="shared" si="206"/>
        <v>High Balance</v>
      </c>
      <c r="P3280" t="str">
        <f t="shared" si="207"/>
        <v>Mid-term</v>
      </c>
    </row>
    <row r="3281" spans="1:16" x14ac:dyDescent="0.25">
      <c r="A3281">
        <v>2025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  <c r="M3281" t="str">
        <f t="shared" si="204"/>
        <v>30-45</v>
      </c>
      <c r="N3281" t="str">
        <f t="shared" si="205"/>
        <v>Medium</v>
      </c>
      <c r="O3281" t="str">
        <f t="shared" si="206"/>
        <v>Zero Balance</v>
      </c>
      <c r="P3281" t="str">
        <f t="shared" si="207"/>
        <v>Mid-term</v>
      </c>
    </row>
    <row r="3282" spans="1:16" x14ac:dyDescent="0.25">
      <c r="A3282">
        <v>2025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  <c r="M3282" t="str">
        <f t="shared" si="204"/>
        <v>46-60</v>
      </c>
      <c r="N3282" t="str">
        <f t="shared" si="205"/>
        <v>Medium</v>
      </c>
      <c r="O3282" t="str">
        <f t="shared" si="206"/>
        <v>High Balance</v>
      </c>
      <c r="P3282" t="str">
        <f t="shared" si="207"/>
        <v>New</v>
      </c>
    </row>
    <row r="3283" spans="1:16" x14ac:dyDescent="0.25">
      <c r="A3283">
        <v>2025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  <c r="M3283" t="str">
        <f t="shared" si="204"/>
        <v>30-45</v>
      </c>
      <c r="N3283" t="str">
        <f t="shared" si="205"/>
        <v>High</v>
      </c>
      <c r="O3283" t="str">
        <f t="shared" si="206"/>
        <v>High Balance</v>
      </c>
      <c r="P3283" t="str">
        <f t="shared" si="207"/>
        <v>New</v>
      </c>
    </row>
    <row r="3284" spans="1:16" x14ac:dyDescent="0.25">
      <c r="A3284">
        <v>2025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  <c r="M3284" t="str">
        <f t="shared" si="204"/>
        <v>30-45</v>
      </c>
      <c r="N3284" t="str">
        <f t="shared" si="205"/>
        <v>Medium</v>
      </c>
      <c r="O3284" t="str">
        <f t="shared" si="206"/>
        <v>High Balance</v>
      </c>
      <c r="P3284" t="str">
        <f t="shared" si="207"/>
        <v>New</v>
      </c>
    </row>
    <row r="3285" spans="1:16" x14ac:dyDescent="0.25">
      <c r="A3285">
        <v>2025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  <c r="M3285" t="str">
        <f t="shared" si="204"/>
        <v>46-60</v>
      </c>
      <c r="N3285" t="str">
        <f t="shared" si="205"/>
        <v>Medium</v>
      </c>
      <c r="O3285" t="str">
        <f t="shared" si="206"/>
        <v>Low Balance</v>
      </c>
      <c r="P3285" t="str">
        <f t="shared" si="207"/>
        <v>Mid-term</v>
      </c>
    </row>
    <row r="3286" spans="1:16" x14ac:dyDescent="0.25">
      <c r="A3286">
        <v>2025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  <c r="M3286" t="str">
        <f t="shared" si="204"/>
        <v>46-60</v>
      </c>
      <c r="N3286" t="str">
        <f t="shared" si="205"/>
        <v>High</v>
      </c>
      <c r="O3286" t="str">
        <f t="shared" si="206"/>
        <v>High Balance</v>
      </c>
      <c r="P3286" t="str">
        <f t="shared" si="207"/>
        <v>Long-term</v>
      </c>
    </row>
    <row r="3287" spans="1:16" x14ac:dyDescent="0.25">
      <c r="A3287">
        <v>2025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  <c r="M3287" t="str">
        <f t="shared" si="204"/>
        <v>30-45</v>
      </c>
      <c r="N3287" t="str">
        <f t="shared" si="205"/>
        <v>High</v>
      </c>
      <c r="O3287" t="str">
        <f t="shared" si="206"/>
        <v>Low Balance</v>
      </c>
      <c r="P3287" t="str">
        <f t="shared" si="207"/>
        <v>Long-term</v>
      </c>
    </row>
    <row r="3288" spans="1:16" x14ac:dyDescent="0.25">
      <c r="A3288">
        <v>2025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  <c r="M3288" t="str">
        <f t="shared" si="204"/>
        <v>30-45</v>
      </c>
      <c r="N3288" t="str">
        <f t="shared" si="205"/>
        <v>Medium</v>
      </c>
      <c r="O3288" t="str">
        <f t="shared" si="206"/>
        <v>Zero Balance</v>
      </c>
      <c r="P3288" t="str">
        <f t="shared" si="207"/>
        <v>New</v>
      </c>
    </row>
    <row r="3289" spans="1:16" x14ac:dyDescent="0.25">
      <c r="A3289">
        <v>2025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  <c r="M3289" t="str">
        <f t="shared" si="204"/>
        <v>30-45</v>
      </c>
      <c r="N3289" t="str">
        <f t="shared" si="205"/>
        <v>Medium</v>
      </c>
      <c r="O3289" t="str">
        <f t="shared" si="206"/>
        <v>Zero Balance</v>
      </c>
      <c r="P3289" t="str">
        <f t="shared" si="207"/>
        <v>New</v>
      </c>
    </row>
    <row r="3290" spans="1:16" x14ac:dyDescent="0.25">
      <c r="A3290">
        <v>2025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  <c r="M3290" t="str">
        <f t="shared" si="204"/>
        <v>30-45</v>
      </c>
      <c r="N3290" t="str">
        <f t="shared" si="205"/>
        <v>Medium</v>
      </c>
      <c r="O3290" t="str">
        <f t="shared" si="206"/>
        <v>High Balance</v>
      </c>
      <c r="P3290" t="str">
        <f t="shared" si="207"/>
        <v>Mid-term</v>
      </c>
    </row>
    <row r="3291" spans="1:16" x14ac:dyDescent="0.25">
      <c r="A3291">
        <v>2025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  <c r="M3291" t="str">
        <f t="shared" si="204"/>
        <v>&lt;30</v>
      </c>
      <c r="N3291" t="str">
        <f t="shared" si="205"/>
        <v>High</v>
      </c>
      <c r="O3291" t="str">
        <f t="shared" si="206"/>
        <v>Zero Balance</v>
      </c>
      <c r="P3291" t="str">
        <f t="shared" si="207"/>
        <v>Long-term</v>
      </c>
    </row>
    <row r="3292" spans="1:16" x14ac:dyDescent="0.25">
      <c r="A3292">
        <v>2025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  <c r="M3292" t="str">
        <f t="shared" si="204"/>
        <v>30-45</v>
      </c>
      <c r="N3292" t="str">
        <f t="shared" si="205"/>
        <v>High</v>
      </c>
      <c r="O3292" t="str">
        <f t="shared" si="206"/>
        <v>Zero Balance</v>
      </c>
      <c r="P3292" t="str">
        <f t="shared" si="207"/>
        <v>Long-term</v>
      </c>
    </row>
    <row r="3293" spans="1:16" x14ac:dyDescent="0.25">
      <c r="A3293">
        <v>2025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  <c r="M3293" t="str">
        <f t="shared" si="204"/>
        <v>&lt;30</v>
      </c>
      <c r="N3293" t="str">
        <f t="shared" si="205"/>
        <v>Medium</v>
      </c>
      <c r="O3293" t="str">
        <f t="shared" si="206"/>
        <v>Zero Balance</v>
      </c>
      <c r="P3293" t="str">
        <f t="shared" si="207"/>
        <v>Long-term</v>
      </c>
    </row>
    <row r="3294" spans="1:16" x14ac:dyDescent="0.25">
      <c r="A3294">
        <v>2025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  <c r="M3294" t="str">
        <f t="shared" si="204"/>
        <v>30-45</v>
      </c>
      <c r="N3294" t="str">
        <f t="shared" si="205"/>
        <v>Low</v>
      </c>
      <c r="O3294" t="str">
        <f t="shared" si="206"/>
        <v>High Balance</v>
      </c>
      <c r="P3294" t="str">
        <f t="shared" si="207"/>
        <v>New</v>
      </c>
    </row>
    <row r="3295" spans="1:16" x14ac:dyDescent="0.25">
      <c r="A3295">
        <v>2025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  <c r="M3295" t="str">
        <f t="shared" si="204"/>
        <v>30-45</v>
      </c>
      <c r="N3295" t="str">
        <f t="shared" si="205"/>
        <v>High</v>
      </c>
      <c r="O3295" t="str">
        <f t="shared" si="206"/>
        <v>Zero Balance</v>
      </c>
      <c r="P3295" t="str">
        <f t="shared" si="207"/>
        <v>New</v>
      </c>
    </row>
    <row r="3296" spans="1:16" x14ac:dyDescent="0.25">
      <c r="A3296">
        <v>2025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  <c r="M3296" t="str">
        <f t="shared" si="204"/>
        <v>30-45</v>
      </c>
      <c r="N3296" t="str">
        <f t="shared" si="205"/>
        <v>Medium</v>
      </c>
      <c r="O3296" t="str">
        <f t="shared" si="206"/>
        <v>High Balance</v>
      </c>
      <c r="P3296" t="str">
        <f t="shared" si="207"/>
        <v>New</v>
      </c>
    </row>
    <row r="3297" spans="1:16" x14ac:dyDescent="0.25">
      <c r="A3297">
        <v>2025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  <c r="M3297" t="str">
        <f t="shared" si="204"/>
        <v>&lt;30</v>
      </c>
      <c r="N3297" t="str">
        <f t="shared" si="205"/>
        <v>High</v>
      </c>
      <c r="O3297" t="str">
        <f t="shared" si="206"/>
        <v>Zero Balance</v>
      </c>
      <c r="P3297" t="str">
        <f t="shared" si="207"/>
        <v>Long-term</v>
      </c>
    </row>
    <row r="3298" spans="1:16" x14ac:dyDescent="0.25">
      <c r="A3298">
        <v>2025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  <c r="M3298" t="str">
        <f t="shared" si="204"/>
        <v>&lt;30</v>
      </c>
      <c r="N3298" t="str">
        <f t="shared" si="205"/>
        <v>Medium</v>
      </c>
      <c r="O3298" t="str">
        <f t="shared" si="206"/>
        <v>High Balance</v>
      </c>
      <c r="P3298" t="str">
        <f t="shared" si="207"/>
        <v>Long-term</v>
      </c>
    </row>
    <row r="3299" spans="1:16" x14ac:dyDescent="0.25">
      <c r="A3299">
        <v>2025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  <c r="M3299" t="str">
        <f t="shared" si="204"/>
        <v>30-45</v>
      </c>
      <c r="N3299" t="str">
        <f t="shared" si="205"/>
        <v>Medium</v>
      </c>
      <c r="O3299" t="str">
        <f t="shared" si="206"/>
        <v>High Balance</v>
      </c>
      <c r="P3299" t="str">
        <f t="shared" si="207"/>
        <v>New</v>
      </c>
    </row>
    <row r="3300" spans="1:16" x14ac:dyDescent="0.25">
      <c r="A3300">
        <v>2025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  <c r="M3300" t="str">
        <f t="shared" si="204"/>
        <v>&lt;30</v>
      </c>
      <c r="N3300" t="str">
        <f t="shared" si="205"/>
        <v>Medium</v>
      </c>
      <c r="O3300" t="str">
        <f t="shared" si="206"/>
        <v>High Balance</v>
      </c>
      <c r="P3300" t="str">
        <f t="shared" si="207"/>
        <v>Long-term</v>
      </c>
    </row>
    <row r="3301" spans="1:16" x14ac:dyDescent="0.25">
      <c r="A3301">
        <v>2025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  <c r="M3301" t="str">
        <f t="shared" si="204"/>
        <v>30-45</v>
      </c>
      <c r="N3301" t="str">
        <f t="shared" si="205"/>
        <v>High</v>
      </c>
      <c r="O3301" t="str">
        <f t="shared" si="206"/>
        <v>Zero Balance</v>
      </c>
      <c r="P3301" t="str">
        <f t="shared" si="207"/>
        <v>Long-term</v>
      </c>
    </row>
    <row r="3302" spans="1:16" x14ac:dyDescent="0.25">
      <c r="A3302">
        <v>2025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  <c r="M3302" t="str">
        <f t="shared" si="204"/>
        <v>&lt;30</v>
      </c>
      <c r="N3302" t="str">
        <f t="shared" si="205"/>
        <v>Medium</v>
      </c>
      <c r="O3302" t="str">
        <f t="shared" si="206"/>
        <v>High Balance</v>
      </c>
      <c r="P3302" t="str">
        <f t="shared" si="207"/>
        <v>New</v>
      </c>
    </row>
    <row r="3303" spans="1:16" x14ac:dyDescent="0.25">
      <c r="A3303">
        <v>2025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  <c r="M3303" t="str">
        <f t="shared" si="204"/>
        <v>30-45</v>
      </c>
      <c r="N3303" t="str">
        <f t="shared" si="205"/>
        <v>Medium</v>
      </c>
      <c r="O3303" t="str">
        <f t="shared" si="206"/>
        <v>High Balance</v>
      </c>
      <c r="P3303" t="str">
        <f t="shared" si="207"/>
        <v>Mid-term</v>
      </c>
    </row>
    <row r="3304" spans="1:16" x14ac:dyDescent="0.25">
      <c r="A3304">
        <v>2025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  <c r="M3304" t="str">
        <f t="shared" si="204"/>
        <v>30-45</v>
      </c>
      <c r="N3304" t="str">
        <f t="shared" si="205"/>
        <v>Medium</v>
      </c>
      <c r="O3304" t="str">
        <f t="shared" si="206"/>
        <v>High Balance</v>
      </c>
      <c r="P3304" t="str">
        <f t="shared" si="207"/>
        <v>Mid-term</v>
      </c>
    </row>
    <row r="3305" spans="1:16" x14ac:dyDescent="0.25">
      <c r="A3305">
        <v>2025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  <c r="M3305" t="str">
        <f t="shared" si="204"/>
        <v>30-45</v>
      </c>
      <c r="N3305" t="str">
        <f t="shared" si="205"/>
        <v>Medium</v>
      </c>
      <c r="O3305" t="str">
        <f t="shared" si="206"/>
        <v>High Balance</v>
      </c>
      <c r="P3305" t="str">
        <f t="shared" si="207"/>
        <v>New</v>
      </c>
    </row>
    <row r="3306" spans="1:16" x14ac:dyDescent="0.25">
      <c r="A3306">
        <v>2025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  <c r="M3306" t="str">
        <f t="shared" si="204"/>
        <v>30-45</v>
      </c>
      <c r="N3306" t="str">
        <f t="shared" si="205"/>
        <v>Medium</v>
      </c>
      <c r="O3306" t="str">
        <f t="shared" si="206"/>
        <v>Low Balance</v>
      </c>
      <c r="P3306" t="str">
        <f t="shared" si="207"/>
        <v>Long-term</v>
      </c>
    </row>
    <row r="3307" spans="1:16" x14ac:dyDescent="0.25">
      <c r="A3307">
        <v>2025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  <c r="M3307" t="str">
        <f t="shared" si="204"/>
        <v>60+</v>
      </c>
      <c r="N3307" t="str">
        <f t="shared" si="205"/>
        <v>High</v>
      </c>
      <c r="O3307" t="str">
        <f t="shared" si="206"/>
        <v>Zero Balance</v>
      </c>
      <c r="P3307" t="str">
        <f t="shared" si="207"/>
        <v>Long-term</v>
      </c>
    </row>
    <row r="3308" spans="1:16" x14ac:dyDescent="0.25">
      <c r="A3308">
        <v>2025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  <c r="M3308" t="str">
        <f t="shared" si="204"/>
        <v>30-45</v>
      </c>
      <c r="N3308" t="str">
        <f t="shared" si="205"/>
        <v>Medium</v>
      </c>
      <c r="O3308" t="str">
        <f t="shared" si="206"/>
        <v>Zero Balance</v>
      </c>
      <c r="P3308" t="str">
        <f t="shared" si="207"/>
        <v>New</v>
      </c>
    </row>
    <row r="3309" spans="1:16" x14ac:dyDescent="0.25">
      <c r="A3309">
        <v>2025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  <c r="M3309" t="str">
        <f t="shared" si="204"/>
        <v>30-45</v>
      </c>
      <c r="N3309" t="str">
        <f t="shared" si="205"/>
        <v>Medium</v>
      </c>
      <c r="O3309" t="str">
        <f t="shared" si="206"/>
        <v>Zero Balance</v>
      </c>
      <c r="P3309" t="str">
        <f t="shared" si="207"/>
        <v>Mid-term</v>
      </c>
    </row>
    <row r="3310" spans="1:16" x14ac:dyDescent="0.25">
      <c r="A3310">
        <v>2025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  <c r="M3310" t="str">
        <f t="shared" si="204"/>
        <v>60+</v>
      </c>
      <c r="N3310" t="str">
        <f t="shared" si="205"/>
        <v>High</v>
      </c>
      <c r="O3310" t="str">
        <f t="shared" si="206"/>
        <v>Low Balance</v>
      </c>
      <c r="P3310" t="str">
        <f t="shared" si="207"/>
        <v>Long-term</v>
      </c>
    </row>
    <row r="3311" spans="1:16" x14ac:dyDescent="0.25">
      <c r="A3311">
        <v>2025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  <c r="M3311" t="str">
        <f t="shared" si="204"/>
        <v>&lt;30</v>
      </c>
      <c r="N3311" t="str">
        <f t="shared" si="205"/>
        <v>Medium</v>
      </c>
      <c r="O3311" t="str">
        <f t="shared" si="206"/>
        <v>High Balance</v>
      </c>
      <c r="P3311" t="str">
        <f t="shared" si="207"/>
        <v>New</v>
      </c>
    </row>
    <row r="3312" spans="1:16" x14ac:dyDescent="0.25">
      <c r="A3312">
        <v>2025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  <c r="M3312" t="str">
        <f t="shared" si="204"/>
        <v>46-60</v>
      </c>
      <c r="N3312" t="str">
        <f t="shared" si="205"/>
        <v>Medium</v>
      </c>
      <c r="O3312" t="str">
        <f t="shared" si="206"/>
        <v>Zero Balance</v>
      </c>
      <c r="P3312" t="str">
        <f t="shared" si="207"/>
        <v>New</v>
      </c>
    </row>
    <row r="3313" spans="1:16" x14ac:dyDescent="0.25">
      <c r="A3313">
        <v>2025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  <c r="M3313" t="str">
        <f t="shared" si="204"/>
        <v>60+</v>
      </c>
      <c r="N3313" t="str">
        <f t="shared" si="205"/>
        <v>Medium</v>
      </c>
      <c r="O3313" t="str">
        <f t="shared" si="206"/>
        <v>Low Balance</v>
      </c>
      <c r="P3313" t="str">
        <f t="shared" si="207"/>
        <v>New</v>
      </c>
    </row>
    <row r="3314" spans="1:16" x14ac:dyDescent="0.25">
      <c r="A3314">
        <v>2025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  <c r="M3314" t="str">
        <f t="shared" si="204"/>
        <v>30-45</v>
      </c>
      <c r="N3314" t="str">
        <f t="shared" si="205"/>
        <v>Medium</v>
      </c>
      <c r="O3314" t="str">
        <f t="shared" si="206"/>
        <v>High Balance</v>
      </c>
      <c r="P3314" t="str">
        <f t="shared" si="207"/>
        <v>Mid-term</v>
      </c>
    </row>
    <row r="3315" spans="1:16" x14ac:dyDescent="0.25">
      <c r="A3315">
        <v>2025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  <c r="M3315" t="str">
        <f t="shared" si="204"/>
        <v>46-60</v>
      </c>
      <c r="N3315" t="str">
        <f t="shared" si="205"/>
        <v>Medium</v>
      </c>
      <c r="O3315" t="str">
        <f t="shared" si="206"/>
        <v>Zero Balance</v>
      </c>
      <c r="P3315" t="str">
        <f t="shared" si="207"/>
        <v>Mid-term</v>
      </c>
    </row>
    <row r="3316" spans="1:16" x14ac:dyDescent="0.25">
      <c r="A3316">
        <v>2025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  <c r="M3316" t="str">
        <f t="shared" si="204"/>
        <v>60+</v>
      </c>
      <c r="N3316" t="str">
        <f t="shared" si="205"/>
        <v>Medium</v>
      </c>
      <c r="O3316" t="str">
        <f t="shared" si="206"/>
        <v>High Balance</v>
      </c>
      <c r="P3316" t="str">
        <f t="shared" si="207"/>
        <v>New</v>
      </c>
    </row>
    <row r="3317" spans="1:16" x14ac:dyDescent="0.25">
      <c r="A3317">
        <v>2025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  <c r="M3317" t="str">
        <f t="shared" si="204"/>
        <v>&lt;30</v>
      </c>
      <c r="N3317" t="str">
        <f t="shared" si="205"/>
        <v>Medium</v>
      </c>
      <c r="O3317" t="str">
        <f t="shared" si="206"/>
        <v>Zero Balance</v>
      </c>
      <c r="P3317" t="str">
        <f t="shared" si="207"/>
        <v>Mid-term</v>
      </c>
    </row>
    <row r="3318" spans="1:16" x14ac:dyDescent="0.25">
      <c r="A3318">
        <v>2025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  <c r="M3318" t="str">
        <f t="shared" si="204"/>
        <v>46-60</v>
      </c>
      <c r="N3318" t="str">
        <f t="shared" si="205"/>
        <v>Medium</v>
      </c>
      <c r="O3318" t="str">
        <f t="shared" si="206"/>
        <v>Low Balance</v>
      </c>
      <c r="P3318" t="str">
        <f t="shared" si="207"/>
        <v>Mid-term</v>
      </c>
    </row>
    <row r="3319" spans="1:16" x14ac:dyDescent="0.25">
      <c r="A3319">
        <v>2025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  <c r="M3319" t="str">
        <f t="shared" si="204"/>
        <v>60+</v>
      </c>
      <c r="N3319" t="str">
        <f t="shared" si="205"/>
        <v>High</v>
      </c>
      <c r="O3319" t="str">
        <f t="shared" si="206"/>
        <v>Zero Balance</v>
      </c>
      <c r="P3319" t="str">
        <f t="shared" si="207"/>
        <v>New</v>
      </c>
    </row>
    <row r="3320" spans="1:16" x14ac:dyDescent="0.25">
      <c r="A3320">
        <v>2025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  <c r="M3320" t="str">
        <f t="shared" si="204"/>
        <v>30-45</v>
      </c>
      <c r="N3320" t="str">
        <f t="shared" si="205"/>
        <v>Medium</v>
      </c>
      <c r="O3320" t="str">
        <f t="shared" si="206"/>
        <v>Zero Balance</v>
      </c>
      <c r="P3320" t="str">
        <f t="shared" si="207"/>
        <v>Mid-term</v>
      </c>
    </row>
    <row r="3321" spans="1:16" x14ac:dyDescent="0.25">
      <c r="A3321">
        <v>2025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  <c r="M3321" t="str">
        <f t="shared" si="204"/>
        <v>30-45</v>
      </c>
      <c r="N3321" t="str">
        <f t="shared" si="205"/>
        <v>Low</v>
      </c>
      <c r="O3321" t="str">
        <f t="shared" si="206"/>
        <v>High Balance</v>
      </c>
      <c r="P3321" t="str">
        <f t="shared" si="207"/>
        <v>New</v>
      </c>
    </row>
    <row r="3322" spans="1:16" x14ac:dyDescent="0.25">
      <c r="A3322">
        <v>2025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  <c r="M3322" t="str">
        <f t="shared" si="204"/>
        <v>&lt;30</v>
      </c>
      <c r="N3322" t="str">
        <f t="shared" si="205"/>
        <v>High</v>
      </c>
      <c r="O3322" t="str">
        <f t="shared" si="206"/>
        <v>Zero Balance</v>
      </c>
      <c r="P3322" t="str">
        <f t="shared" si="207"/>
        <v>New</v>
      </c>
    </row>
    <row r="3323" spans="1:16" x14ac:dyDescent="0.25">
      <c r="A3323">
        <v>2025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  <c r="M3323" t="str">
        <f t="shared" si="204"/>
        <v>30-45</v>
      </c>
      <c r="N3323" t="str">
        <f t="shared" si="205"/>
        <v>Medium</v>
      </c>
      <c r="O3323" t="str">
        <f t="shared" si="206"/>
        <v>Zero Balance</v>
      </c>
      <c r="P3323" t="str">
        <f t="shared" si="207"/>
        <v>Long-term</v>
      </c>
    </row>
    <row r="3324" spans="1:16" x14ac:dyDescent="0.25">
      <c r="A3324">
        <v>2025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  <c r="M3324" t="str">
        <f t="shared" si="204"/>
        <v>30-45</v>
      </c>
      <c r="N3324" t="str">
        <f t="shared" si="205"/>
        <v>Medium</v>
      </c>
      <c r="O3324" t="str">
        <f t="shared" si="206"/>
        <v>Low Balance</v>
      </c>
      <c r="P3324" t="str">
        <f t="shared" si="207"/>
        <v>Long-term</v>
      </c>
    </row>
    <row r="3325" spans="1:16" x14ac:dyDescent="0.25">
      <c r="A3325">
        <v>2025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  <c r="M3325" t="str">
        <f t="shared" si="204"/>
        <v>30-45</v>
      </c>
      <c r="N3325" t="str">
        <f t="shared" si="205"/>
        <v>Low</v>
      </c>
      <c r="O3325" t="str">
        <f t="shared" si="206"/>
        <v>Zero Balance</v>
      </c>
      <c r="P3325" t="str">
        <f t="shared" si="207"/>
        <v>New</v>
      </c>
    </row>
    <row r="3326" spans="1:16" x14ac:dyDescent="0.25">
      <c r="A3326">
        <v>2025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  <c r="M3326" t="str">
        <f t="shared" si="204"/>
        <v>46-60</v>
      </c>
      <c r="N3326" t="str">
        <f t="shared" si="205"/>
        <v>High</v>
      </c>
      <c r="O3326" t="str">
        <f t="shared" si="206"/>
        <v>High Balance</v>
      </c>
      <c r="P3326" t="str">
        <f t="shared" si="207"/>
        <v>Long-term</v>
      </c>
    </row>
    <row r="3327" spans="1:16" x14ac:dyDescent="0.25">
      <c r="A3327">
        <v>2025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  <c r="M3327" t="str">
        <f t="shared" si="204"/>
        <v>30-45</v>
      </c>
      <c r="N3327" t="str">
        <f t="shared" si="205"/>
        <v>Medium</v>
      </c>
      <c r="O3327" t="str">
        <f t="shared" si="206"/>
        <v>Zero Balance</v>
      </c>
      <c r="P3327" t="str">
        <f t="shared" si="207"/>
        <v>Mid-term</v>
      </c>
    </row>
    <row r="3328" spans="1:16" x14ac:dyDescent="0.25">
      <c r="A3328">
        <v>2025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  <c r="M3328" t="str">
        <f t="shared" si="204"/>
        <v>46-60</v>
      </c>
      <c r="N3328" t="str">
        <f t="shared" si="205"/>
        <v>Medium</v>
      </c>
      <c r="O3328" t="str">
        <f t="shared" si="206"/>
        <v>High Balance</v>
      </c>
      <c r="P3328" t="str">
        <f t="shared" si="207"/>
        <v>Mid-term</v>
      </c>
    </row>
    <row r="3329" spans="1:16" x14ac:dyDescent="0.25">
      <c r="A3329">
        <v>2025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  <c r="M3329" t="str">
        <f t="shared" si="204"/>
        <v>30-45</v>
      </c>
      <c r="N3329" t="str">
        <f t="shared" si="205"/>
        <v>High</v>
      </c>
      <c r="O3329" t="str">
        <f t="shared" si="206"/>
        <v>Zero Balance</v>
      </c>
      <c r="P3329" t="str">
        <f t="shared" si="207"/>
        <v>Mid-term</v>
      </c>
    </row>
    <row r="3330" spans="1:16" x14ac:dyDescent="0.25">
      <c r="A3330">
        <v>2025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  <c r="M3330" t="str">
        <f t="shared" si="204"/>
        <v>30-45</v>
      </c>
      <c r="N3330" t="str">
        <f t="shared" si="205"/>
        <v>Medium</v>
      </c>
      <c r="O3330" t="str">
        <f t="shared" si="206"/>
        <v>Zero Balance</v>
      </c>
      <c r="P3330" t="str">
        <f t="shared" si="207"/>
        <v>New</v>
      </c>
    </row>
    <row r="3331" spans="1:16" x14ac:dyDescent="0.25">
      <c r="A3331">
        <v>2025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  <c r="M3331" t="str">
        <f t="shared" ref="M3331:M3394" si="208">IF(E3331&lt;30,"&lt;30",IF(E3331&lt;=45,"30-45",IF(E3331&lt;=60,"46-60","60+")))</f>
        <v>30-45</v>
      </c>
      <c r="N3331" t="str">
        <f t="shared" ref="N3331:N3394" si="209">IF(B3331&lt;500,"Low",IF(B3331&lt;700,"Medium","High"))</f>
        <v>High</v>
      </c>
      <c r="O3331" t="str">
        <f t="shared" ref="O3331:O3394" si="210">IF(G3331=0,"Zero Balance",IF(G3331&lt;100000,"Low Balance","High Balance"))</f>
        <v>Zero Balance</v>
      </c>
      <c r="P3331" t="str">
        <f t="shared" ref="P3331:P3394" si="211">IF(F3331&lt;=3,"New",IF(F3331&lt;=7,"Mid-term","Long-term"))</f>
        <v>New</v>
      </c>
    </row>
    <row r="3332" spans="1:16" x14ac:dyDescent="0.25">
      <c r="A3332">
        <v>2025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  <c r="M3332" t="str">
        <f t="shared" si="208"/>
        <v>&lt;30</v>
      </c>
      <c r="N3332" t="str">
        <f t="shared" si="209"/>
        <v>High</v>
      </c>
      <c r="O3332" t="str">
        <f t="shared" si="210"/>
        <v>Zero Balance</v>
      </c>
      <c r="P3332" t="str">
        <f t="shared" si="211"/>
        <v>Mid-term</v>
      </c>
    </row>
    <row r="3333" spans="1:16" x14ac:dyDescent="0.25">
      <c r="A3333">
        <v>2025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  <c r="M3333" t="str">
        <f t="shared" si="208"/>
        <v>30-45</v>
      </c>
      <c r="N3333" t="str">
        <f t="shared" si="209"/>
        <v>High</v>
      </c>
      <c r="O3333" t="str">
        <f t="shared" si="210"/>
        <v>High Balance</v>
      </c>
      <c r="P3333" t="str">
        <f t="shared" si="211"/>
        <v>Mid-term</v>
      </c>
    </row>
    <row r="3334" spans="1:16" x14ac:dyDescent="0.25">
      <c r="A3334">
        <v>2025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  <c r="M3334" t="str">
        <f t="shared" si="208"/>
        <v>30-45</v>
      </c>
      <c r="N3334" t="str">
        <f t="shared" si="209"/>
        <v>High</v>
      </c>
      <c r="O3334" t="str">
        <f t="shared" si="210"/>
        <v>High Balance</v>
      </c>
      <c r="P3334" t="str">
        <f t="shared" si="211"/>
        <v>New</v>
      </c>
    </row>
    <row r="3335" spans="1:16" x14ac:dyDescent="0.25">
      <c r="A3335">
        <v>2025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  <c r="M3335" t="str">
        <f t="shared" si="208"/>
        <v>30-45</v>
      </c>
      <c r="N3335" t="str">
        <f t="shared" si="209"/>
        <v>Medium</v>
      </c>
      <c r="O3335" t="str">
        <f t="shared" si="210"/>
        <v>Low Balance</v>
      </c>
      <c r="P3335" t="str">
        <f t="shared" si="211"/>
        <v>Mid-term</v>
      </c>
    </row>
    <row r="3336" spans="1:16" x14ac:dyDescent="0.25">
      <c r="A3336">
        <v>2025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  <c r="M3336" t="str">
        <f t="shared" si="208"/>
        <v>&lt;30</v>
      </c>
      <c r="N3336" t="str">
        <f t="shared" si="209"/>
        <v>Medium</v>
      </c>
      <c r="O3336" t="str">
        <f t="shared" si="210"/>
        <v>Zero Balance</v>
      </c>
      <c r="P3336" t="str">
        <f t="shared" si="211"/>
        <v>Mid-term</v>
      </c>
    </row>
    <row r="3337" spans="1:16" x14ac:dyDescent="0.25">
      <c r="A3337">
        <v>2025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  <c r="M3337" t="str">
        <f t="shared" si="208"/>
        <v>30-45</v>
      </c>
      <c r="N3337" t="str">
        <f t="shared" si="209"/>
        <v>Medium</v>
      </c>
      <c r="O3337" t="str">
        <f t="shared" si="210"/>
        <v>Zero Balance</v>
      </c>
      <c r="P3337" t="str">
        <f t="shared" si="211"/>
        <v>Mid-term</v>
      </c>
    </row>
    <row r="3338" spans="1:16" x14ac:dyDescent="0.25">
      <c r="A3338">
        <v>2025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  <c r="M3338" t="str">
        <f t="shared" si="208"/>
        <v>30-45</v>
      </c>
      <c r="N3338" t="str">
        <f t="shared" si="209"/>
        <v>Medium</v>
      </c>
      <c r="O3338" t="str">
        <f t="shared" si="210"/>
        <v>Zero Balance</v>
      </c>
      <c r="P3338" t="str">
        <f t="shared" si="211"/>
        <v>Long-term</v>
      </c>
    </row>
    <row r="3339" spans="1:16" x14ac:dyDescent="0.25">
      <c r="A3339">
        <v>2025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  <c r="M3339" t="str">
        <f t="shared" si="208"/>
        <v>46-60</v>
      </c>
      <c r="N3339" t="str">
        <f t="shared" si="209"/>
        <v>Medium</v>
      </c>
      <c r="O3339" t="str">
        <f t="shared" si="210"/>
        <v>Low Balance</v>
      </c>
      <c r="P3339" t="str">
        <f t="shared" si="211"/>
        <v>Mid-term</v>
      </c>
    </row>
    <row r="3340" spans="1:16" x14ac:dyDescent="0.25">
      <c r="A3340">
        <v>2025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  <c r="M3340" t="str">
        <f t="shared" si="208"/>
        <v>&lt;30</v>
      </c>
      <c r="N3340" t="str">
        <f t="shared" si="209"/>
        <v>Medium</v>
      </c>
      <c r="O3340" t="str">
        <f t="shared" si="210"/>
        <v>Zero Balance</v>
      </c>
      <c r="P3340" t="str">
        <f t="shared" si="211"/>
        <v>New</v>
      </c>
    </row>
    <row r="3341" spans="1:16" x14ac:dyDescent="0.25">
      <c r="A3341">
        <v>2025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  <c r="M3341" t="str">
        <f t="shared" si="208"/>
        <v>&lt;30</v>
      </c>
      <c r="N3341" t="str">
        <f t="shared" si="209"/>
        <v>Medium</v>
      </c>
      <c r="O3341" t="str">
        <f t="shared" si="210"/>
        <v>High Balance</v>
      </c>
      <c r="P3341" t="str">
        <f t="shared" si="211"/>
        <v>Mid-term</v>
      </c>
    </row>
    <row r="3342" spans="1:16" x14ac:dyDescent="0.25">
      <c r="A3342">
        <v>2025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  <c r="M3342" t="str">
        <f t="shared" si="208"/>
        <v>&lt;30</v>
      </c>
      <c r="N3342" t="str">
        <f t="shared" si="209"/>
        <v>High</v>
      </c>
      <c r="O3342" t="str">
        <f t="shared" si="210"/>
        <v>High Balance</v>
      </c>
      <c r="P3342" t="str">
        <f t="shared" si="211"/>
        <v>Mid-term</v>
      </c>
    </row>
    <row r="3343" spans="1:16" x14ac:dyDescent="0.25">
      <c r="A3343">
        <v>2025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  <c r="M3343" t="str">
        <f t="shared" si="208"/>
        <v>&lt;30</v>
      </c>
      <c r="N3343" t="str">
        <f t="shared" si="209"/>
        <v>High</v>
      </c>
      <c r="O3343" t="str">
        <f t="shared" si="210"/>
        <v>Zero Balance</v>
      </c>
      <c r="P3343" t="str">
        <f t="shared" si="211"/>
        <v>New</v>
      </c>
    </row>
    <row r="3344" spans="1:16" x14ac:dyDescent="0.25">
      <c r="A3344">
        <v>2025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  <c r="M3344" t="str">
        <f t="shared" si="208"/>
        <v>46-60</v>
      </c>
      <c r="N3344" t="str">
        <f t="shared" si="209"/>
        <v>High</v>
      </c>
      <c r="O3344" t="str">
        <f t="shared" si="210"/>
        <v>High Balance</v>
      </c>
      <c r="P3344" t="str">
        <f t="shared" si="211"/>
        <v>Mid-term</v>
      </c>
    </row>
    <row r="3345" spans="1:16" x14ac:dyDescent="0.25">
      <c r="A3345">
        <v>2025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  <c r="M3345" t="str">
        <f t="shared" si="208"/>
        <v>30-45</v>
      </c>
      <c r="N3345" t="str">
        <f t="shared" si="209"/>
        <v>Low</v>
      </c>
      <c r="O3345" t="str">
        <f t="shared" si="210"/>
        <v>Low Balance</v>
      </c>
      <c r="P3345" t="str">
        <f t="shared" si="211"/>
        <v>New</v>
      </c>
    </row>
    <row r="3346" spans="1:16" x14ac:dyDescent="0.25">
      <c r="A3346">
        <v>2025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  <c r="M3346" t="str">
        <f t="shared" si="208"/>
        <v>30-45</v>
      </c>
      <c r="N3346" t="str">
        <f t="shared" si="209"/>
        <v>Medium</v>
      </c>
      <c r="O3346" t="str">
        <f t="shared" si="210"/>
        <v>High Balance</v>
      </c>
      <c r="P3346" t="str">
        <f t="shared" si="211"/>
        <v>Long-term</v>
      </c>
    </row>
    <row r="3347" spans="1:16" x14ac:dyDescent="0.25">
      <c r="A3347">
        <v>2025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  <c r="M3347" t="str">
        <f t="shared" si="208"/>
        <v>30-45</v>
      </c>
      <c r="N3347" t="str">
        <f t="shared" si="209"/>
        <v>Medium</v>
      </c>
      <c r="O3347" t="str">
        <f t="shared" si="210"/>
        <v>High Balance</v>
      </c>
      <c r="P3347" t="str">
        <f t="shared" si="211"/>
        <v>Mid-term</v>
      </c>
    </row>
    <row r="3348" spans="1:16" x14ac:dyDescent="0.25">
      <c r="A3348">
        <v>2025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  <c r="M3348" t="str">
        <f t="shared" si="208"/>
        <v>60+</v>
      </c>
      <c r="N3348" t="str">
        <f t="shared" si="209"/>
        <v>High</v>
      </c>
      <c r="O3348" t="str">
        <f t="shared" si="210"/>
        <v>High Balance</v>
      </c>
      <c r="P3348" t="str">
        <f t="shared" si="211"/>
        <v>Mid-term</v>
      </c>
    </row>
    <row r="3349" spans="1:16" x14ac:dyDescent="0.25">
      <c r="A3349">
        <v>2025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  <c r="M3349" t="str">
        <f t="shared" si="208"/>
        <v>30-45</v>
      </c>
      <c r="N3349" t="str">
        <f t="shared" si="209"/>
        <v>High</v>
      </c>
      <c r="O3349" t="str">
        <f t="shared" si="210"/>
        <v>High Balance</v>
      </c>
      <c r="P3349" t="str">
        <f t="shared" si="211"/>
        <v>New</v>
      </c>
    </row>
    <row r="3350" spans="1:16" x14ac:dyDescent="0.25">
      <c r="A3350">
        <v>2025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  <c r="M3350" t="str">
        <f t="shared" si="208"/>
        <v>30-45</v>
      </c>
      <c r="N3350" t="str">
        <f t="shared" si="209"/>
        <v>High</v>
      </c>
      <c r="O3350" t="str">
        <f t="shared" si="210"/>
        <v>High Balance</v>
      </c>
      <c r="P3350" t="str">
        <f t="shared" si="211"/>
        <v>Mid-term</v>
      </c>
    </row>
    <row r="3351" spans="1:16" x14ac:dyDescent="0.25">
      <c r="A3351">
        <v>2025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  <c r="M3351" t="str">
        <f t="shared" si="208"/>
        <v>30-45</v>
      </c>
      <c r="N3351" t="str">
        <f t="shared" si="209"/>
        <v>Medium</v>
      </c>
      <c r="O3351" t="str">
        <f t="shared" si="210"/>
        <v>High Balance</v>
      </c>
      <c r="P3351" t="str">
        <f t="shared" si="211"/>
        <v>Mid-term</v>
      </c>
    </row>
    <row r="3352" spans="1:16" x14ac:dyDescent="0.25">
      <c r="A3352">
        <v>2025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  <c r="M3352" t="str">
        <f t="shared" si="208"/>
        <v>30-45</v>
      </c>
      <c r="N3352" t="str">
        <f t="shared" si="209"/>
        <v>Medium</v>
      </c>
      <c r="O3352" t="str">
        <f t="shared" si="210"/>
        <v>High Balance</v>
      </c>
      <c r="P3352" t="str">
        <f t="shared" si="211"/>
        <v>New</v>
      </c>
    </row>
    <row r="3353" spans="1:16" x14ac:dyDescent="0.25">
      <c r="A3353">
        <v>2025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  <c r="M3353" t="str">
        <f t="shared" si="208"/>
        <v>30-45</v>
      </c>
      <c r="N3353" t="str">
        <f t="shared" si="209"/>
        <v>Low</v>
      </c>
      <c r="O3353" t="str">
        <f t="shared" si="210"/>
        <v>High Balance</v>
      </c>
      <c r="P3353" t="str">
        <f t="shared" si="211"/>
        <v>Long-term</v>
      </c>
    </row>
    <row r="3354" spans="1:16" x14ac:dyDescent="0.25">
      <c r="A3354">
        <v>2025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  <c r="M3354" t="str">
        <f t="shared" si="208"/>
        <v>30-45</v>
      </c>
      <c r="N3354" t="str">
        <f t="shared" si="209"/>
        <v>Medium</v>
      </c>
      <c r="O3354" t="str">
        <f t="shared" si="210"/>
        <v>Low Balance</v>
      </c>
      <c r="P3354" t="str">
        <f t="shared" si="211"/>
        <v>New</v>
      </c>
    </row>
    <row r="3355" spans="1:16" x14ac:dyDescent="0.25">
      <c r="A3355">
        <v>2025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  <c r="M3355" t="str">
        <f t="shared" si="208"/>
        <v>30-45</v>
      </c>
      <c r="N3355" t="str">
        <f t="shared" si="209"/>
        <v>Medium</v>
      </c>
      <c r="O3355" t="str">
        <f t="shared" si="210"/>
        <v>Zero Balance</v>
      </c>
      <c r="P3355" t="str">
        <f t="shared" si="211"/>
        <v>Mid-term</v>
      </c>
    </row>
    <row r="3356" spans="1:16" x14ac:dyDescent="0.25">
      <c r="A3356">
        <v>2025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  <c r="M3356" t="str">
        <f t="shared" si="208"/>
        <v>30-45</v>
      </c>
      <c r="N3356" t="str">
        <f t="shared" si="209"/>
        <v>Medium</v>
      </c>
      <c r="O3356" t="str">
        <f t="shared" si="210"/>
        <v>Zero Balance</v>
      </c>
      <c r="P3356" t="str">
        <f t="shared" si="211"/>
        <v>New</v>
      </c>
    </row>
    <row r="3357" spans="1:16" x14ac:dyDescent="0.25">
      <c r="A3357">
        <v>2025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  <c r="M3357" t="str">
        <f t="shared" si="208"/>
        <v>&lt;30</v>
      </c>
      <c r="N3357" t="str">
        <f t="shared" si="209"/>
        <v>Medium</v>
      </c>
      <c r="O3357" t="str">
        <f t="shared" si="210"/>
        <v>Low Balance</v>
      </c>
      <c r="P3357" t="str">
        <f t="shared" si="211"/>
        <v>Mid-term</v>
      </c>
    </row>
    <row r="3358" spans="1:16" x14ac:dyDescent="0.25">
      <c r="A3358">
        <v>2025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  <c r="M3358" t="str">
        <f t="shared" si="208"/>
        <v>30-45</v>
      </c>
      <c r="N3358" t="str">
        <f t="shared" si="209"/>
        <v>Medium</v>
      </c>
      <c r="O3358" t="str">
        <f t="shared" si="210"/>
        <v>High Balance</v>
      </c>
      <c r="P3358" t="str">
        <f t="shared" si="211"/>
        <v>Long-term</v>
      </c>
    </row>
    <row r="3359" spans="1:16" x14ac:dyDescent="0.25">
      <c r="A3359">
        <v>2025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  <c r="M3359" t="str">
        <f t="shared" si="208"/>
        <v>&lt;30</v>
      </c>
      <c r="N3359" t="str">
        <f t="shared" si="209"/>
        <v>Medium</v>
      </c>
      <c r="O3359" t="str">
        <f t="shared" si="210"/>
        <v>Low Balance</v>
      </c>
      <c r="P3359" t="str">
        <f t="shared" si="211"/>
        <v>Mid-term</v>
      </c>
    </row>
    <row r="3360" spans="1:16" x14ac:dyDescent="0.25">
      <c r="A3360">
        <v>2025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  <c r="M3360" t="str">
        <f t="shared" si="208"/>
        <v>30-45</v>
      </c>
      <c r="N3360" t="str">
        <f t="shared" si="209"/>
        <v>High</v>
      </c>
      <c r="O3360" t="str">
        <f t="shared" si="210"/>
        <v>High Balance</v>
      </c>
      <c r="P3360" t="str">
        <f t="shared" si="211"/>
        <v>Mid-term</v>
      </c>
    </row>
    <row r="3361" spans="1:16" x14ac:dyDescent="0.25">
      <c r="A3361">
        <v>2025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  <c r="M3361" t="str">
        <f t="shared" si="208"/>
        <v>46-60</v>
      </c>
      <c r="N3361" t="str">
        <f t="shared" si="209"/>
        <v>High</v>
      </c>
      <c r="O3361" t="str">
        <f t="shared" si="210"/>
        <v>Zero Balance</v>
      </c>
      <c r="P3361" t="str">
        <f t="shared" si="211"/>
        <v>Mid-term</v>
      </c>
    </row>
    <row r="3362" spans="1:16" x14ac:dyDescent="0.25">
      <c r="A3362">
        <v>2025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  <c r="M3362" t="str">
        <f t="shared" si="208"/>
        <v>30-45</v>
      </c>
      <c r="N3362" t="str">
        <f t="shared" si="209"/>
        <v>High</v>
      </c>
      <c r="O3362" t="str">
        <f t="shared" si="210"/>
        <v>High Balance</v>
      </c>
      <c r="P3362" t="str">
        <f t="shared" si="211"/>
        <v>Mid-term</v>
      </c>
    </row>
    <row r="3363" spans="1:16" x14ac:dyDescent="0.25">
      <c r="A3363">
        <v>2025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  <c r="M3363" t="str">
        <f t="shared" si="208"/>
        <v>46-60</v>
      </c>
      <c r="N3363" t="str">
        <f t="shared" si="209"/>
        <v>Medium</v>
      </c>
      <c r="O3363" t="str">
        <f t="shared" si="210"/>
        <v>Low Balance</v>
      </c>
      <c r="P3363" t="str">
        <f t="shared" si="211"/>
        <v>Mid-term</v>
      </c>
    </row>
    <row r="3364" spans="1:16" x14ac:dyDescent="0.25">
      <c r="A3364">
        <v>2025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  <c r="M3364" t="str">
        <f t="shared" si="208"/>
        <v>30-45</v>
      </c>
      <c r="N3364" t="str">
        <f t="shared" si="209"/>
        <v>High</v>
      </c>
      <c r="O3364" t="str">
        <f t="shared" si="210"/>
        <v>High Balance</v>
      </c>
      <c r="P3364" t="str">
        <f t="shared" si="211"/>
        <v>Long-term</v>
      </c>
    </row>
    <row r="3365" spans="1:16" x14ac:dyDescent="0.25">
      <c r="A3365">
        <v>2025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  <c r="M3365" t="str">
        <f t="shared" si="208"/>
        <v>30-45</v>
      </c>
      <c r="N3365" t="str">
        <f t="shared" si="209"/>
        <v>High</v>
      </c>
      <c r="O3365" t="str">
        <f t="shared" si="210"/>
        <v>High Balance</v>
      </c>
      <c r="P3365" t="str">
        <f t="shared" si="211"/>
        <v>New</v>
      </c>
    </row>
    <row r="3366" spans="1:16" x14ac:dyDescent="0.25">
      <c r="A3366">
        <v>2025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  <c r="M3366" t="str">
        <f t="shared" si="208"/>
        <v>46-60</v>
      </c>
      <c r="N3366" t="str">
        <f t="shared" si="209"/>
        <v>Medium</v>
      </c>
      <c r="O3366" t="str">
        <f t="shared" si="210"/>
        <v>Zero Balance</v>
      </c>
      <c r="P3366" t="str">
        <f t="shared" si="211"/>
        <v>New</v>
      </c>
    </row>
    <row r="3367" spans="1:16" x14ac:dyDescent="0.25">
      <c r="A3367">
        <v>2025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  <c r="M3367" t="str">
        <f t="shared" si="208"/>
        <v>30-45</v>
      </c>
      <c r="N3367" t="str">
        <f t="shared" si="209"/>
        <v>Medium</v>
      </c>
      <c r="O3367" t="str">
        <f t="shared" si="210"/>
        <v>High Balance</v>
      </c>
      <c r="P3367" t="str">
        <f t="shared" si="211"/>
        <v>Mid-term</v>
      </c>
    </row>
    <row r="3368" spans="1:16" x14ac:dyDescent="0.25">
      <c r="A3368">
        <v>2025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  <c r="M3368" t="str">
        <f t="shared" si="208"/>
        <v>60+</v>
      </c>
      <c r="N3368" t="str">
        <f t="shared" si="209"/>
        <v>Medium</v>
      </c>
      <c r="O3368" t="str">
        <f t="shared" si="210"/>
        <v>High Balance</v>
      </c>
      <c r="P3368" t="str">
        <f t="shared" si="211"/>
        <v>New</v>
      </c>
    </row>
    <row r="3369" spans="1:16" x14ac:dyDescent="0.25">
      <c r="A3369">
        <v>2025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  <c r="M3369" t="str">
        <f t="shared" si="208"/>
        <v>30-45</v>
      </c>
      <c r="N3369" t="str">
        <f t="shared" si="209"/>
        <v>Medium</v>
      </c>
      <c r="O3369" t="str">
        <f t="shared" si="210"/>
        <v>High Balance</v>
      </c>
      <c r="P3369" t="str">
        <f t="shared" si="211"/>
        <v>New</v>
      </c>
    </row>
    <row r="3370" spans="1:16" x14ac:dyDescent="0.25">
      <c r="A3370">
        <v>2025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  <c r="M3370" t="str">
        <f t="shared" si="208"/>
        <v>60+</v>
      </c>
      <c r="N3370" t="str">
        <f t="shared" si="209"/>
        <v>Medium</v>
      </c>
      <c r="O3370" t="str">
        <f t="shared" si="210"/>
        <v>Zero Balance</v>
      </c>
      <c r="P3370" t="str">
        <f t="shared" si="211"/>
        <v>Mid-term</v>
      </c>
    </row>
    <row r="3371" spans="1:16" x14ac:dyDescent="0.25">
      <c r="A3371">
        <v>2025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  <c r="M3371" t="str">
        <f t="shared" si="208"/>
        <v>30-45</v>
      </c>
      <c r="N3371" t="str">
        <f t="shared" si="209"/>
        <v>High</v>
      </c>
      <c r="O3371" t="str">
        <f t="shared" si="210"/>
        <v>High Balance</v>
      </c>
      <c r="P3371" t="str">
        <f t="shared" si="211"/>
        <v>Long-term</v>
      </c>
    </row>
    <row r="3372" spans="1:16" x14ac:dyDescent="0.25">
      <c r="A3372">
        <v>2025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  <c r="M3372" t="str">
        <f t="shared" si="208"/>
        <v>46-60</v>
      </c>
      <c r="N3372" t="str">
        <f t="shared" si="209"/>
        <v>Medium</v>
      </c>
      <c r="O3372" t="str">
        <f t="shared" si="210"/>
        <v>Zero Balance</v>
      </c>
      <c r="P3372" t="str">
        <f t="shared" si="211"/>
        <v>Mid-term</v>
      </c>
    </row>
    <row r="3373" spans="1:16" x14ac:dyDescent="0.25">
      <c r="A3373">
        <v>2025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  <c r="M3373" t="str">
        <f t="shared" si="208"/>
        <v>30-45</v>
      </c>
      <c r="N3373" t="str">
        <f t="shared" si="209"/>
        <v>High</v>
      </c>
      <c r="O3373" t="str">
        <f t="shared" si="210"/>
        <v>Low Balance</v>
      </c>
      <c r="P3373" t="str">
        <f t="shared" si="211"/>
        <v>Mid-term</v>
      </c>
    </row>
    <row r="3374" spans="1:16" x14ac:dyDescent="0.25">
      <c r="A3374">
        <v>2025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  <c r="M3374" t="str">
        <f t="shared" si="208"/>
        <v>30-45</v>
      </c>
      <c r="N3374" t="str">
        <f t="shared" si="209"/>
        <v>Medium</v>
      </c>
      <c r="O3374" t="str">
        <f t="shared" si="210"/>
        <v>Low Balance</v>
      </c>
      <c r="P3374" t="str">
        <f t="shared" si="211"/>
        <v>Mid-term</v>
      </c>
    </row>
    <row r="3375" spans="1:16" x14ac:dyDescent="0.25">
      <c r="A3375">
        <v>2025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  <c r="M3375" t="str">
        <f t="shared" si="208"/>
        <v>30-45</v>
      </c>
      <c r="N3375" t="str">
        <f t="shared" si="209"/>
        <v>Medium</v>
      </c>
      <c r="O3375" t="str">
        <f t="shared" si="210"/>
        <v>High Balance</v>
      </c>
      <c r="P3375" t="str">
        <f t="shared" si="211"/>
        <v>New</v>
      </c>
    </row>
    <row r="3376" spans="1:16" x14ac:dyDescent="0.25">
      <c r="A3376">
        <v>2025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  <c r="M3376" t="str">
        <f t="shared" si="208"/>
        <v>46-60</v>
      </c>
      <c r="N3376" t="str">
        <f t="shared" si="209"/>
        <v>High</v>
      </c>
      <c r="O3376" t="str">
        <f t="shared" si="210"/>
        <v>High Balance</v>
      </c>
      <c r="P3376" t="str">
        <f t="shared" si="211"/>
        <v>New</v>
      </c>
    </row>
    <row r="3377" spans="1:16" x14ac:dyDescent="0.25">
      <c r="A3377">
        <v>2025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  <c r="M3377" t="str">
        <f t="shared" si="208"/>
        <v>46-60</v>
      </c>
      <c r="N3377" t="str">
        <f t="shared" si="209"/>
        <v>High</v>
      </c>
      <c r="O3377" t="str">
        <f t="shared" si="210"/>
        <v>Zero Balance</v>
      </c>
      <c r="P3377" t="str">
        <f t="shared" si="211"/>
        <v>Mid-term</v>
      </c>
    </row>
    <row r="3378" spans="1:16" x14ac:dyDescent="0.25">
      <c r="A3378">
        <v>2025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  <c r="M3378" t="str">
        <f t="shared" si="208"/>
        <v>30-45</v>
      </c>
      <c r="N3378" t="str">
        <f t="shared" si="209"/>
        <v>Medium</v>
      </c>
      <c r="O3378" t="str">
        <f t="shared" si="210"/>
        <v>Low Balance</v>
      </c>
      <c r="P3378" t="str">
        <f t="shared" si="211"/>
        <v>Mid-term</v>
      </c>
    </row>
    <row r="3379" spans="1:16" x14ac:dyDescent="0.25">
      <c r="A3379">
        <v>2025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  <c r="M3379" t="str">
        <f t="shared" si="208"/>
        <v>30-45</v>
      </c>
      <c r="N3379" t="str">
        <f t="shared" si="209"/>
        <v>Medium</v>
      </c>
      <c r="O3379" t="str">
        <f t="shared" si="210"/>
        <v>High Balance</v>
      </c>
      <c r="P3379" t="str">
        <f t="shared" si="211"/>
        <v>New</v>
      </c>
    </row>
    <row r="3380" spans="1:16" x14ac:dyDescent="0.25">
      <c r="A3380">
        <v>2025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  <c r="M3380" t="str">
        <f t="shared" si="208"/>
        <v>60+</v>
      </c>
      <c r="N3380" t="str">
        <f t="shared" si="209"/>
        <v>Medium</v>
      </c>
      <c r="O3380" t="str">
        <f t="shared" si="210"/>
        <v>Low Balance</v>
      </c>
      <c r="P3380" t="str">
        <f t="shared" si="211"/>
        <v>Mid-term</v>
      </c>
    </row>
    <row r="3381" spans="1:16" x14ac:dyDescent="0.25">
      <c r="A3381">
        <v>2025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  <c r="M3381" t="str">
        <f t="shared" si="208"/>
        <v>30-45</v>
      </c>
      <c r="N3381" t="str">
        <f t="shared" si="209"/>
        <v>High</v>
      </c>
      <c r="O3381" t="str">
        <f t="shared" si="210"/>
        <v>Zero Balance</v>
      </c>
      <c r="P3381" t="str">
        <f t="shared" si="211"/>
        <v>Mid-term</v>
      </c>
    </row>
    <row r="3382" spans="1:16" x14ac:dyDescent="0.25">
      <c r="A3382">
        <v>2025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  <c r="M3382" t="str">
        <f t="shared" si="208"/>
        <v>&lt;30</v>
      </c>
      <c r="N3382" t="str">
        <f t="shared" si="209"/>
        <v>Medium</v>
      </c>
      <c r="O3382" t="str">
        <f t="shared" si="210"/>
        <v>Zero Balance</v>
      </c>
      <c r="P3382" t="str">
        <f t="shared" si="211"/>
        <v>New</v>
      </c>
    </row>
    <row r="3383" spans="1:16" x14ac:dyDescent="0.25">
      <c r="A3383">
        <v>2025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  <c r="M3383" t="str">
        <f t="shared" si="208"/>
        <v>46-60</v>
      </c>
      <c r="N3383" t="str">
        <f t="shared" si="209"/>
        <v>High</v>
      </c>
      <c r="O3383" t="str">
        <f t="shared" si="210"/>
        <v>High Balance</v>
      </c>
      <c r="P3383" t="str">
        <f t="shared" si="211"/>
        <v>Mid-term</v>
      </c>
    </row>
    <row r="3384" spans="1:16" x14ac:dyDescent="0.25">
      <c r="A3384">
        <v>2025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  <c r="M3384" t="str">
        <f t="shared" si="208"/>
        <v>60+</v>
      </c>
      <c r="N3384" t="str">
        <f t="shared" si="209"/>
        <v>Medium</v>
      </c>
      <c r="O3384" t="str">
        <f t="shared" si="210"/>
        <v>High Balance</v>
      </c>
      <c r="P3384" t="str">
        <f t="shared" si="211"/>
        <v>Mid-term</v>
      </c>
    </row>
    <row r="3385" spans="1:16" x14ac:dyDescent="0.25">
      <c r="A3385">
        <v>2025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  <c r="M3385" t="str">
        <f t="shared" si="208"/>
        <v>30-45</v>
      </c>
      <c r="N3385" t="str">
        <f t="shared" si="209"/>
        <v>Medium</v>
      </c>
      <c r="O3385" t="str">
        <f t="shared" si="210"/>
        <v>High Balance</v>
      </c>
      <c r="P3385" t="str">
        <f t="shared" si="211"/>
        <v>Long-term</v>
      </c>
    </row>
    <row r="3386" spans="1:16" x14ac:dyDescent="0.25">
      <c r="A3386">
        <v>2025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  <c r="M3386" t="str">
        <f t="shared" si="208"/>
        <v>60+</v>
      </c>
      <c r="N3386" t="str">
        <f t="shared" si="209"/>
        <v>High</v>
      </c>
      <c r="O3386" t="str">
        <f t="shared" si="210"/>
        <v>Zero Balance</v>
      </c>
      <c r="P3386" t="str">
        <f t="shared" si="211"/>
        <v>Long-term</v>
      </c>
    </row>
    <row r="3387" spans="1:16" x14ac:dyDescent="0.25">
      <c r="A3387">
        <v>2025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  <c r="M3387" t="str">
        <f t="shared" si="208"/>
        <v>30-45</v>
      </c>
      <c r="N3387" t="str">
        <f t="shared" si="209"/>
        <v>High</v>
      </c>
      <c r="O3387" t="str">
        <f t="shared" si="210"/>
        <v>Low Balance</v>
      </c>
      <c r="P3387" t="str">
        <f t="shared" si="211"/>
        <v>Mid-term</v>
      </c>
    </row>
    <row r="3388" spans="1:16" x14ac:dyDescent="0.25">
      <c r="A3388">
        <v>2025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  <c r="M3388" t="str">
        <f t="shared" si="208"/>
        <v>30-45</v>
      </c>
      <c r="N3388" t="str">
        <f t="shared" si="209"/>
        <v>High</v>
      </c>
      <c r="O3388" t="str">
        <f t="shared" si="210"/>
        <v>Low Balance</v>
      </c>
      <c r="P3388" t="str">
        <f t="shared" si="211"/>
        <v>Mid-term</v>
      </c>
    </row>
    <row r="3389" spans="1:16" x14ac:dyDescent="0.25">
      <c r="A3389">
        <v>2025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  <c r="M3389" t="str">
        <f t="shared" si="208"/>
        <v>60+</v>
      </c>
      <c r="N3389" t="str">
        <f t="shared" si="209"/>
        <v>Medium</v>
      </c>
      <c r="O3389" t="str">
        <f t="shared" si="210"/>
        <v>Low Balance</v>
      </c>
      <c r="P3389" t="str">
        <f t="shared" si="211"/>
        <v>Long-term</v>
      </c>
    </row>
    <row r="3390" spans="1:16" x14ac:dyDescent="0.25">
      <c r="A3390">
        <v>2025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  <c r="M3390" t="str">
        <f t="shared" si="208"/>
        <v>&lt;30</v>
      </c>
      <c r="N3390" t="str">
        <f t="shared" si="209"/>
        <v>Medium</v>
      </c>
      <c r="O3390" t="str">
        <f t="shared" si="210"/>
        <v>High Balance</v>
      </c>
      <c r="P3390" t="str">
        <f t="shared" si="211"/>
        <v>Mid-term</v>
      </c>
    </row>
    <row r="3391" spans="1:16" x14ac:dyDescent="0.25">
      <c r="A3391">
        <v>2025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  <c r="M3391" t="str">
        <f t="shared" si="208"/>
        <v>46-60</v>
      </c>
      <c r="N3391" t="str">
        <f t="shared" si="209"/>
        <v>Low</v>
      </c>
      <c r="O3391" t="str">
        <f t="shared" si="210"/>
        <v>Low Balance</v>
      </c>
      <c r="P3391" t="str">
        <f t="shared" si="211"/>
        <v>Mid-term</v>
      </c>
    </row>
    <row r="3392" spans="1:16" x14ac:dyDescent="0.25">
      <c r="A3392">
        <v>2025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  <c r="M3392" t="str">
        <f t="shared" si="208"/>
        <v>30-45</v>
      </c>
      <c r="N3392" t="str">
        <f t="shared" si="209"/>
        <v>Medium</v>
      </c>
      <c r="O3392" t="str">
        <f t="shared" si="210"/>
        <v>Low Balance</v>
      </c>
      <c r="P3392" t="str">
        <f t="shared" si="211"/>
        <v>Mid-term</v>
      </c>
    </row>
    <row r="3393" spans="1:16" x14ac:dyDescent="0.25">
      <c r="A3393">
        <v>2025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  <c r="M3393" t="str">
        <f t="shared" si="208"/>
        <v>46-60</v>
      </c>
      <c r="N3393" t="str">
        <f t="shared" si="209"/>
        <v>Medium</v>
      </c>
      <c r="O3393" t="str">
        <f t="shared" si="210"/>
        <v>Zero Balance</v>
      </c>
      <c r="P3393" t="str">
        <f t="shared" si="211"/>
        <v>New</v>
      </c>
    </row>
    <row r="3394" spans="1:16" x14ac:dyDescent="0.25">
      <c r="A3394">
        <v>2025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  <c r="M3394" t="str">
        <f t="shared" si="208"/>
        <v>30-45</v>
      </c>
      <c r="N3394" t="str">
        <f t="shared" si="209"/>
        <v>Medium</v>
      </c>
      <c r="O3394" t="str">
        <f t="shared" si="210"/>
        <v>Low Balance</v>
      </c>
      <c r="P3394" t="str">
        <f t="shared" si="211"/>
        <v>Long-term</v>
      </c>
    </row>
    <row r="3395" spans="1:16" x14ac:dyDescent="0.25">
      <c r="A3395">
        <v>2025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  <c r="M3395" t="str">
        <f t="shared" ref="M3395:M3458" si="212">IF(E3395&lt;30,"&lt;30",IF(E3395&lt;=45,"30-45",IF(E3395&lt;=60,"46-60","60+")))</f>
        <v>30-45</v>
      </c>
      <c r="N3395" t="str">
        <f t="shared" ref="N3395:N3458" si="213">IF(B3395&lt;500,"Low",IF(B3395&lt;700,"Medium","High"))</f>
        <v>High</v>
      </c>
      <c r="O3395" t="str">
        <f t="shared" ref="O3395:O3458" si="214">IF(G3395=0,"Zero Balance",IF(G3395&lt;100000,"Low Balance","High Balance"))</f>
        <v>Zero Balance</v>
      </c>
      <c r="P3395" t="str">
        <f t="shared" ref="P3395:P3458" si="215">IF(F3395&lt;=3,"New",IF(F3395&lt;=7,"Mid-term","Long-term"))</f>
        <v>Mid-term</v>
      </c>
    </row>
    <row r="3396" spans="1:16" x14ac:dyDescent="0.25">
      <c r="A3396">
        <v>2025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  <c r="M3396" t="str">
        <f t="shared" si="212"/>
        <v>&lt;30</v>
      </c>
      <c r="N3396" t="str">
        <f t="shared" si="213"/>
        <v>Low</v>
      </c>
      <c r="O3396" t="str">
        <f t="shared" si="214"/>
        <v>Zero Balance</v>
      </c>
      <c r="P3396" t="str">
        <f t="shared" si="215"/>
        <v>Mid-term</v>
      </c>
    </row>
    <row r="3397" spans="1:16" x14ac:dyDescent="0.25">
      <c r="A3397">
        <v>2025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  <c r="M3397" t="str">
        <f t="shared" si="212"/>
        <v>&lt;30</v>
      </c>
      <c r="N3397" t="str">
        <f t="shared" si="213"/>
        <v>High</v>
      </c>
      <c r="O3397" t="str">
        <f t="shared" si="214"/>
        <v>Zero Balance</v>
      </c>
      <c r="P3397" t="str">
        <f t="shared" si="215"/>
        <v>Mid-term</v>
      </c>
    </row>
    <row r="3398" spans="1:16" x14ac:dyDescent="0.25">
      <c r="A3398">
        <v>2025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  <c r="M3398" t="str">
        <f t="shared" si="212"/>
        <v>60+</v>
      </c>
      <c r="N3398" t="str">
        <f t="shared" si="213"/>
        <v>Medium</v>
      </c>
      <c r="O3398" t="str">
        <f t="shared" si="214"/>
        <v>Zero Balance</v>
      </c>
      <c r="P3398" t="str">
        <f t="shared" si="215"/>
        <v>Mid-term</v>
      </c>
    </row>
    <row r="3399" spans="1:16" x14ac:dyDescent="0.25">
      <c r="A3399">
        <v>2025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  <c r="M3399" t="str">
        <f t="shared" si="212"/>
        <v>30-45</v>
      </c>
      <c r="N3399" t="str">
        <f t="shared" si="213"/>
        <v>High</v>
      </c>
      <c r="O3399" t="str">
        <f t="shared" si="214"/>
        <v>High Balance</v>
      </c>
      <c r="P3399" t="str">
        <f t="shared" si="215"/>
        <v>New</v>
      </c>
    </row>
    <row r="3400" spans="1:16" x14ac:dyDescent="0.25">
      <c r="A3400">
        <v>2025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  <c r="M3400" t="str">
        <f t="shared" si="212"/>
        <v>30-45</v>
      </c>
      <c r="N3400" t="str">
        <f t="shared" si="213"/>
        <v>High</v>
      </c>
      <c r="O3400" t="str">
        <f t="shared" si="214"/>
        <v>Zero Balance</v>
      </c>
      <c r="P3400" t="str">
        <f t="shared" si="215"/>
        <v>Long-term</v>
      </c>
    </row>
    <row r="3401" spans="1:16" x14ac:dyDescent="0.25">
      <c r="A3401">
        <v>2025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  <c r="M3401" t="str">
        <f t="shared" si="212"/>
        <v>30-45</v>
      </c>
      <c r="N3401" t="str">
        <f t="shared" si="213"/>
        <v>Medium</v>
      </c>
      <c r="O3401" t="str">
        <f t="shared" si="214"/>
        <v>High Balance</v>
      </c>
      <c r="P3401" t="str">
        <f t="shared" si="215"/>
        <v>Mid-term</v>
      </c>
    </row>
    <row r="3402" spans="1:16" x14ac:dyDescent="0.25">
      <c r="A3402">
        <v>2025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  <c r="M3402" t="str">
        <f t="shared" si="212"/>
        <v>30-45</v>
      </c>
      <c r="N3402" t="str">
        <f t="shared" si="213"/>
        <v>Medium</v>
      </c>
      <c r="O3402" t="str">
        <f t="shared" si="214"/>
        <v>Low Balance</v>
      </c>
      <c r="P3402" t="str">
        <f t="shared" si="215"/>
        <v>New</v>
      </c>
    </row>
    <row r="3403" spans="1:16" x14ac:dyDescent="0.25">
      <c r="A3403">
        <v>2025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  <c r="M3403" t="str">
        <f t="shared" si="212"/>
        <v>30-45</v>
      </c>
      <c r="N3403" t="str">
        <f t="shared" si="213"/>
        <v>Medium</v>
      </c>
      <c r="O3403" t="str">
        <f t="shared" si="214"/>
        <v>High Balance</v>
      </c>
      <c r="P3403" t="str">
        <f t="shared" si="215"/>
        <v>Mid-term</v>
      </c>
    </row>
    <row r="3404" spans="1:16" x14ac:dyDescent="0.25">
      <c r="A3404">
        <v>2025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  <c r="M3404" t="str">
        <f t="shared" si="212"/>
        <v>&lt;30</v>
      </c>
      <c r="N3404" t="str">
        <f t="shared" si="213"/>
        <v>Medium</v>
      </c>
      <c r="O3404" t="str">
        <f t="shared" si="214"/>
        <v>High Balance</v>
      </c>
      <c r="P3404" t="str">
        <f t="shared" si="215"/>
        <v>Mid-term</v>
      </c>
    </row>
    <row r="3405" spans="1:16" x14ac:dyDescent="0.25">
      <c r="A3405">
        <v>2025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  <c r="M3405" t="str">
        <f t="shared" si="212"/>
        <v>60+</v>
      </c>
      <c r="N3405" t="str">
        <f t="shared" si="213"/>
        <v>Medium</v>
      </c>
      <c r="O3405" t="str">
        <f t="shared" si="214"/>
        <v>High Balance</v>
      </c>
      <c r="P3405" t="str">
        <f t="shared" si="215"/>
        <v>Mid-term</v>
      </c>
    </row>
    <row r="3406" spans="1:16" x14ac:dyDescent="0.25">
      <c r="A3406">
        <v>2025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  <c r="M3406" t="str">
        <f t="shared" si="212"/>
        <v>&lt;30</v>
      </c>
      <c r="N3406" t="str">
        <f t="shared" si="213"/>
        <v>Medium</v>
      </c>
      <c r="O3406" t="str">
        <f t="shared" si="214"/>
        <v>Zero Balance</v>
      </c>
      <c r="P3406" t="str">
        <f t="shared" si="215"/>
        <v>New</v>
      </c>
    </row>
    <row r="3407" spans="1:16" x14ac:dyDescent="0.25">
      <c r="A3407">
        <v>2025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  <c r="M3407" t="str">
        <f t="shared" si="212"/>
        <v>46-60</v>
      </c>
      <c r="N3407" t="str">
        <f t="shared" si="213"/>
        <v>Medium</v>
      </c>
      <c r="O3407" t="str">
        <f t="shared" si="214"/>
        <v>Zero Balance</v>
      </c>
      <c r="P3407" t="str">
        <f t="shared" si="215"/>
        <v>Long-term</v>
      </c>
    </row>
    <row r="3408" spans="1:16" x14ac:dyDescent="0.25">
      <c r="A3408">
        <v>2025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  <c r="M3408" t="str">
        <f t="shared" si="212"/>
        <v>&lt;30</v>
      </c>
      <c r="N3408" t="str">
        <f t="shared" si="213"/>
        <v>Medium</v>
      </c>
      <c r="O3408" t="str">
        <f t="shared" si="214"/>
        <v>Low Balance</v>
      </c>
      <c r="P3408" t="str">
        <f t="shared" si="215"/>
        <v>Mid-term</v>
      </c>
    </row>
    <row r="3409" spans="1:16" x14ac:dyDescent="0.25">
      <c r="A3409">
        <v>2025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  <c r="M3409" t="str">
        <f t="shared" si="212"/>
        <v>30-45</v>
      </c>
      <c r="N3409" t="str">
        <f t="shared" si="213"/>
        <v>Medium</v>
      </c>
      <c r="O3409" t="str">
        <f t="shared" si="214"/>
        <v>High Balance</v>
      </c>
      <c r="P3409" t="str">
        <f t="shared" si="215"/>
        <v>New</v>
      </c>
    </row>
    <row r="3410" spans="1:16" x14ac:dyDescent="0.25">
      <c r="A3410">
        <v>2025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  <c r="M3410" t="str">
        <f t="shared" si="212"/>
        <v>30-45</v>
      </c>
      <c r="N3410" t="str">
        <f t="shared" si="213"/>
        <v>High</v>
      </c>
      <c r="O3410" t="str">
        <f t="shared" si="214"/>
        <v>High Balance</v>
      </c>
      <c r="P3410" t="str">
        <f t="shared" si="215"/>
        <v>Long-term</v>
      </c>
    </row>
    <row r="3411" spans="1:16" x14ac:dyDescent="0.25">
      <c r="A3411">
        <v>2025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  <c r="M3411" t="str">
        <f t="shared" si="212"/>
        <v>46-60</v>
      </c>
      <c r="N3411" t="str">
        <f t="shared" si="213"/>
        <v>Medium</v>
      </c>
      <c r="O3411" t="str">
        <f t="shared" si="214"/>
        <v>High Balance</v>
      </c>
      <c r="P3411" t="str">
        <f t="shared" si="215"/>
        <v>Mid-term</v>
      </c>
    </row>
    <row r="3412" spans="1:16" x14ac:dyDescent="0.25">
      <c r="A3412">
        <v>2025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  <c r="M3412" t="str">
        <f t="shared" si="212"/>
        <v>30-45</v>
      </c>
      <c r="N3412" t="str">
        <f t="shared" si="213"/>
        <v>Low</v>
      </c>
      <c r="O3412" t="str">
        <f t="shared" si="214"/>
        <v>High Balance</v>
      </c>
      <c r="P3412" t="str">
        <f t="shared" si="215"/>
        <v>New</v>
      </c>
    </row>
    <row r="3413" spans="1:16" x14ac:dyDescent="0.25">
      <c r="A3413">
        <v>2025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  <c r="M3413" t="str">
        <f t="shared" si="212"/>
        <v>30-45</v>
      </c>
      <c r="N3413" t="str">
        <f t="shared" si="213"/>
        <v>High</v>
      </c>
      <c r="O3413" t="str">
        <f t="shared" si="214"/>
        <v>High Balance</v>
      </c>
      <c r="P3413" t="str">
        <f t="shared" si="215"/>
        <v>Long-term</v>
      </c>
    </row>
    <row r="3414" spans="1:16" x14ac:dyDescent="0.25">
      <c r="A3414">
        <v>2025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  <c r="M3414" t="str">
        <f t="shared" si="212"/>
        <v>&lt;30</v>
      </c>
      <c r="N3414" t="str">
        <f t="shared" si="213"/>
        <v>Medium</v>
      </c>
      <c r="O3414" t="str">
        <f t="shared" si="214"/>
        <v>High Balance</v>
      </c>
      <c r="P3414" t="str">
        <f t="shared" si="215"/>
        <v>Mid-term</v>
      </c>
    </row>
    <row r="3415" spans="1:16" x14ac:dyDescent="0.25">
      <c r="A3415">
        <v>2025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  <c r="M3415" t="str">
        <f t="shared" si="212"/>
        <v>30-45</v>
      </c>
      <c r="N3415" t="str">
        <f t="shared" si="213"/>
        <v>Medium</v>
      </c>
      <c r="O3415" t="str">
        <f t="shared" si="214"/>
        <v>Zero Balance</v>
      </c>
      <c r="P3415" t="str">
        <f t="shared" si="215"/>
        <v>New</v>
      </c>
    </row>
    <row r="3416" spans="1:16" x14ac:dyDescent="0.25">
      <c r="A3416">
        <v>2025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  <c r="M3416" t="str">
        <f t="shared" si="212"/>
        <v>30-45</v>
      </c>
      <c r="N3416" t="str">
        <f t="shared" si="213"/>
        <v>Medium</v>
      </c>
      <c r="O3416" t="str">
        <f t="shared" si="214"/>
        <v>Zero Balance</v>
      </c>
      <c r="P3416" t="str">
        <f t="shared" si="215"/>
        <v>New</v>
      </c>
    </row>
    <row r="3417" spans="1:16" x14ac:dyDescent="0.25">
      <c r="A3417">
        <v>2025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  <c r="M3417" t="str">
        <f t="shared" si="212"/>
        <v>30-45</v>
      </c>
      <c r="N3417" t="str">
        <f t="shared" si="213"/>
        <v>Medium</v>
      </c>
      <c r="O3417" t="str">
        <f t="shared" si="214"/>
        <v>Low Balance</v>
      </c>
      <c r="P3417" t="str">
        <f t="shared" si="215"/>
        <v>Mid-term</v>
      </c>
    </row>
    <row r="3418" spans="1:16" x14ac:dyDescent="0.25">
      <c r="A3418">
        <v>2025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  <c r="M3418" t="str">
        <f t="shared" si="212"/>
        <v>30-45</v>
      </c>
      <c r="N3418" t="str">
        <f t="shared" si="213"/>
        <v>Medium</v>
      </c>
      <c r="O3418" t="str">
        <f t="shared" si="214"/>
        <v>Zero Balance</v>
      </c>
      <c r="P3418" t="str">
        <f t="shared" si="215"/>
        <v>Long-term</v>
      </c>
    </row>
    <row r="3419" spans="1:16" x14ac:dyDescent="0.25">
      <c r="A3419">
        <v>2025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  <c r="M3419" t="str">
        <f t="shared" si="212"/>
        <v>30-45</v>
      </c>
      <c r="N3419" t="str">
        <f t="shared" si="213"/>
        <v>Medium</v>
      </c>
      <c r="O3419" t="str">
        <f t="shared" si="214"/>
        <v>Low Balance</v>
      </c>
      <c r="P3419" t="str">
        <f t="shared" si="215"/>
        <v>Long-term</v>
      </c>
    </row>
    <row r="3420" spans="1:16" x14ac:dyDescent="0.25">
      <c r="A3420">
        <v>2025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  <c r="M3420" t="str">
        <f t="shared" si="212"/>
        <v>30-45</v>
      </c>
      <c r="N3420" t="str">
        <f t="shared" si="213"/>
        <v>High</v>
      </c>
      <c r="O3420" t="str">
        <f t="shared" si="214"/>
        <v>Zero Balance</v>
      </c>
      <c r="P3420" t="str">
        <f t="shared" si="215"/>
        <v>New</v>
      </c>
    </row>
    <row r="3421" spans="1:16" x14ac:dyDescent="0.25">
      <c r="A3421">
        <v>2025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  <c r="M3421" t="str">
        <f t="shared" si="212"/>
        <v>&lt;30</v>
      </c>
      <c r="N3421" t="str">
        <f t="shared" si="213"/>
        <v>Medium</v>
      </c>
      <c r="O3421" t="str">
        <f t="shared" si="214"/>
        <v>Zero Balance</v>
      </c>
      <c r="P3421" t="str">
        <f t="shared" si="215"/>
        <v>Long-term</v>
      </c>
    </row>
    <row r="3422" spans="1:16" x14ac:dyDescent="0.25">
      <c r="A3422">
        <v>2025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  <c r="M3422" t="str">
        <f t="shared" si="212"/>
        <v>30-45</v>
      </c>
      <c r="N3422" t="str">
        <f t="shared" si="213"/>
        <v>Medium</v>
      </c>
      <c r="O3422" t="str">
        <f t="shared" si="214"/>
        <v>Zero Balance</v>
      </c>
      <c r="P3422" t="str">
        <f t="shared" si="215"/>
        <v>New</v>
      </c>
    </row>
    <row r="3423" spans="1:16" x14ac:dyDescent="0.25">
      <c r="A3423">
        <v>2025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  <c r="M3423" t="str">
        <f t="shared" si="212"/>
        <v>30-45</v>
      </c>
      <c r="N3423" t="str">
        <f t="shared" si="213"/>
        <v>Medium</v>
      </c>
      <c r="O3423" t="str">
        <f t="shared" si="214"/>
        <v>High Balance</v>
      </c>
      <c r="P3423" t="str">
        <f t="shared" si="215"/>
        <v>New</v>
      </c>
    </row>
    <row r="3424" spans="1:16" x14ac:dyDescent="0.25">
      <c r="A3424">
        <v>2025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  <c r="M3424" t="str">
        <f t="shared" si="212"/>
        <v>30-45</v>
      </c>
      <c r="N3424" t="str">
        <f t="shared" si="213"/>
        <v>Medium</v>
      </c>
      <c r="O3424" t="str">
        <f t="shared" si="214"/>
        <v>High Balance</v>
      </c>
      <c r="P3424" t="str">
        <f t="shared" si="215"/>
        <v>New</v>
      </c>
    </row>
    <row r="3425" spans="1:16" x14ac:dyDescent="0.25">
      <c r="A3425">
        <v>2025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  <c r="M3425" t="str">
        <f t="shared" si="212"/>
        <v>30-45</v>
      </c>
      <c r="N3425" t="str">
        <f t="shared" si="213"/>
        <v>Low</v>
      </c>
      <c r="O3425" t="str">
        <f t="shared" si="214"/>
        <v>Low Balance</v>
      </c>
      <c r="P3425" t="str">
        <f t="shared" si="215"/>
        <v>Long-term</v>
      </c>
    </row>
    <row r="3426" spans="1:16" x14ac:dyDescent="0.25">
      <c r="A3426">
        <v>2025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  <c r="M3426" t="str">
        <f t="shared" si="212"/>
        <v>30-45</v>
      </c>
      <c r="N3426" t="str">
        <f t="shared" si="213"/>
        <v>Medium</v>
      </c>
      <c r="O3426" t="str">
        <f t="shared" si="214"/>
        <v>Zero Balance</v>
      </c>
      <c r="P3426" t="str">
        <f t="shared" si="215"/>
        <v>Mid-term</v>
      </c>
    </row>
    <row r="3427" spans="1:16" x14ac:dyDescent="0.25">
      <c r="A3427">
        <v>2025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  <c r="M3427" t="str">
        <f t="shared" si="212"/>
        <v>30-45</v>
      </c>
      <c r="N3427" t="str">
        <f t="shared" si="213"/>
        <v>High</v>
      </c>
      <c r="O3427" t="str">
        <f t="shared" si="214"/>
        <v>High Balance</v>
      </c>
      <c r="P3427" t="str">
        <f t="shared" si="215"/>
        <v>Mid-term</v>
      </c>
    </row>
    <row r="3428" spans="1:16" x14ac:dyDescent="0.25">
      <c r="A3428">
        <v>2025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  <c r="M3428" t="str">
        <f t="shared" si="212"/>
        <v>46-60</v>
      </c>
      <c r="N3428" t="str">
        <f t="shared" si="213"/>
        <v>Medium</v>
      </c>
      <c r="O3428" t="str">
        <f t="shared" si="214"/>
        <v>Zero Balance</v>
      </c>
      <c r="P3428" t="str">
        <f t="shared" si="215"/>
        <v>Long-term</v>
      </c>
    </row>
    <row r="3429" spans="1:16" x14ac:dyDescent="0.25">
      <c r="A3429">
        <v>2025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  <c r="M3429" t="str">
        <f t="shared" si="212"/>
        <v>30-45</v>
      </c>
      <c r="N3429" t="str">
        <f t="shared" si="213"/>
        <v>Low</v>
      </c>
      <c r="O3429" t="str">
        <f t="shared" si="214"/>
        <v>High Balance</v>
      </c>
      <c r="P3429" t="str">
        <f t="shared" si="215"/>
        <v>Long-term</v>
      </c>
    </row>
    <row r="3430" spans="1:16" x14ac:dyDescent="0.25">
      <c r="A3430">
        <v>2025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  <c r="M3430" t="str">
        <f t="shared" si="212"/>
        <v>30-45</v>
      </c>
      <c r="N3430" t="str">
        <f t="shared" si="213"/>
        <v>Medium</v>
      </c>
      <c r="O3430" t="str">
        <f t="shared" si="214"/>
        <v>Zero Balance</v>
      </c>
      <c r="P3430" t="str">
        <f t="shared" si="215"/>
        <v>Mid-term</v>
      </c>
    </row>
    <row r="3431" spans="1:16" x14ac:dyDescent="0.25">
      <c r="A3431">
        <v>2025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  <c r="M3431" t="str">
        <f t="shared" si="212"/>
        <v>30-45</v>
      </c>
      <c r="N3431" t="str">
        <f t="shared" si="213"/>
        <v>High</v>
      </c>
      <c r="O3431" t="str">
        <f t="shared" si="214"/>
        <v>Low Balance</v>
      </c>
      <c r="P3431" t="str">
        <f t="shared" si="215"/>
        <v>Long-term</v>
      </c>
    </row>
    <row r="3432" spans="1:16" x14ac:dyDescent="0.25">
      <c r="A3432">
        <v>2025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  <c r="M3432" t="str">
        <f t="shared" si="212"/>
        <v>30-45</v>
      </c>
      <c r="N3432" t="str">
        <f t="shared" si="213"/>
        <v>Medium</v>
      </c>
      <c r="O3432" t="str">
        <f t="shared" si="214"/>
        <v>High Balance</v>
      </c>
      <c r="P3432" t="str">
        <f t="shared" si="215"/>
        <v>New</v>
      </c>
    </row>
    <row r="3433" spans="1:16" x14ac:dyDescent="0.25">
      <c r="A3433">
        <v>2025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  <c r="M3433" t="str">
        <f t="shared" si="212"/>
        <v>30-45</v>
      </c>
      <c r="N3433" t="str">
        <f t="shared" si="213"/>
        <v>Low</v>
      </c>
      <c r="O3433" t="str">
        <f t="shared" si="214"/>
        <v>Low Balance</v>
      </c>
      <c r="P3433" t="str">
        <f t="shared" si="215"/>
        <v>New</v>
      </c>
    </row>
    <row r="3434" spans="1:16" x14ac:dyDescent="0.25">
      <c r="A3434">
        <v>2025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  <c r="M3434" t="str">
        <f t="shared" si="212"/>
        <v>&lt;30</v>
      </c>
      <c r="N3434" t="str">
        <f t="shared" si="213"/>
        <v>High</v>
      </c>
      <c r="O3434" t="str">
        <f t="shared" si="214"/>
        <v>Zero Balance</v>
      </c>
      <c r="P3434" t="str">
        <f t="shared" si="215"/>
        <v>Mid-term</v>
      </c>
    </row>
    <row r="3435" spans="1:16" x14ac:dyDescent="0.25">
      <c r="A3435">
        <v>2025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  <c r="M3435" t="str">
        <f t="shared" si="212"/>
        <v>30-45</v>
      </c>
      <c r="N3435" t="str">
        <f t="shared" si="213"/>
        <v>Medium</v>
      </c>
      <c r="O3435" t="str">
        <f t="shared" si="214"/>
        <v>High Balance</v>
      </c>
      <c r="P3435" t="str">
        <f t="shared" si="215"/>
        <v>Mid-term</v>
      </c>
    </row>
    <row r="3436" spans="1:16" x14ac:dyDescent="0.25">
      <c r="A3436">
        <v>2025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  <c r="M3436" t="str">
        <f t="shared" si="212"/>
        <v>60+</v>
      </c>
      <c r="N3436" t="str">
        <f t="shared" si="213"/>
        <v>Medium</v>
      </c>
      <c r="O3436" t="str">
        <f t="shared" si="214"/>
        <v>High Balance</v>
      </c>
      <c r="P3436" t="str">
        <f t="shared" si="215"/>
        <v>Mid-term</v>
      </c>
    </row>
    <row r="3437" spans="1:16" x14ac:dyDescent="0.25">
      <c r="A3437">
        <v>2025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  <c r="M3437" t="str">
        <f t="shared" si="212"/>
        <v>30-45</v>
      </c>
      <c r="N3437" t="str">
        <f t="shared" si="213"/>
        <v>Medium</v>
      </c>
      <c r="O3437" t="str">
        <f t="shared" si="214"/>
        <v>Low Balance</v>
      </c>
      <c r="P3437" t="str">
        <f t="shared" si="215"/>
        <v>Mid-term</v>
      </c>
    </row>
    <row r="3438" spans="1:16" x14ac:dyDescent="0.25">
      <c r="A3438">
        <v>2025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  <c r="M3438" t="str">
        <f t="shared" si="212"/>
        <v>30-45</v>
      </c>
      <c r="N3438" t="str">
        <f t="shared" si="213"/>
        <v>Medium</v>
      </c>
      <c r="O3438" t="str">
        <f t="shared" si="214"/>
        <v>Zero Balance</v>
      </c>
      <c r="P3438" t="str">
        <f t="shared" si="215"/>
        <v>Long-term</v>
      </c>
    </row>
    <row r="3439" spans="1:16" x14ac:dyDescent="0.25">
      <c r="A3439">
        <v>2025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  <c r="M3439" t="str">
        <f t="shared" si="212"/>
        <v>30-45</v>
      </c>
      <c r="N3439" t="str">
        <f t="shared" si="213"/>
        <v>High</v>
      </c>
      <c r="O3439" t="str">
        <f t="shared" si="214"/>
        <v>Zero Balance</v>
      </c>
      <c r="P3439" t="str">
        <f t="shared" si="215"/>
        <v>New</v>
      </c>
    </row>
    <row r="3440" spans="1:16" x14ac:dyDescent="0.25">
      <c r="A3440">
        <v>2025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  <c r="M3440" t="str">
        <f t="shared" si="212"/>
        <v>30-45</v>
      </c>
      <c r="N3440" t="str">
        <f t="shared" si="213"/>
        <v>Low</v>
      </c>
      <c r="O3440" t="str">
        <f t="shared" si="214"/>
        <v>Zero Balance</v>
      </c>
      <c r="P3440" t="str">
        <f t="shared" si="215"/>
        <v>New</v>
      </c>
    </row>
    <row r="3441" spans="1:16" x14ac:dyDescent="0.25">
      <c r="A3441">
        <v>2025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  <c r="M3441" t="str">
        <f t="shared" si="212"/>
        <v>30-45</v>
      </c>
      <c r="N3441" t="str">
        <f t="shared" si="213"/>
        <v>High</v>
      </c>
      <c r="O3441" t="str">
        <f t="shared" si="214"/>
        <v>High Balance</v>
      </c>
      <c r="P3441" t="str">
        <f t="shared" si="215"/>
        <v>Mid-term</v>
      </c>
    </row>
    <row r="3442" spans="1:16" x14ac:dyDescent="0.25">
      <c r="A3442">
        <v>2025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  <c r="M3442" t="str">
        <f t="shared" si="212"/>
        <v>46-60</v>
      </c>
      <c r="N3442" t="str">
        <f t="shared" si="213"/>
        <v>High</v>
      </c>
      <c r="O3442" t="str">
        <f t="shared" si="214"/>
        <v>Low Balance</v>
      </c>
      <c r="P3442" t="str">
        <f t="shared" si="215"/>
        <v>New</v>
      </c>
    </row>
    <row r="3443" spans="1:16" x14ac:dyDescent="0.25">
      <c r="A3443">
        <v>2025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  <c r="M3443" t="str">
        <f t="shared" si="212"/>
        <v>30-45</v>
      </c>
      <c r="N3443" t="str">
        <f t="shared" si="213"/>
        <v>Medium</v>
      </c>
      <c r="O3443" t="str">
        <f t="shared" si="214"/>
        <v>Zero Balance</v>
      </c>
      <c r="P3443" t="str">
        <f t="shared" si="215"/>
        <v>New</v>
      </c>
    </row>
    <row r="3444" spans="1:16" x14ac:dyDescent="0.25">
      <c r="A3444">
        <v>2025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  <c r="M3444" t="str">
        <f t="shared" si="212"/>
        <v>30-45</v>
      </c>
      <c r="N3444" t="str">
        <f t="shared" si="213"/>
        <v>High</v>
      </c>
      <c r="O3444" t="str">
        <f t="shared" si="214"/>
        <v>High Balance</v>
      </c>
      <c r="P3444" t="str">
        <f t="shared" si="215"/>
        <v>Long-term</v>
      </c>
    </row>
    <row r="3445" spans="1:16" x14ac:dyDescent="0.25">
      <c r="A3445">
        <v>2025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  <c r="M3445" t="str">
        <f t="shared" si="212"/>
        <v>46-60</v>
      </c>
      <c r="N3445" t="str">
        <f t="shared" si="213"/>
        <v>Medium</v>
      </c>
      <c r="O3445" t="str">
        <f t="shared" si="214"/>
        <v>Zero Balance</v>
      </c>
      <c r="P3445" t="str">
        <f t="shared" si="215"/>
        <v>Mid-term</v>
      </c>
    </row>
    <row r="3446" spans="1:16" x14ac:dyDescent="0.25">
      <c r="A3446">
        <v>2025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  <c r="M3446" t="str">
        <f t="shared" si="212"/>
        <v>30-45</v>
      </c>
      <c r="N3446" t="str">
        <f t="shared" si="213"/>
        <v>Low</v>
      </c>
      <c r="O3446" t="str">
        <f t="shared" si="214"/>
        <v>Zero Balance</v>
      </c>
      <c r="P3446" t="str">
        <f t="shared" si="215"/>
        <v>Mid-term</v>
      </c>
    </row>
    <row r="3447" spans="1:16" x14ac:dyDescent="0.25">
      <c r="A3447">
        <v>2025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  <c r="M3447" t="str">
        <f t="shared" si="212"/>
        <v>&lt;30</v>
      </c>
      <c r="N3447" t="str">
        <f t="shared" si="213"/>
        <v>Medium</v>
      </c>
      <c r="O3447" t="str">
        <f t="shared" si="214"/>
        <v>High Balance</v>
      </c>
      <c r="P3447" t="str">
        <f t="shared" si="215"/>
        <v>New</v>
      </c>
    </row>
    <row r="3448" spans="1:16" x14ac:dyDescent="0.25">
      <c r="A3448">
        <v>2025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  <c r="M3448" t="str">
        <f t="shared" si="212"/>
        <v>30-45</v>
      </c>
      <c r="N3448" t="str">
        <f t="shared" si="213"/>
        <v>Medium</v>
      </c>
      <c r="O3448" t="str">
        <f t="shared" si="214"/>
        <v>Low Balance</v>
      </c>
      <c r="P3448" t="str">
        <f t="shared" si="215"/>
        <v>Long-term</v>
      </c>
    </row>
    <row r="3449" spans="1:16" x14ac:dyDescent="0.25">
      <c r="A3449">
        <v>2025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  <c r="M3449" t="str">
        <f t="shared" si="212"/>
        <v>30-45</v>
      </c>
      <c r="N3449" t="str">
        <f t="shared" si="213"/>
        <v>Medium</v>
      </c>
      <c r="O3449" t="str">
        <f t="shared" si="214"/>
        <v>High Balance</v>
      </c>
      <c r="P3449" t="str">
        <f t="shared" si="215"/>
        <v>Long-term</v>
      </c>
    </row>
    <row r="3450" spans="1:16" x14ac:dyDescent="0.25">
      <c r="A3450">
        <v>2025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  <c r="M3450" t="str">
        <f t="shared" si="212"/>
        <v>30-45</v>
      </c>
      <c r="N3450" t="str">
        <f t="shared" si="213"/>
        <v>Medium</v>
      </c>
      <c r="O3450" t="str">
        <f t="shared" si="214"/>
        <v>High Balance</v>
      </c>
      <c r="P3450" t="str">
        <f t="shared" si="215"/>
        <v>Mid-term</v>
      </c>
    </row>
    <row r="3451" spans="1:16" x14ac:dyDescent="0.25">
      <c r="A3451">
        <v>2025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  <c r="M3451" t="str">
        <f t="shared" si="212"/>
        <v>46-60</v>
      </c>
      <c r="N3451" t="str">
        <f t="shared" si="213"/>
        <v>High</v>
      </c>
      <c r="O3451" t="str">
        <f t="shared" si="214"/>
        <v>High Balance</v>
      </c>
      <c r="P3451" t="str">
        <f t="shared" si="215"/>
        <v>Long-term</v>
      </c>
    </row>
    <row r="3452" spans="1:16" x14ac:dyDescent="0.25">
      <c r="A3452">
        <v>2025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  <c r="M3452" t="str">
        <f t="shared" si="212"/>
        <v>30-45</v>
      </c>
      <c r="N3452" t="str">
        <f t="shared" si="213"/>
        <v>Medium</v>
      </c>
      <c r="O3452" t="str">
        <f t="shared" si="214"/>
        <v>High Balance</v>
      </c>
      <c r="P3452" t="str">
        <f t="shared" si="215"/>
        <v>New</v>
      </c>
    </row>
    <row r="3453" spans="1:16" x14ac:dyDescent="0.25">
      <c r="A3453">
        <v>2025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  <c r="M3453" t="str">
        <f t="shared" si="212"/>
        <v>&lt;30</v>
      </c>
      <c r="N3453" t="str">
        <f t="shared" si="213"/>
        <v>Medium</v>
      </c>
      <c r="O3453" t="str">
        <f t="shared" si="214"/>
        <v>Zero Balance</v>
      </c>
      <c r="P3453" t="str">
        <f t="shared" si="215"/>
        <v>New</v>
      </c>
    </row>
    <row r="3454" spans="1:16" x14ac:dyDescent="0.25">
      <c r="A3454">
        <v>2025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  <c r="M3454" t="str">
        <f t="shared" si="212"/>
        <v>46-60</v>
      </c>
      <c r="N3454" t="str">
        <f t="shared" si="213"/>
        <v>High</v>
      </c>
      <c r="O3454" t="str">
        <f t="shared" si="214"/>
        <v>Low Balance</v>
      </c>
      <c r="P3454" t="str">
        <f t="shared" si="215"/>
        <v>New</v>
      </c>
    </row>
    <row r="3455" spans="1:16" x14ac:dyDescent="0.25">
      <c r="A3455">
        <v>2025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  <c r="M3455" t="str">
        <f t="shared" si="212"/>
        <v>30-45</v>
      </c>
      <c r="N3455" t="str">
        <f t="shared" si="213"/>
        <v>Medium</v>
      </c>
      <c r="O3455" t="str">
        <f t="shared" si="214"/>
        <v>High Balance</v>
      </c>
      <c r="P3455" t="str">
        <f t="shared" si="215"/>
        <v>Long-term</v>
      </c>
    </row>
    <row r="3456" spans="1:16" x14ac:dyDescent="0.25">
      <c r="A3456">
        <v>2025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  <c r="M3456" t="str">
        <f t="shared" si="212"/>
        <v>&lt;30</v>
      </c>
      <c r="N3456" t="str">
        <f t="shared" si="213"/>
        <v>Medium</v>
      </c>
      <c r="O3456" t="str">
        <f t="shared" si="214"/>
        <v>High Balance</v>
      </c>
      <c r="P3456" t="str">
        <f t="shared" si="215"/>
        <v>New</v>
      </c>
    </row>
    <row r="3457" spans="1:16" x14ac:dyDescent="0.25">
      <c r="A3457">
        <v>2025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  <c r="M3457" t="str">
        <f t="shared" si="212"/>
        <v>&lt;30</v>
      </c>
      <c r="N3457" t="str">
        <f t="shared" si="213"/>
        <v>High</v>
      </c>
      <c r="O3457" t="str">
        <f t="shared" si="214"/>
        <v>Zero Balance</v>
      </c>
      <c r="P3457" t="str">
        <f t="shared" si="215"/>
        <v>Long-term</v>
      </c>
    </row>
    <row r="3458" spans="1:16" x14ac:dyDescent="0.25">
      <c r="A3458">
        <v>2025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  <c r="M3458" t="str">
        <f t="shared" si="212"/>
        <v>30-45</v>
      </c>
      <c r="N3458" t="str">
        <f t="shared" si="213"/>
        <v>High</v>
      </c>
      <c r="O3458" t="str">
        <f t="shared" si="214"/>
        <v>Low Balance</v>
      </c>
      <c r="P3458" t="str">
        <f t="shared" si="215"/>
        <v>Mid-term</v>
      </c>
    </row>
    <row r="3459" spans="1:16" x14ac:dyDescent="0.25">
      <c r="A3459">
        <v>2025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  <c r="M3459" t="str">
        <f t="shared" ref="M3459:M3522" si="216">IF(E3459&lt;30,"&lt;30",IF(E3459&lt;=45,"30-45",IF(E3459&lt;=60,"46-60","60+")))</f>
        <v>30-45</v>
      </c>
      <c r="N3459" t="str">
        <f t="shared" ref="N3459:N3522" si="217">IF(B3459&lt;500,"Low",IF(B3459&lt;700,"Medium","High"))</f>
        <v>Medium</v>
      </c>
      <c r="O3459" t="str">
        <f t="shared" ref="O3459:O3522" si="218">IF(G3459=0,"Zero Balance",IF(G3459&lt;100000,"Low Balance","High Balance"))</f>
        <v>High Balance</v>
      </c>
      <c r="P3459" t="str">
        <f t="shared" ref="P3459:P3522" si="219">IF(F3459&lt;=3,"New",IF(F3459&lt;=7,"Mid-term","Long-term"))</f>
        <v>Long-term</v>
      </c>
    </row>
    <row r="3460" spans="1:16" x14ac:dyDescent="0.25">
      <c r="A3460">
        <v>2025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  <c r="M3460" t="str">
        <f t="shared" si="216"/>
        <v>30-45</v>
      </c>
      <c r="N3460" t="str">
        <f t="shared" si="217"/>
        <v>High</v>
      </c>
      <c r="O3460" t="str">
        <f t="shared" si="218"/>
        <v>Zero Balance</v>
      </c>
      <c r="P3460" t="str">
        <f t="shared" si="219"/>
        <v>Long-term</v>
      </c>
    </row>
    <row r="3461" spans="1:16" x14ac:dyDescent="0.25">
      <c r="A3461">
        <v>2025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  <c r="M3461" t="str">
        <f t="shared" si="216"/>
        <v>30-45</v>
      </c>
      <c r="N3461" t="str">
        <f t="shared" si="217"/>
        <v>High</v>
      </c>
      <c r="O3461" t="str">
        <f t="shared" si="218"/>
        <v>Zero Balance</v>
      </c>
      <c r="P3461" t="str">
        <f t="shared" si="219"/>
        <v>Long-term</v>
      </c>
    </row>
    <row r="3462" spans="1:16" x14ac:dyDescent="0.25">
      <c r="A3462">
        <v>2025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  <c r="M3462" t="str">
        <f t="shared" si="216"/>
        <v>30-45</v>
      </c>
      <c r="N3462" t="str">
        <f t="shared" si="217"/>
        <v>Low</v>
      </c>
      <c r="O3462" t="str">
        <f t="shared" si="218"/>
        <v>High Balance</v>
      </c>
      <c r="P3462" t="str">
        <f t="shared" si="219"/>
        <v>Mid-term</v>
      </c>
    </row>
    <row r="3463" spans="1:16" x14ac:dyDescent="0.25">
      <c r="A3463">
        <v>2025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  <c r="M3463" t="str">
        <f t="shared" si="216"/>
        <v>30-45</v>
      </c>
      <c r="N3463" t="str">
        <f t="shared" si="217"/>
        <v>High</v>
      </c>
      <c r="O3463" t="str">
        <f t="shared" si="218"/>
        <v>Low Balance</v>
      </c>
      <c r="P3463" t="str">
        <f t="shared" si="219"/>
        <v>Mid-term</v>
      </c>
    </row>
    <row r="3464" spans="1:16" x14ac:dyDescent="0.25">
      <c r="A3464">
        <v>2025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  <c r="M3464" t="str">
        <f t="shared" si="216"/>
        <v>60+</v>
      </c>
      <c r="N3464" t="str">
        <f t="shared" si="217"/>
        <v>Low</v>
      </c>
      <c r="O3464" t="str">
        <f t="shared" si="218"/>
        <v>High Balance</v>
      </c>
      <c r="P3464" t="str">
        <f t="shared" si="219"/>
        <v>New</v>
      </c>
    </row>
    <row r="3465" spans="1:16" x14ac:dyDescent="0.25">
      <c r="A3465">
        <v>2025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  <c r="M3465" t="str">
        <f t="shared" si="216"/>
        <v>30-45</v>
      </c>
      <c r="N3465" t="str">
        <f t="shared" si="217"/>
        <v>Medium</v>
      </c>
      <c r="O3465" t="str">
        <f t="shared" si="218"/>
        <v>High Balance</v>
      </c>
      <c r="P3465" t="str">
        <f t="shared" si="219"/>
        <v>Long-term</v>
      </c>
    </row>
    <row r="3466" spans="1:16" x14ac:dyDescent="0.25">
      <c r="A3466">
        <v>2025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  <c r="M3466" t="str">
        <f t="shared" si="216"/>
        <v>30-45</v>
      </c>
      <c r="N3466" t="str">
        <f t="shared" si="217"/>
        <v>Medium</v>
      </c>
      <c r="O3466" t="str">
        <f t="shared" si="218"/>
        <v>High Balance</v>
      </c>
      <c r="P3466" t="str">
        <f t="shared" si="219"/>
        <v>Mid-term</v>
      </c>
    </row>
    <row r="3467" spans="1:16" x14ac:dyDescent="0.25">
      <c r="A3467">
        <v>2025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  <c r="M3467" t="str">
        <f t="shared" si="216"/>
        <v>30-45</v>
      </c>
      <c r="N3467" t="str">
        <f t="shared" si="217"/>
        <v>Medium</v>
      </c>
      <c r="O3467" t="str">
        <f t="shared" si="218"/>
        <v>Low Balance</v>
      </c>
      <c r="P3467" t="str">
        <f t="shared" si="219"/>
        <v>New</v>
      </c>
    </row>
    <row r="3468" spans="1:16" x14ac:dyDescent="0.25">
      <c r="A3468">
        <v>2025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  <c r="M3468" t="str">
        <f t="shared" si="216"/>
        <v>&lt;30</v>
      </c>
      <c r="N3468" t="str">
        <f t="shared" si="217"/>
        <v>High</v>
      </c>
      <c r="O3468" t="str">
        <f t="shared" si="218"/>
        <v>Zero Balance</v>
      </c>
      <c r="P3468" t="str">
        <f t="shared" si="219"/>
        <v>Mid-term</v>
      </c>
    </row>
    <row r="3469" spans="1:16" x14ac:dyDescent="0.25">
      <c r="A3469">
        <v>2025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  <c r="M3469" t="str">
        <f t="shared" si="216"/>
        <v>30-45</v>
      </c>
      <c r="N3469" t="str">
        <f t="shared" si="217"/>
        <v>Medium</v>
      </c>
      <c r="O3469" t="str">
        <f t="shared" si="218"/>
        <v>Low Balance</v>
      </c>
      <c r="P3469" t="str">
        <f t="shared" si="219"/>
        <v>New</v>
      </c>
    </row>
    <row r="3470" spans="1:16" x14ac:dyDescent="0.25">
      <c r="A3470">
        <v>2025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  <c r="M3470" t="str">
        <f t="shared" si="216"/>
        <v>46-60</v>
      </c>
      <c r="N3470" t="str">
        <f t="shared" si="217"/>
        <v>High</v>
      </c>
      <c r="O3470" t="str">
        <f t="shared" si="218"/>
        <v>Zero Balance</v>
      </c>
      <c r="P3470" t="str">
        <f t="shared" si="219"/>
        <v>New</v>
      </c>
    </row>
    <row r="3471" spans="1:16" x14ac:dyDescent="0.25">
      <c r="A3471">
        <v>2025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  <c r="M3471" t="str">
        <f t="shared" si="216"/>
        <v>&lt;30</v>
      </c>
      <c r="N3471" t="str">
        <f t="shared" si="217"/>
        <v>Medium</v>
      </c>
      <c r="O3471" t="str">
        <f t="shared" si="218"/>
        <v>Low Balance</v>
      </c>
      <c r="P3471" t="str">
        <f t="shared" si="219"/>
        <v>New</v>
      </c>
    </row>
    <row r="3472" spans="1:16" x14ac:dyDescent="0.25">
      <c r="A3472">
        <v>2025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  <c r="M3472" t="str">
        <f t="shared" si="216"/>
        <v>30-45</v>
      </c>
      <c r="N3472" t="str">
        <f t="shared" si="217"/>
        <v>Medium</v>
      </c>
      <c r="O3472" t="str">
        <f t="shared" si="218"/>
        <v>Zero Balance</v>
      </c>
      <c r="P3472" t="str">
        <f t="shared" si="219"/>
        <v>New</v>
      </c>
    </row>
    <row r="3473" spans="1:16" x14ac:dyDescent="0.25">
      <c r="A3473">
        <v>2025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  <c r="M3473" t="str">
        <f t="shared" si="216"/>
        <v>&lt;30</v>
      </c>
      <c r="N3473" t="str">
        <f t="shared" si="217"/>
        <v>Medium</v>
      </c>
      <c r="O3473" t="str">
        <f t="shared" si="218"/>
        <v>High Balance</v>
      </c>
      <c r="P3473" t="str">
        <f t="shared" si="219"/>
        <v>New</v>
      </c>
    </row>
    <row r="3474" spans="1:16" x14ac:dyDescent="0.25">
      <c r="A3474">
        <v>2025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  <c r="M3474" t="str">
        <f t="shared" si="216"/>
        <v>30-45</v>
      </c>
      <c r="N3474" t="str">
        <f t="shared" si="217"/>
        <v>Medium</v>
      </c>
      <c r="O3474" t="str">
        <f t="shared" si="218"/>
        <v>High Balance</v>
      </c>
      <c r="P3474" t="str">
        <f t="shared" si="219"/>
        <v>Long-term</v>
      </c>
    </row>
    <row r="3475" spans="1:16" x14ac:dyDescent="0.25">
      <c r="A3475">
        <v>2025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  <c r="M3475" t="str">
        <f t="shared" si="216"/>
        <v>30-45</v>
      </c>
      <c r="N3475" t="str">
        <f t="shared" si="217"/>
        <v>Medium</v>
      </c>
      <c r="O3475" t="str">
        <f t="shared" si="218"/>
        <v>Zero Balance</v>
      </c>
      <c r="P3475" t="str">
        <f t="shared" si="219"/>
        <v>New</v>
      </c>
    </row>
    <row r="3476" spans="1:16" x14ac:dyDescent="0.25">
      <c r="A3476">
        <v>2025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  <c r="M3476" t="str">
        <f t="shared" si="216"/>
        <v>30-45</v>
      </c>
      <c r="N3476" t="str">
        <f t="shared" si="217"/>
        <v>High</v>
      </c>
      <c r="O3476" t="str">
        <f t="shared" si="218"/>
        <v>Low Balance</v>
      </c>
      <c r="P3476" t="str">
        <f t="shared" si="219"/>
        <v>Mid-term</v>
      </c>
    </row>
    <row r="3477" spans="1:16" x14ac:dyDescent="0.25">
      <c r="A3477">
        <v>2025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  <c r="M3477" t="str">
        <f t="shared" si="216"/>
        <v>30-45</v>
      </c>
      <c r="N3477" t="str">
        <f t="shared" si="217"/>
        <v>High</v>
      </c>
      <c r="O3477" t="str">
        <f t="shared" si="218"/>
        <v>Low Balance</v>
      </c>
      <c r="P3477" t="str">
        <f t="shared" si="219"/>
        <v>Mid-term</v>
      </c>
    </row>
    <row r="3478" spans="1:16" x14ac:dyDescent="0.25">
      <c r="A3478">
        <v>2025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  <c r="M3478" t="str">
        <f t="shared" si="216"/>
        <v>30-45</v>
      </c>
      <c r="N3478" t="str">
        <f t="shared" si="217"/>
        <v>High</v>
      </c>
      <c r="O3478" t="str">
        <f t="shared" si="218"/>
        <v>High Balance</v>
      </c>
      <c r="P3478" t="str">
        <f t="shared" si="219"/>
        <v>New</v>
      </c>
    </row>
    <row r="3479" spans="1:16" x14ac:dyDescent="0.25">
      <c r="A3479">
        <v>2025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  <c r="M3479" t="str">
        <f t="shared" si="216"/>
        <v>30-45</v>
      </c>
      <c r="N3479" t="str">
        <f t="shared" si="217"/>
        <v>Medium</v>
      </c>
      <c r="O3479" t="str">
        <f t="shared" si="218"/>
        <v>Zero Balance</v>
      </c>
      <c r="P3479" t="str">
        <f t="shared" si="219"/>
        <v>Mid-term</v>
      </c>
    </row>
    <row r="3480" spans="1:16" x14ac:dyDescent="0.25">
      <c r="A3480">
        <v>2025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  <c r="M3480" t="str">
        <f t="shared" si="216"/>
        <v>&lt;30</v>
      </c>
      <c r="N3480" t="str">
        <f t="shared" si="217"/>
        <v>Medium</v>
      </c>
      <c r="O3480" t="str">
        <f t="shared" si="218"/>
        <v>High Balance</v>
      </c>
      <c r="P3480" t="str">
        <f t="shared" si="219"/>
        <v>New</v>
      </c>
    </row>
    <row r="3481" spans="1:16" x14ac:dyDescent="0.25">
      <c r="A3481">
        <v>2025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  <c r="M3481" t="str">
        <f t="shared" si="216"/>
        <v>46-60</v>
      </c>
      <c r="N3481" t="str">
        <f t="shared" si="217"/>
        <v>Low</v>
      </c>
      <c r="O3481" t="str">
        <f t="shared" si="218"/>
        <v>Low Balance</v>
      </c>
      <c r="P3481" t="str">
        <f t="shared" si="219"/>
        <v>Mid-term</v>
      </c>
    </row>
    <row r="3482" spans="1:16" x14ac:dyDescent="0.25">
      <c r="A3482">
        <v>2025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  <c r="M3482" t="str">
        <f t="shared" si="216"/>
        <v>30-45</v>
      </c>
      <c r="N3482" t="str">
        <f t="shared" si="217"/>
        <v>Medium</v>
      </c>
      <c r="O3482" t="str">
        <f t="shared" si="218"/>
        <v>High Balance</v>
      </c>
      <c r="P3482" t="str">
        <f t="shared" si="219"/>
        <v>New</v>
      </c>
    </row>
    <row r="3483" spans="1:16" x14ac:dyDescent="0.25">
      <c r="A3483">
        <v>2025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  <c r="M3483" t="str">
        <f t="shared" si="216"/>
        <v>30-45</v>
      </c>
      <c r="N3483" t="str">
        <f t="shared" si="217"/>
        <v>High</v>
      </c>
      <c r="O3483" t="str">
        <f t="shared" si="218"/>
        <v>Low Balance</v>
      </c>
      <c r="P3483" t="str">
        <f t="shared" si="219"/>
        <v>Long-term</v>
      </c>
    </row>
    <row r="3484" spans="1:16" x14ac:dyDescent="0.25">
      <c r="A3484">
        <v>2025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  <c r="M3484" t="str">
        <f t="shared" si="216"/>
        <v>30-45</v>
      </c>
      <c r="N3484" t="str">
        <f t="shared" si="217"/>
        <v>Medium</v>
      </c>
      <c r="O3484" t="str">
        <f t="shared" si="218"/>
        <v>Zero Balance</v>
      </c>
      <c r="P3484" t="str">
        <f t="shared" si="219"/>
        <v>New</v>
      </c>
    </row>
    <row r="3485" spans="1:16" x14ac:dyDescent="0.25">
      <c r="A3485">
        <v>2025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  <c r="M3485" t="str">
        <f t="shared" si="216"/>
        <v>30-45</v>
      </c>
      <c r="N3485" t="str">
        <f t="shared" si="217"/>
        <v>Low</v>
      </c>
      <c r="O3485" t="str">
        <f t="shared" si="218"/>
        <v>Zero Balance</v>
      </c>
      <c r="P3485" t="str">
        <f t="shared" si="219"/>
        <v>Mid-term</v>
      </c>
    </row>
    <row r="3486" spans="1:16" x14ac:dyDescent="0.25">
      <c r="A3486">
        <v>2025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  <c r="M3486" t="str">
        <f t="shared" si="216"/>
        <v>&lt;30</v>
      </c>
      <c r="N3486" t="str">
        <f t="shared" si="217"/>
        <v>High</v>
      </c>
      <c r="O3486" t="str">
        <f t="shared" si="218"/>
        <v>Low Balance</v>
      </c>
      <c r="P3486" t="str">
        <f t="shared" si="219"/>
        <v>New</v>
      </c>
    </row>
    <row r="3487" spans="1:16" x14ac:dyDescent="0.25">
      <c r="A3487">
        <v>2025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  <c r="M3487" t="str">
        <f t="shared" si="216"/>
        <v>30-45</v>
      </c>
      <c r="N3487" t="str">
        <f t="shared" si="217"/>
        <v>Medium</v>
      </c>
      <c r="O3487" t="str">
        <f t="shared" si="218"/>
        <v>Zero Balance</v>
      </c>
      <c r="P3487" t="str">
        <f t="shared" si="219"/>
        <v>New</v>
      </c>
    </row>
    <row r="3488" spans="1:16" x14ac:dyDescent="0.25">
      <c r="A3488">
        <v>2025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  <c r="M3488" t="str">
        <f t="shared" si="216"/>
        <v>&lt;30</v>
      </c>
      <c r="N3488" t="str">
        <f t="shared" si="217"/>
        <v>Medium</v>
      </c>
      <c r="O3488" t="str">
        <f t="shared" si="218"/>
        <v>Low Balance</v>
      </c>
      <c r="P3488" t="str">
        <f t="shared" si="219"/>
        <v>Long-term</v>
      </c>
    </row>
    <row r="3489" spans="1:16" x14ac:dyDescent="0.25">
      <c r="A3489">
        <v>2025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  <c r="M3489" t="str">
        <f t="shared" si="216"/>
        <v>30-45</v>
      </c>
      <c r="N3489" t="str">
        <f t="shared" si="217"/>
        <v>Medium</v>
      </c>
      <c r="O3489" t="str">
        <f t="shared" si="218"/>
        <v>Low Balance</v>
      </c>
      <c r="P3489" t="str">
        <f t="shared" si="219"/>
        <v>Mid-term</v>
      </c>
    </row>
    <row r="3490" spans="1:16" x14ac:dyDescent="0.25">
      <c r="A3490">
        <v>2025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  <c r="M3490" t="str">
        <f t="shared" si="216"/>
        <v>30-45</v>
      </c>
      <c r="N3490" t="str">
        <f t="shared" si="217"/>
        <v>Medium</v>
      </c>
      <c r="O3490" t="str">
        <f t="shared" si="218"/>
        <v>Low Balance</v>
      </c>
      <c r="P3490" t="str">
        <f t="shared" si="219"/>
        <v>New</v>
      </c>
    </row>
    <row r="3491" spans="1:16" x14ac:dyDescent="0.25">
      <c r="A3491">
        <v>2025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  <c r="M3491" t="str">
        <f t="shared" si="216"/>
        <v>30-45</v>
      </c>
      <c r="N3491" t="str">
        <f t="shared" si="217"/>
        <v>Medium</v>
      </c>
      <c r="O3491" t="str">
        <f t="shared" si="218"/>
        <v>Zero Balance</v>
      </c>
      <c r="P3491" t="str">
        <f t="shared" si="219"/>
        <v>Long-term</v>
      </c>
    </row>
    <row r="3492" spans="1:16" x14ac:dyDescent="0.25">
      <c r="A3492">
        <v>2025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  <c r="M3492" t="str">
        <f t="shared" si="216"/>
        <v>&lt;30</v>
      </c>
      <c r="N3492" t="str">
        <f t="shared" si="217"/>
        <v>Low</v>
      </c>
      <c r="O3492" t="str">
        <f t="shared" si="218"/>
        <v>Zero Balance</v>
      </c>
      <c r="P3492" t="str">
        <f t="shared" si="219"/>
        <v>Mid-term</v>
      </c>
    </row>
    <row r="3493" spans="1:16" x14ac:dyDescent="0.25">
      <c r="A3493">
        <v>2025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  <c r="M3493" t="str">
        <f t="shared" si="216"/>
        <v>30-45</v>
      </c>
      <c r="N3493" t="str">
        <f t="shared" si="217"/>
        <v>Medium</v>
      </c>
      <c r="O3493" t="str">
        <f t="shared" si="218"/>
        <v>Low Balance</v>
      </c>
      <c r="P3493" t="str">
        <f t="shared" si="219"/>
        <v>Mid-term</v>
      </c>
    </row>
    <row r="3494" spans="1:16" x14ac:dyDescent="0.25">
      <c r="A3494">
        <v>2025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  <c r="M3494" t="str">
        <f t="shared" si="216"/>
        <v>30-45</v>
      </c>
      <c r="N3494" t="str">
        <f t="shared" si="217"/>
        <v>Medium</v>
      </c>
      <c r="O3494" t="str">
        <f t="shared" si="218"/>
        <v>Low Balance</v>
      </c>
      <c r="P3494" t="str">
        <f t="shared" si="219"/>
        <v>Mid-term</v>
      </c>
    </row>
    <row r="3495" spans="1:16" x14ac:dyDescent="0.25">
      <c r="A3495">
        <v>2025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  <c r="M3495" t="str">
        <f t="shared" si="216"/>
        <v>46-60</v>
      </c>
      <c r="N3495" t="str">
        <f t="shared" si="217"/>
        <v>Medium</v>
      </c>
      <c r="O3495" t="str">
        <f t="shared" si="218"/>
        <v>Zero Balance</v>
      </c>
      <c r="P3495" t="str">
        <f t="shared" si="219"/>
        <v>New</v>
      </c>
    </row>
    <row r="3496" spans="1:16" x14ac:dyDescent="0.25">
      <c r="A3496">
        <v>2025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  <c r="M3496" t="str">
        <f t="shared" si="216"/>
        <v>30-45</v>
      </c>
      <c r="N3496" t="str">
        <f t="shared" si="217"/>
        <v>Medium</v>
      </c>
      <c r="O3496" t="str">
        <f t="shared" si="218"/>
        <v>Low Balance</v>
      </c>
      <c r="P3496" t="str">
        <f t="shared" si="219"/>
        <v>Mid-term</v>
      </c>
    </row>
    <row r="3497" spans="1:16" x14ac:dyDescent="0.25">
      <c r="A3497">
        <v>2025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  <c r="M3497" t="str">
        <f t="shared" si="216"/>
        <v>46-60</v>
      </c>
      <c r="N3497" t="str">
        <f t="shared" si="217"/>
        <v>Medium</v>
      </c>
      <c r="O3497" t="str">
        <f t="shared" si="218"/>
        <v>High Balance</v>
      </c>
      <c r="P3497" t="str">
        <f t="shared" si="219"/>
        <v>Mid-term</v>
      </c>
    </row>
    <row r="3498" spans="1:16" x14ac:dyDescent="0.25">
      <c r="A3498">
        <v>2025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  <c r="M3498" t="str">
        <f t="shared" si="216"/>
        <v>&lt;30</v>
      </c>
      <c r="N3498" t="str">
        <f t="shared" si="217"/>
        <v>High</v>
      </c>
      <c r="O3498" t="str">
        <f t="shared" si="218"/>
        <v>Zero Balance</v>
      </c>
      <c r="P3498" t="str">
        <f t="shared" si="219"/>
        <v>New</v>
      </c>
    </row>
    <row r="3499" spans="1:16" x14ac:dyDescent="0.25">
      <c r="A3499">
        <v>2025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  <c r="M3499" t="str">
        <f t="shared" si="216"/>
        <v>60+</v>
      </c>
      <c r="N3499" t="str">
        <f t="shared" si="217"/>
        <v>Low</v>
      </c>
      <c r="O3499" t="str">
        <f t="shared" si="218"/>
        <v>High Balance</v>
      </c>
      <c r="P3499" t="str">
        <f t="shared" si="219"/>
        <v>New</v>
      </c>
    </row>
    <row r="3500" spans="1:16" x14ac:dyDescent="0.25">
      <c r="A3500">
        <v>2025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  <c r="M3500" t="str">
        <f t="shared" si="216"/>
        <v>30-45</v>
      </c>
      <c r="N3500" t="str">
        <f t="shared" si="217"/>
        <v>Medium</v>
      </c>
      <c r="O3500" t="str">
        <f t="shared" si="218"/>
        <v>High Balance</v>
      </c>
      <c r="P3500" t="str">
        <f t="shared" si="219"/>
        <v>Mid-term</v>
      </c>
    </row>
    <row r="3501" spans="1:16" x14ac:dyDescent="0.25">
      <c r="A3501">
        <v>2025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  <c r="M3501" t="str">
        <f t="shared" si="216"/>
        <v>60+</v>
      </c>
      <c r="N3501" t="str">
        <f t="shared" si="217"/>
        <v>Medium</v>
      </c>
      <c r="O3501" t="str">
        <f t="shared" si="218"/>
        <v>Zero Balance</v>
      </c>
      <c r="P3501" t="str">
        <f t="shared" si="219"/>
        <v>Long-term</v>
      </c>
    </row>
    <row r="3502" spans="1:16" x14ac:dyDescent="0.25">
      <c r="A3502">
        <v>2025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  <c r="M3502" t="str">
        <f t="shared" si="216"/>
        <v>30-45</v>
      </c>
      <c r="N3502" t="str">
        <f t="shared" si="217"/>
        <v>High</v>
      </c>
      <c r="O3502" t="str">
        <f t="shared" si="218"/>
        <v>High Balance</v>
      </c>
      <c r="P3502" t="str">
        <f t="shared" si="219"/>
        <v>Mid-term</v>
      </c>
    </row>
    <row r="3503" spans="1:16" x14ac:dyDescent="0.25">
      <c r="A3503">
        <v>2025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  <c r="M3503" t="str">
        <f t="shared" si="216"/>
        <v>30-45</v>
      </c>
      <c r="N3503" t="str">
        <f t="shared" si="217"/>
        <v>Medium</v>
      </c>
      <c r="O3503" t="str">
        <f t="shared" si="218"/>
        <v>High Balance</v>
      </c>
      <c r="P3503" t="str">
        <f t="shared" si="219"/>
        <v>Long-term</v>
      </c>
    </row>
    <row r="3504" spans="1:16" x14ac:dyDescent="0.25">
      <c r="A3504">
        <v>2025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  <c r="M3504" t="str">
        <f t="shared" si="216"/>
        <v>46-60</v>
      </c>
      <c r="N3504" t="str">
        <f t="shared" si="217"/>
        <v>High</v>
      </c>
      <c r="O3504" t="str">
        <f t="shared" si="218"/>
        <v>High Balance</v>
      </c>
      <c r="P3504" t="str">
        <f t="shared" si="219"/>
        <v>New</v>
      </c>
    </row>
    <row r="3505" spans="1:16" x14ac:dyDescent="0.25">
      <c r="A3505">
        <v>2025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  <c r="M3505" t="str">
        <f t="shared" si="216"/>
        <v>30-45</v>
      </c>
      <c r="N3505" t="str">
        <f t="shared" si="217"/>
        <v>Medium</v>
      </c>
      <c r="O3505" t="str">
        <f t="shared" si="218"/>
        <v>High Balance</v>
      </c>
      <c r="P3505" t="str">
        <f t="shared" si="219"/>
        <v>Mid-term</v>
      </c>
    </row>
    <row r="3506" spans="1:16" x14ac:dyDescent="0.25">
      <c r="A3506">
        <v>2025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  <c r="M3506" t="str">
        <f t="shared" si="216"/>
        <v>30-45</v>
      </c>
      <c r="N3506" t="str">
        <f t="shared" si="217"/>
        <v>Low</v>
      </c>
      <c r="O3506" t="str">
        <f t="shared" si="218"/>
        <v>High Balance</v>
      </c>
      <c r="P3506" t="str">
        <f t="shared" si="219"/>
        <v>New</v>
      </c>
    </row>
    <row r="3507" spans="1:16" x14ac:dyDescent="0.25">
      <c r="A3507">
        <v>2025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  <c r="M3507" t="str">
        <f t="shared" si="216"/>
        <v>30-45</v>
      </c>
      <c r="N3507" t="str">
        <f t="shared" si="217"/>
        <v>Medium</v>
      </c>
      <c r="O3507" t="str">
        <f t="shared" si="218"/>
        <v>Zero Balance</v>
      </c>
      <c r="P3507" t="str">
        <f t="shared" si="219"/>
        <v>New</v>
      </c>
    </row>
    <row r="3508" spans="1:16" x14ac:dyDescent="0.25">
      <c r="A3508">
        <v>2025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  <c r="M3508" t="str">
        <f t="shared" si="216"/>
        <v>30-45</v>
      </c>
      <c r="N3508" t="str">
        <f t="shared" si="217"/>
        <v>Low</v>
      </c>
      <c r="O3508" t="str">
        <f t="shared" si="218"/>
        <v>Zero Balance</v>
      </c>
      <c r="P3508" t="str">
        <f t="shared" si="219"/>
        <v>Long-term</v>
      </c>
    </row>
    <row r="3509" spans="1:16" x14ac:dyDescent="0.25">
      <c r="A3509">
        <v>2025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  <c r="M3509" t="str">
        <f t="shared" si="216"/>
        <v>30-45</v>
      </c>
      <c r="N3509" t="str">
        <f t="shared" si="217"/>
        <v>High</v>
      </c>
      <c r="O3509" t="str">
        <f t="shared" si="218"/>
        <v>High Balance</v>
      </c>
      <c r="P3509" t="str">
        <f t="shared" si="219"/>
        <v>Long-term</v>
      </c>
    </row>
    <row r="3510" spans="1:16" x14ac:dyDescent="0.25">
      <c r="A3510">
        <v>2025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  <c r="M3510" t="str">
        <f t="shared" si="216"/>
        <v>30-45</v>
      </c>
      <c r="N3510" t="str">
        <f t="shared" si="217"/>
        <v>Low</v>
      </c>
      <c r="O3510" t="str">
        <f t="shared" si="218"/>
        <v>Zero Balance</v>
      </c>
      <c r="P3510" t="str">
        <f t="shared" si="219"/>
        <v>New</v>
      </c>
    </row>
    <row r="3511" spans="1:16" x14ac:dyDescent="0.25">
      <c r="A3511">
        <v>2025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  <c r="M3511" t="str">
        <f t="shared" si="216"/>
        <v>30-45</v>
      </c>
      <c r="N3511" t="str">
        <f t="shared" si="217"/>
        <v>High</v>
      </c>
      <c r="O3511" t="str">
        <f t="shared" si="218"/>
        <v>Zero Balance</v>
      </c>
      <c r="P3511" t="str">
        <f t="shared" si="219"/>
        <v>New</v>
      </c>
    </row>
    <row r="3512" spans="1:16" x14ac:dyDescent="0.25">
      <c r="A3512">
        <v>2025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  <c r="M3512" t="str">
        <f t="shared" si="216"/>
        <v>30-45</v>
      </c>
      <c r="N3512" t="str">
        <f t="shared" si="217"/>
        <v>Medium</v>
      </c>
      <c r="O3512" t="str">
        <f t="shared" si="218"/>
        <v>Low Balance</v>
      </c>
      <c r="P3512" t="str">
        <f t="shared" si="219"/>
        <v>New</v>
      </c>
    </row>
    <row r="3513" spans="1:16" x14ac:dyDescent="0.25">
      <c r="A3513">
        <v>2025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  <c r="M3513" t="str">
        <f t="shared" si="216"/>
        <v>30-45</v>
      </c>
      <c r="N3513" t="str">
        <f t="shared" si="217"/>
        <v>High</v>
      </c>
      <c r="O3513" t="str">
        <f t="shared" si="218"/>
        <v>High Balance</v>
      </c>
      <c r="P3513" t="str">
        <f t="shared" si="219"/>
        <v>Mid-term</v>
      </c>
    </row>
    <row r="3514" spans="1:16" x14ac:dyDescent="0.25">
      <c r="A3514">
        <v>2025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  <c r="M3514" t="str">
        <f t="shared" si="216"/>
        <v>&lt;30</v>
      </c>
      <c r="N3514" t="str">
        <f t="shared" si="217"/>
        <v>High</v>
      </c>
      <c r="O3514" t="str">
        <f t="shared" si="218"/>
        <v>Zero Balance</v>
      </c>
      <c r="P3514" t="str">
        <f t="shared" si="219"/>
        <v>New</v>
      </c>
    </row>
    <row r="3515" spans="1:16" x14ac:dyDescent="0.25">
      <c r="A3515">
        <v>2025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  <c r="M3515" t="str">
        <f t="shared" si="216"/>
        <v>30-45</v>
      </c>
      <c r="N3515" t="str">
        <f t="shared" si="217"/>
        <v>High</v>
      </c>
      <c r="O3515" t="str">
        <f t="shared" si="218"/>
        <v>High Balance</v>
      </c>
      <c r="P3515" t="str">
        <f t="shared" si="219"/>
        <v>Long-term</v>
      </c>
    </row>
    <row r="3516" spans="1:16" x14ac:dyDescent="0.25">
      <c r="A3516">
        <v>2025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  <c r="M3516" t="str">
        <f t="shared" si="216"/>
        <v>30-45</v>
      </c>
      <c r="N3516" t="str">
        <f t="shared" si="217"/>
        <v>Medium</v>
      </c>
      <c r="O3516" t="str">
        <f t="shared" si="218"/>
        <v>Zero Balance</v>
      </c>
      <c r="P3516" t="str">
        <f t="shared" si="219"/>
        <v>New</v>
      </c>
    </row>
    <row r="3517" spans="1:16" x14ac:dyDescent="0.25">
      <c r="A3517">
        <v>2025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  <c r="M3517" t="str">
        <f t="shared" si="216"/>
        <v>30-45</v>
      </c>
      <c r="N3517" t="str">
        <f t="shared" si="217"/>
        <v>Medium</v>
      </c>
      <c r="O3517" t="str">
        <f t="shared" si="218"/>
        <v>Zero Balance</v>
      </c>
      <c r="P3517" t="str">
        <f t="shared" si="219"/>
        <v>Long-term</v>
      </c>
    </row>
    <row r="3518" spans="1:16" x14ac:dyDescent="0.25">
      <c r="A3518">
        <v>2025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  <c r="M3518" t="str">
        <f t="shared" si="216"/>
        <v>30-45</v>
      </c>
      <c r="N3518" t="str">
        <f t="shared" si="217"/>
        <v>Medium</v>
      </c>
      <c r="O3518" t="str">
        <f t="shared" si="218"/>
        <v>Zero Balance</v>
      </c>
      <c r="P3518" t="str">
        <f t="shared" si="219"/>
        <v>Mid-term</v>
      </c>
    </row>
    <row r="3519" spans="1:16" x14ac:dyDescent="0.25">
      <c r="A3519">
        <v>2025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  <c r="M3519" t="str">
        <f t="shared" si="216"/>
        <v>&lt;30</v>
      </c>
      <c r="N3519" t="str">
        <f t="shared" si="217"/>
        <v>High</v>
      </c>
      <c r="O3519" t="str">
        <f t="shared" si="218"/>
        <v>Zero Balance</v>
      </c>
      <c r="P3519" t="str">
        <f t="shared" si="219"/>
        <v>New</v>
      </c>
    </row>
    <row r="3520" spans="1:16" x14ac:dyDescent="0.25">
      <c r="A3520">
        <v>2025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  <c r="M3520" t="str">
        <f t="shared" si="216"/>
        <v>30-45</v>
      </c>
      <c r="N3520" t="str">
        <f t="shared" si="217"/>
        <v>Medium</v>
      </c>
      <c r="O3520" t="str">
        <f t="shared" si="218"/>
        <v>Zero Balance</v>
      </c>
      <c r="P3520" t="str">
        <f t="shared" si="219"/>
        <v>Mid-term</v>
      </c>
    </row>
    <row r="3521" spans="1:16" x14ac:dyDescent="0.25">
      <c r="A3521">
        <v>2025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  <c r="M3521" t="str">
        <f t="shared" si="216"/>
        <v>30-45</v>
      </c>
      <c r="N3521" t="str">
        <f t="shared" si="217"/>
        <v>Medium</v>
      </c>
      <c r="O3521" t="str">
        <f t="shared" si="218"/>
        <v>Low Balance</v>
      </c>
      <c r="P3521" t="str">
        <f t="shared" si="219"/>
        <v>Mid-term</v>
      </c>
    </row>
    <row r="3522" spans="1:16" x14ac:dyDescent="0.25">
      <c r="A3522">
        <v>2025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  <c r="M3522" t="str">
        <f t="shared" si="216"/>
        <v>30-45</v>
      </c>
      <c r="N3522" t="str">
        <f t="shared" si="217"/>
        <v>Medium</v>
      </c>
      <c r="O3522" t="str">
        <f t="shared" si="218"/>
        <v>Zero Balance</v>
      </c>
      <c r="P3522" t="str">
        <f t="shared" si="219"/>
        <v>Long-term</v>
      </c>
    </row>
    <row r="3523" spans="1:16" x14ac:dyDescent="0.25">
      <c r="A3523">
        <v>2025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  <c r="M3523" t="str">
        <f t="shared" ref="M3523:M3586" si="220">IF(E3523&lt;30,"&lt;30",IF(E3523&lt;=45,"30-45",IF(E3523&lt;=60,"46-60","60+")))</f>
        <v>46-60</v>
      </c>
      <c r="N3523" t="str">
        <f t="shared" ref="N3523:N3586" si="221">IF(B3523&lt;500,"Low",IF(B3523&lt;700,"Medium","High"))</f>
        <v>Medium</v>
      </c>
      <c r="O3523" t="str">
        <f t="shared" ref="O3523:O3586" si="222">IF(G3523=0,"Zero Balance",IF(G3523&lt;100000,"Low Balance","High Balance"))</f>
        <v>High Balance</v>
      </c>
      <c r="P3523" t="str">
        <f t="shared" ref="P3523:P3586" si="223">IF(F3523&lt;=3,"New",IF(F3523&lt;=7,"Mid-term","Long-term"))</f>
        <v>Mid-term</v>
      </c>
    </row>
    <row r="3524" spans="1:16" x14ac:dyDescent="0.25">
      <c r="A3524">
        <v>2025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  <c r="M3524" t="str">
        <f t="shared" si="220"/>
        <v>30-45</v>
      </c>
      <c r="N3524" t="str">
        <f t="shared" si="221"/>
        <v>Medium</v>
      </c>
      <c r="O3524" t="str">
        <f t="shared" si="222"/>
        <v>Zero Balance</v>
      </c>
      <c r="P3524" t="str">
        <f t="shared" si="223"/>
        <v>Long-term</v>
      </c>
    </row>
    <row r="3525" spans="1:16" x14ac:dyDescent="0.25">
      <c r="A3525">
        <v>2025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  <c r="M3525" t="str">
        <f t="shared" si="220"/>
        <v>30-45</v>
      </c>
      <c r="N3525" t="str">
        <f t="shared" si="221"/>
        <v>High</v>
      </c>
      <c r="O3525" t="str">
        <f t="shared" si="222"/>
        <v>High Balance</v>
      </c>
      <c r="P3525" t="str">
        <f t="shared" si="223"/>
        <v>Mid-term</v>
      </c>
    </row>
    <row r="3526" spans="1:16" x14ac:dyDescent="0.25">
      <c r="A3526">
        <v>2025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  <c r="M3526" t="str">
        <f t="shared" si="220"/>
        <v>30-45</v>
      </c>
      <c r="N3526" t="str">
        <f t="shared" si="221"/>
        <v>High</v>
      </c>
      <c r="O3526" t="str">
        <f t="shared" si="222"/>
        <v>High Balance</v>
      </c>
      <c r="P3526" t="str">
        <f t="shared" si="223"/>
        <v>Mid-term</v>
      </c>
    </row>
    <row r="3527" spans="1:16" x14ac:dyDescent="0.25">
      <c r="A3527">
        <v>2025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  <c r="M3527" t="str">
        <f t="shared" si="220"/>
        <v>30-45</v>
      </c>
      <c r="N3527" t="str">
        <f t="shared" si="221"/>
        <v>Medium</v>
      </c>
      <c r="O3527" t="str">
        <f t="shared" si="222"/>
        <v>Low Balance</v>
      </c>
      <c r="P3527" t="str">
        <f t="shared" si="223"/>
        <v>Mid-term</v>
      </c>
    </row>
    <row r="3528" spans="1:16" x14ac:dyDescent="0.25">
      <c r="A3528">
        <v>2025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  <c r="M3528" t="str">
        <f t="shared" si="220"/>
        <v>30-45</v>
      </c>
      <c r="N3528" t="str">
        <f t="shared" si="221"/>
        <v>High</v>
      </c>
      <c r="O3528" t="str">
        <f t="shared" si="222"/>
        <v>Zero Balance</v>
      </c>
      <c r="P3528" t="str">
        <f t="shared" si="223"/>
        <v>Long-term</v>
      </c>
    </row>
    <row r="3529" spans="1:16" x14ac:dyDescent="0.25">
      <c r="A3529">
        <v>2025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  <c r="M3529" t="str">
        <f t="shared" si="220"/>
        <v>60+</v>
      </c>
      <c r="N3529" t="str">
        <f t="shared" si="221"/>
        <v>High</v>
      </c>
      <c r="O3529" t="str">
        <f t="shared" si="222"/>
        <v>Low Balance</v>
      </c>
      <c r="P3529" t="str">
        <f t="shared" si="223"/>
        <v>Mid-term</v>
      </c>
    </row>
    <row r="3530" spans="1:16" x14ac:dyDescent="0.25">
      <c r="A3530">
        <v>2025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  <c r="M3530" t="str">
        <f t="shared" si="220"/>
        <v>&lt;30</v>
      </c>
      <c r="N3530" t="str">
        <f t="shared" si="221"/>
        <v>Medium</v>
      </c>
      <c r="O3530" t="str">
        <f t="shared" si="222"/>
        <v>Low Balance</v>
      </c>
      <c r="P3530" t="str">
        <f t="shared" si="223"/>
        <v>Mid-term</v>
      </c>
    </row>
    <row r="3531" spans="1:16" x14ac:dyDescent="0.25">
      <c r="A3531">
        <v>2025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  <c r="M3531" t="str">
        <f t="shared" si="220"/>
        <v>&lt;30</v>
      </c>
      <c r="N3531" t="str">
        <f t="shared" si="221"/>
        <v>Medium</v>
      </c>
      <c r="O3531" t="str">
        <f t="shared" si="222"/>
        <v>Zero Balance</v>
      </c>
      <c r="P3531" t="str">
        <f t="shared" si="223"/>
        <v>Mid-term</v>
      </c>
    </row>
    <row r="3532" spans="1:16" x14ac:dyDescent="0.25">
      <c r="A3532">
        <v>2025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  <c r="M3532" t="str">
        <f t="shared" si="220"/>
        <v>30-45</v>
      </c>
      <c r="N3532" t="str">
        <f t="shared" si="221"/>
        <v>Low</v>
      </c>
      <c r="O3532" t="str">
        <f t="shared" si="222"/>
        <v>Zero Balance</v>
      </c>
      <c r="P3532" t="str">
        <f t="shared" si="223"/>
        <v>Mid-term</v>
      </c>
    </row>
    <row r="3533" spans="1:16" x14ac:dyDescent="0.25">
      <c r="A3533">
        <v>2025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  <c r="M3533" t="str">
        <f t="shared" si="220"/>
        <v>60+</v>
      </c>
      <c r="N3533" t="str">
        <f t="shared" si="221"/>
        <v>Low</v>
      </c>
      <c r="O3533" t="str">
        <f t="shared" si="222"/>
        <v>Low Balance</v>
      </c>
      <c r="P3533" t="str">
        <f t="shared" si="223"/>
        <v>Long-term</v>
      </c>
    </row>
    <row r="3534" spans="1:16" x14ac:dyDescent="0.25">
      <c r="A3534">
        <v>2025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  <c r="M3534" t="str">
        <f t="shared" si="220"/>
        <v>30-45</v>
      </c>
      <c r="N3534" t="str">
        <f t="shared" si="221"/>
        <v>High</v>
      </c>
      <c r="O3534" t="str">
        <f t="shared" si="222"/>
        <v>High Balance</v>
      </c>
      <c r="P3534" t="str">
        <f t="shared" si="223"/>
        <v>New</v>
      </c>
    </row>
    <row r="3535" spans="1:16" x14ac:dyDescent="0.25">
      <c r="A3535">
        <v>2025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  <c r="M3535" t="str">
        <f t="shared" si="220"/>
        <v>30-45</v>
      </c>
      <c r="N3535" t="str">
        <f t="shared" si="221"/>
        <v>Medium</v>
      </c>
      <c r="O3535" t="str">
        <f t="shared" si="222"/>
        <v>Zero Balance</v>
      </c>
      <c r="P3535" t="str">
        <f t="shared" si="223"/>
        <v>Mid-term</v>
      </c>
    </row>
    <row r="3536" spans="1:16" x14ac:dyDescent="0.25">
      <c r="A3536">
        <v>2025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  <c r="M3536" t="str">
        <f t="shared" si="220"/>
        <v>30-45</v>
      </c>
      <c r="N3536" t="str">
        <f t="shared" si="221"/>
        <v>Medium</v>
      </c>
      <c r="O3536" t="str">
        <f t="shared" si="222"/>
        <v>High Balance</v>
      </c>
      <c r="P3536" t="str">
        <f t="shared" si="223"/>
        <v>Mid-term</v>
      </c>
    </row>
    <row r="3537" spans="1:16" x14ac:dyDescent="0.25">
      <c r="A3537">
        <v>2025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  <c r="M3537" t="str">
        <f t="shared" si="220"/>
        <v>30-45</v>
      </c>
      <c r="N3537" t="str">
        <f t="shared" si="221"/>
        <v>Medium</v>
      </c>
      <c r="O3537" t="str">
        <f t="shared" si="222"/>
        <v>Low Balance</v>
      </c>
      <c r="P3537" t="str">
        <f t="shared" si="223"/>
        <v>Mid-term</v>
      </c>
    </row>
    <row r="3538" spans="1:16" x14ac:dyDescent="0.25">
      <c r="A3538">
        <v>2025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  <c r="M3538" t="str">
        <f t="shared" si="220"/>
        <v>&lt;30</v>
      </c>
      <c r="N3538" t="str">
        <f t="shared" si="221"/>
        <v>Medium</v>
      </c>
      <c r="O3538" t="str">
        <f t="shared" si="222"/>
        <v>High Balance</v>
      </c>
      <c r="P3538" t="str">
        <f t="shared" si="223"/>
        <v>Mid-term</v>
      </c>
    </row>
    <row r="3539" spans="1:16" x14ac:dyDescent="0.25">
      <c r="A3539">
        <v>2025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  <c r="M3539" t="str">
        <f t="shared" si="220"/>
        <v>46-60</v>
      </c>
      <c r="N3539" t="str">
        <f t="shared" si="221"/>
        <v>Medium</v>
      </c>
      <c r="O3539" t="str">
        <f t="shared" si="222"/>
        <v>Zero Balance</v>
      </c>
      <c r="P3539" t="str">
        <f t="shared" si="223"/>
        <v>Mid-term</v>
      </c>
    </row>
    <row r="3540" spans="1:16" x14ac:dyDescent="0.25">
      <c r="A3540">
        <v>2025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  <c r="M3540" t="str">
        <f t="shared" si="220"/>
        <v>30-45</v>
      </c>
      <c r="N3540" t="str">
        <f t="shared" si="221"/>
        <v>Medium</v>
      </c>
      <c r="O3540" t="str">
        <f t="shared" si="222"/>
        <v>High Balance</v>
      </c>
      <c r="P3540" t="str">
        <f t="shared" si="223"/>
        <v>New</v>
      </c>
    </row>
    <row r="3541" spans="1:16" x14ac:dyDescent="0.25">
      <c r="A3541">
        <v>2025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  <c r="M3541" t="str">
        <f t="shared" si="220"/>
        <v>30-45</v>
      </c>
      <c r="N3541" t="str">
        <f t="shared" si="221"/>
        <v>Medium</v>
      </c>
      <c r="O3541" t="str">
        <f t="shared" si="222"/>
        <v>Zero Balance</v>
      </c>
      <c r="P3541" t="str">
        <f t="shared" si="223"/>
        <v>Mid-term</v>
      </c>
    </row>
    <row r="3542" spans="1:16" x14ac:dyDescent="0.25">
      <c r="A3542">
        <v>2025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  <c r="M3542" t="str">
        <f t="shared" si="220"/>
        <v>30-45</v>
      </c>
      <c r="N3542" t="str">
        <f t="shared" si="221"/>
        <v>Medium</v>
      </c>
      <c r="O3542" t="str">
        <f t="shared" si="222"/>
        <v>Zero Balance</v>
      </c>
      <c r="P3542" t="str">
        <f t="shared" si="223"/>
        <v>Mid-term</v>
      </c>
    </row>
    <row r="3543" spans="1:16" x14ac:dyDescent="0.25">
      <c r="A3543">
        <v>2025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  <c r="M3543" t="str">
        <f t="shared" si="220"/>
        <v>60+</v>
      </c>
      <c r="N3543" t="str">
        <f t="shared" si="221"/>
        <v>High</v>
      </c>
      <c r="O3543" t="str">
        <f t="shared" si="222"/>
        <v>High Balance</v>
      </c>
      <c r="P3543" t="str">
        <f t="shared" si="223"/>
        <v>Mid-term</v>
      </c>
    </row>
    <row r="3544" spans="1:16" x14ac:dyDescent="0.25">
      <c r="A3544">
        <v>2025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  <c r="M3544" t="str">
        <f t="shared" si="220"/>
        <v>30-45</v>
      </c>
      <c r="N3544" t="str">
        <f t="shared" si="221"/>
        <v>Medium</v>
      </c>
      <c r="O3544" t="str">
        <f t="shared" si="222"/>
        <v>High Balance</v>
      </c>
      <c r="P3544" t="str">
        <f t="shared" si="223"/>
        <v>Mid-term</v>
      </c>
    </row>
    <row r="3545" spans="1:16" x14ac:dyDescent="0.25">
      <c r="A3545">
        <v>2025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  <c r="M3545" t="str">
        <f t="shared" si="220"/>
        <v>46-60</v>
      </c>
      <c r="N3545" t="str">
        <f t="shared" si="221"/>
        <v>Medium</v>
      </c>
      <c r="O3545" t="str">
        <f t="shared" si="222"/>
        <v>High Balance</v>
      </c>
      <c r="P3545" t="str">
        <f t="shared" si="223"/>
        <v>Long-term</v>
      </c>
    </row>
    <row r="3546" spans="1:16" x14ac:dyDescent="0.25">
      <c r="A3546">
        <v>2025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  <c r="M3546" t="str">
        <f t="shared" si="220"/>
        <v>30-45</v>
      </c>
      <c r="N3546" t="str">
        <f t="shared" si="221"/>
        <v>High</v>
      </c>
      <c r="O3546" t="str">
        <f t="shared" si="222"/>
        <v>Zero Balance</v>
      </c>
      <c r="P3546" t="str">
        <f t="shared" si="223"/>
        <v>New</v>
      </c>
    </row>
    <row r="3547" spans="1:16" x14ac:dyDescent="0.25">
      <c r="A3547">
        <v>2025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  <c r="M3547" t="str">
        <f t="shared" si="220"/>
        <v>30-45</v>
      </c>
      <c r="N3547" t="str">
        <f t="shared" si="221"/>
        <v>Low</v>
      </c>
      <c r="O3547" t="str">
        <f t="shared" si="222"/>
        <v>High Balance</v>
      </c>
      <c r="P3547" t="str">
        <f t="shared" si="223"/>
        <v>Long-term</v>
      </c>
    </row>
    <row r="3548" spans="1:16" x14ac:dyDescent="0.25">
      <c r="A3548">
        <v>2025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  <c r="M3548" t="str">
        <f t="shared" si="220"/>
        <v>30-45</v>
      </c>
      <c r="N3548" t="str">
        <f t="shared" si="221"/>
        <v>Medium</v>
      </c>
      <c r="O3548" t="str">
        <f t="shared" si="222"/>
        <v>High Balance</v>
      </c>
      <c r="P3548" t="str">
        <f t="shared" si="223"/>
        <v>Mid-term</v>
      </c>
    </row>
    <row r="3549" spans="1:16" x14ac:dyDescent="0.25">
      <c r="A3549">
        <v>2025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  <c r="M3549" t="str">
        <f t="shared" si="220"/>
        <v>30-45</v>
      </c>
      <c r="N3549" t="str">
        <f t="shared" si="221"/>
        <v>Medium</v>
      </c>
      <c r="O3549" t="str">
        <f t="shared" si="222"/>
        <v>Zero Balance</v>
      </c>
      <c r="P3549" t="str">
        <f t="shared" si="223"/>
        <v>Mid-term</v>
      </c>
    </row>
    <row r="3550" spans="1:16" x14ac:dyDescent="0.25">
      <c r="A3550">
        <v>2025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  <c r="M3550" t="str">
        <f t="shared" si="220"/>
        <v>30-45</v>
      </c>
      <c r="N3550" t="str">
        <f t="shared" si="221"/>
        <v>High</v>
      </c>
      <c r="O3550" t="str">
        <f t="shared" si="222"/>
        <v>High Balance</v>
      </c>
      <c r="P3550" t="str">
        <f t="shared" si="223"/>
        <v>Mid-term</v>
      </c>
    </row>
    <row r="3551" spans="1:16" x14ac:dyDescent="0.25">
      <c r="A3551">
        <v>2025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  <c r="M3551" t="str">
        <f t="shared" si="220"/>
        <v>60+</v>
      </c>
      <c r="N3551" t="str">
        <f t="shared" si="221"/>
        <v>Medium</v>
      </c>
      <c r="O3551" t="str">
        <f t="shared" si="222"/>
        <v>Low Balance</v>
      </c>
      <c r="P3551" t="str">
        <f t="shared" si="223"/>
        <v>Mid-term</v>
      </c>
    </row>
    <row r="3552" spans="1:16" x14ac:dyDescent="0.25">
      <c r="A3552">
        <v>2025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  <c r="M3552" t="str">
        <f t="shared" si="220"/>
        <v>46-60</v>
      </c>
      <c r="N3552" t="str">
        <f t="shared" si="221"/>
        <v>Medium</v>
      </c>
      <c r="O3552" t="str">
        <f t="shared" si="222"/>
        <v>High Balance</v>
      </c>
      <c r="P3552" t="str">
        <f t="shared" si="223"/>
        <v>Mid-term</v>
      </c>
    </row>
    <row r="3553" spans="1:16" x14ac:dyDescent="0.25">
      <c r="A3553">
        <v>2025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  <c r="M3553" t="str">
        <f t="shared" si="220"/>
        <v>30-45</v>
      </c>
      <c r="N3553" t="str">
        <f t="shared" si="221"/>
        <v>Medium</v>
      </c>
      <c r="O3553" t="str">
        <f t="shared" si="222"/>
        <v>High Balance</v>
      </c>
      <c r="P3553" t="str">
        <f t="shared" si="223"/>
        <v>Mid-term</v>
      </c>
    </row>
    <row r="3554" spans="1:16" x14ac:dyDescent="0.25">
      <c r="A3554">
        <v>2025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  <c r="M3554" t="str">
        <f t="shared" si="220"/>
        <v>30-45</v>
      </c>
      <c r="N3554" t="str">
        <f t="shared" si="221"/>
        <v>High</v>
      </c>
      <c r="O3554" t="str">
        <f t="shared" si="222"/>
        <v>Zero Balance</v>
      </c>
      <c r="P3554" t="str">
        <f t="shared" si="223"/>
        <v>New</v>
      </c>
    </row>
    <row r="3555" spans="1:16" x14ac:dyDescent="0.25">
      <c r="A3555">
        <v>2025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  <c r="M3555" t="str">
        <f t="shared" si="220"/>
        <v>30-45</v>
      </c>
      <c r="N3555" t="str">
        <f t="shared" si="221"/>
        <v>High</v>
      </c>
      <c r="O3555" t="str">
        <f t="shared" si="222"/>
        <v>High Balance</v>
      </c>
      <c r="P3555" t="str">
        <f t="shared" si="223"/>
        <v>Mid-term</v>
      </c>
    </row>
    <row r="3556" spans="1:16" x14ac:dyDescent="0.25">
      <c r="A3556">
        <v>2025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  <c r="M3556" t="str">
        <f t="shared" si="220"/>
        <v>30-45</v>
      </c>
      <c r="N3556" t="str">
        <f t="shared" si="221"/>
        <v>Medium</v>
      </c>
      <c r="O3556" t="str">
        <f t="shared" si="222"/>
        <v>Zero Balance</v>
      </c>
      <c r="P3556" t="str">
        <f t="shared" si="223"/>
        <v>New</v>
      </c>
    </row>
    <row r="3557" spans="1:16" x14ac:dyDescent="0.25">
      <c r="A3557">
        <v>2025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  <c r="M3557" t="str">
        <f t="shared" si="220"/>
        <v>30-45</v>
      </c>
      <c r="N3557" t="str">
        <f t="shared" si="221"/>
        <v>Medium</v>
      </c>
      <c r="O3557" t="str">
        <f t="shared" si="222"/>
        <v>High Balance</v>
      </c>
      <c r="P3557" t="str">
        <f t="shared" si="223"/>
        <v>New</v>
      </c>
    </row>
    <row r="3558" spans="1:16" x14ac:dyDescent="0.25">
      <c r="A3558">
        <v>2025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  <c r="M3558" t="str">
        <f t="shared" si="220"/>
        <v>46-60</v>
      </c>
      <c r="N3558" t="str">
        <f t="shared" si="221"/>
        <v>Medium</v>
      </c>
      <c r="O3558" t="str">
        <f t="shared" si="222"/>
        <v>High Balance</v>
      </c>
      <c r="P3558" t="str">
        <f t="shared" si="223"/>
        <v>Mid-term</v>
      </c>
    </row>
    <row r="3559" spans="1:16" x14ac:dyDescent="0.25">
      <c r="A3559">
        <v>2025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  <c r="M3559" t="str">
        <f t="shared" si="220"/>
        <v>30-45</v>
      </c>
      <c r="N3559" t="str">
        <f t="shared" si="221"/>
        <v>Medium</v>
      </c>
      <c r="O3559" t="str">
        <f t="shared" si="222"/>
        <v>High Balance</v>
      </c>
      <c r="P3559" t="str">
        <f t="shared" si="223"/>
        <v>New</v>
      </c>
    </row>
    <row r="3560" spans="1:16" x14ac:dyDescent="0.25">
      <c r="A3560">
        <v>2025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  <c r="M3560" t="str">
        <f t="shared" si="220"/>
        <v>30-45</v>
      </c>
      <c r="N3560" t="str">
        <f t="shared" si="221"/>
        <v>High</v>
      </c>
      <c r="O3560" t="str">
        <f t="shared" si="222"/>
        <v>High Balance</v>
      </c>
      <c r="P3560" t="str">
        <f t="shared" si="223"/>
        <v>Mid-term</v>
      </c>
    </row>
    <row r="3561" spans="1:16" x14ac:dyDescent="0.25">
      <c r="A3561">
        <v>2025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  <c r="M3561" t="str">
        <f t="shared" si="220"/>
        <v>60+</v>
      </c>
      <c r="N3561" t="str">
        <f t="shared" si="221"/>
        <v>Medium</v>
      </c>
      <c r="O3561" t="str">
        <f t="shared" si="222"/>
        <v>High Balance</v>
      </c>
      <c r="P3561" t="str">
        <f t="shared" si="223"/>
        <v>Mid-term</v>
      </c>
    </row>
    <row r="3562" spans="1:16" x14ac:dyDescent="0.25">
      <c r="A3562">
        <v>2025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  <c r="M3562" t="str">
        <f t="shared" si="220"/>
        <v>30-45</v>
      </c>
      <c r="N3562" t="str">
        <f t="shared" si="221"/>
        <v>High</v>
      </c>
      <c r="O3562" t="str">
        <f t="shared" si="222"/>
        <v>Zero Balance</v>
      </c>
      <c r="P3562" t="str">
        <f t="shared" si="223"/>
        <v>Long-term</v>
      </c>
    </row>
    <row r="3563" spans="1:16" x14ac:dyDescent="0.25">
      <c r="A3563">
        <v>2025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  <c r="M3563" t="str">
        <f t="shared" si="220"/>
        <v>30-45</v>
      </c>
      <c r="N3563" t="str">
        <f t="shared" si="221"/>
        <v>Medium</v>
      </c>
      <c r="O3563" t="str">
        <f t="shared" si="222"/>
        <v>High Balance</v>
      </c>
      <c r="P3563" t="str">
        <f t="shared" si="223"/>
        <v>Long-term</v>
      </c>
    </row>
    <row r="3564" spans="1:16" x14ac:dyDescent="0.25">
      <c r="A3564">
        <v>2025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  <c r="M3564" t="str">
        <f t="shared" si="220"/>
        <v>30-45</v>
      </c>
      <c r="N3564" t="str">
        <f t="shared" si="221"/>
        <v>Low</v>
      </c>
      <c r="O3564" t="str">
        <f t="shared" si="222"/>
        <v>High Balance</v>
      </c>
      <c r="P3564" t="str">
        <f t="shared" si="223"/>
        <v>Long-term</v>
      </c>
    </row>
    <row r="3565" spans="1:16" x14ac:dyDescent="0.25">
      <c r="A3565">
        <v>2025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  <c r="M3565" t="str">
        <f t="shared" si="220"/>
        <v>60+</v>
      </c>
      <c r="N3565" t="str">
        <f t="shared" si="221"/>
        <v>Low</v>
      </c>
      <c r="O3565" t="str">
        <f t="shared" si="222"/>
        <v>Zero Balance</v>
      </c>
      <c r="P3565" t="str">
        <f t="shared" si="223"/>
        <v>Long-term</v>
      </c>
    </row>
    <row r="3566" spans="1:16" x14ac:dyDescent="0.25">
      <c r="A3566">
        <v>2025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  <c r="M3566" t="str">
        <f t="shared" si="220"/>
        <v>46-60</v>
      </c>
      <c r="N3566" t="str">
        <f t="shared" si="221"/>
        <v>High</v>
      </c>
      <c r="O3566" t="str">
        <f t="shared" si="222"/>
        <v>Low Balance</v>
      </c>
      <c r="P3566" t="str">
        <f t="shared" si="223"/>
        <v>Mid-term</v>
      </c>
    </row>
    <row r="3567" spans="1:16" x14ac:dyDescent="0.25">
      <c r="A3567">
        <v>2025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  <c r="M3567" t="str">
        <f t="shared" si="220"/>
        <v>30-45</v>
      </c>
      <c r="N3567" t="str">
        <f t="shared" si="221"/>
        <v>Medium</v>
      </c>
      <c r="O3567" t="str">
        <f t="shared" si="222"/>
        <v>Zero Balance</v>
      </c>
      <c r="P3567" t="str">
        <f t="shared" si="223"/>
        <v>Mid-term</v>
      </c>
    </row>
    <row r="3568" spans="1:16" x14ac:dyDescent="0.25">
      <c r="A3568">
        <v>2025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  <c r="M3568" t="str">
        <f t="shared" si="220"/>
        <v>&lt;30</v>
      </c>
      <c r="N3568" t="str">
        <f t="shared" si="221"/>
        <v>High</v>
      </c>
      <c r="O3568" t="str">
        <f t="shared" si="222"/>
        <v>High Balance</v>
      </c>
      <c r="P3568" t="str">
        <f t="shared" si="223"/>
        <v>New</v>
      </c>
    </row>
    <row r="3569" spans="1:16" x14ac:dyDescent="0.25">
      <c r="A3569">
        <v>2025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  <c r="M3569" t="str">
        <f t="shared" si="220"/>
        <v>30-45</v>
      </c>
      <c r="N3569" t="str">
        <f t="shared" si="221"/>
        <v>Low</v>
      </c>
      <c r="O3569" t="str">
        <f t="shared" si="222"/>
        <v>High Balance</v>
      </c>
      <c r="P3569" t="str">
        <f t="shared" si="223"/>
        <v>New</v>
      </c>
    </row>
    <row r="3570" spans="1:16" x14ac:dyDescent="0.25">
      <c r="A3570">
        <v>2025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  <c r="M3570" t="str">
        <f t="shared" si="220"/>
        <v>&lt;30</v>
      </c>
      <c r="N3570" t="str">
        <f t="shared" si="221"/>
        <v>High</v>
      </c>
      <c r="O3570" t="str">
        <f t="shared" si="222"/>
        <v>Zero Balance</v>
      </c>
      <c r="P3570" t="str">
        <f t="shared" si="223"/>
        <v>New</v>
      </c>
    </row>
    <row r="3571" spans="1:16" x14ac:dyDescent="0.25">
      <c r="A3571">
        <v>2025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  <c r="M3571" t="str">
        <f t="shared" si="220"/>
        <v>46-60</v>
      </c>
      <c r="N3571" t="str">
        <f t="shared" si="221"/>
        <v>Medium</v>
      </c>
      <c r="O3571" t="str">
        <f t="shared" si="222"/>
        <v>Zero Balance</v>
      </c>
      <c r="P3571" t="str">
        <f t="shared" si="223"/>
        <v>Long-term</v>
      </c>
    </row>
    <row r="3572" spans="1:16" x14ac:dyDescent="0.25">
      <c r="A3572">
        <v>2025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  <c r="M3572" t="str">
        <f t="shared" si="220"/>
        <v>46-60</v>
      </c>
      <c r="N3572" t="str">
        <f t="shared" si="221"/>
        <v>Medium</v>
      </c>
      <c r="O3572" t="str">
        <f t="shared" si="222"/>
        <v>High Balance</v>
      </c>
      <c r="P3572" t="str">
        <f t="shared" si="223"/>
        <v>New</v>
      </c>
    </row>
    <row r="3573" spans="1:16" x14ac:dyDescent="0.25">
      <c r="A3573">
        <v>2025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  <c r="M3573" t="str">
        <f t="shared" si="220"/>
        <v>30-45</v>
      </c>
      <c r="N3573" t="str">
        <f t="shared" si="221"/>
        <v>Medium</v>
      </c>
      <c r="O3573" t="str">
        <f t="shared" si="222"/>
        <v>Low Balance</v>
      </c>
      <c r="P3573" t="str">
        <f t="shared" si="223"/>
        <v>Mid-term</v>
      </c>
    </row>
    <row r="3574" spans="1:16" x14ac:dyDescent="0.25">
      <c r="A3574">
        <v>2025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  <c r="M3574" t="str">
        <f t="shared" si="220"/>
        <v>30-45</v>
      </c>
      <c r="N3574" t="str">
        <f t="shared" si="221"/>
        <v>Medium</v>
      </c>
      <c r="O3574" t="str">
        <f t="shared" si="222"/>
        <v>High Balance</v>
      </c>
      <c r="P3574" t="str">
        <f t="shared" si="223"/>
        <v>New</v>
      </c>
    </row>
    <row r="3575" spans="1:16" x14ac:dyDescent="0.25">
      <c r="A3575">
        <v>2025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  <c r="M3575" t="str">
        <f t="shared" si="220"/>
        <v>60+</v>
      </c>
      <c r="N3575" t="str">
        <f t="shared" si="221"/>
        <v>Medium</v>
      </c>
      <c r="O3575" t="str">
        <f t="shared" si="222"/>
        <v>Zero Balance</v>
      </c>
      <c r="P3575" t="str">
        <f t="shared" si="223"/>
        <v>Mid-term</v>
      </c>
    </row>
    <row r="3576" spans="1:16" x14ac:dyDescent="0.25">
      <c r="A3576">
        <v>2025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  <c r="M3576" t="str">
        <f t="shared" si="220"/>
        <v>30-45</v>
      </c>
      <c r="N3576" t="str">
        <f t="shared" si="221"/>
        <v>Medium</v>
      </c>
      <c r="O3576" t="str">
        <f t="shared" si="222"/>
        <v>Zero Balance</v>
      </c>
      <c r="P3576" t="str">
        <f t="shared" si="223"/>
        <v>Mid-term</v>
      </c>
    </row>
    <row r="3577" spans="1:16" x14ac:dyDescent="0.25">
      <c r="A3577">
        <v>2025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  <c r="M3577" t="str">
        <f t="shared" si="220"/>
        <v>60+</v>
      </c>
      <c r="N3577" t="str">
        <f t="shared" si="221"/>
        <v>Medium</v>
      </c>
      <c r="O3577" t="str">
        <f t="shared" si="222"/>
        <v>High Balance</v>
      </c>
      <c r="P3577" t="str">
        <f t="shared" si="223"/>
        <v>Long-term</v>
      </c>
    </row>
    <row r="3578" spans="1:16" x14ac:dyDescent="0.25">
      <c r="A3578">
        <v>2025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  <c r="M3578" t="str">
        <f t="shared" si="220"/>
        <v>&lt;30</v>
      </c>
      <c r="N3578" t="str">
        <f t="shared" si="221"/>
        <v>Medium</v>
      </c>
      <c r="O3578" t="str">
        <f t="shared" si="222"/>
        <v>Zero Balance</v>
      </c>
      <c r="P3578" t="str">
        <f t="shared" si="223"/>
        <v>Long-term</v>
      </c>
    </row>
    <row r="3579" spans="1:16" x14ac:dyDescent="0.25">
      <c r="A3579">
        <v>2025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  <c r="M3579" t="str">
        <f t="shared" si="220"/>
        <v>&lt;30</v>
      </c>
      <c r="N3579" t="str">
        <f t="shared" si="221"/>
        <v>High</v>
      </c>
      <c r="O3579" t="str">
        <f t="shared" si="222"/>
        <v>Low Balance</v>
      </c>
      <c r="P3579" t="str">
        <f t="shared" si="223"/>
        <v>New</v>
      </c>
    </row>
    <row r="3580" spans="1:16" x14ac:dyDescent="0.25">
      <c r="A3580">
        <v>2025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  <c r="M3580" t="str">
        <f t="shared" si="220"/>
        <v>30-45</v>
      </c>
      <c r="N3580" t="str">
        <f t="shared" si="221"/>
        <v>High</v>
      </c>
      <c r="O3580" t="str">
        <f t="shared" si="222"/>
        <v>High Balance</v>
      </c>
      <c r="P3580" t="str">
        <f t="shared" si="223"/>
        <v>New</v>
      </c>
    </row>
    <row r="3581" spans="1:16" x14ac:dyDescent="0.25">
      <c r="A3581">
        <v>2025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  <c r="M3581" t="str">
        <f t="shared" si="220"/>
        <v>30-45</v>
      </c>
      <c r="N3581" t="str">
        <f t="shared" si="221"/>
        <v>High</v>
      </c>
      <c r="O3581" t="str">
        <f t="shared" si="222"/>
        <v>High Balance</v>
      </c>
      <c r="P3581" t="str">
        <f t="shared" si="223"/>
        <v>Long-term</v>
      </c>
    </row>
    <row r="3582" spans="1:16" x14ac:dyDescent="0.25">
      <c r="A3582">
        <v>2025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  <c r="M3582" t="str">
        <f t="shared" si="220"/>
        <v>30-45</v>
      </c>
      <c r="N3582" t="str">
        <f t="shared" si="221"/>
        <v>Medium</v>
      </c>
      <c r="O3582" t="str">
        <f t="shared" si="222"/>
        <v>Low Balance</v>
      </c>
      <c r="P3582" t="str">
        <f t="shared" si="223"/>
        <v>Mid-term</v>
      </c>
    </row>
    <row r="3583" spans="1:16" x14ac:dyDescent="0.25">
      <c r="A3583">
        <v>2025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  <c r="M3583" t="str">
        <f t="shared" si="220"/>
        <v>30-45</v>
      </c>
      <c r="N3583" t="str">
        <f t="shared" si="221"/>
        <v>Medium</v>
      </c>
      <c r="O3583" t="str">
        <f t="shared" si="222"/>
        <v>Zero Balance</v>
      </c>
      <c r="P3583" t="str">
        <f t="shared" si="223"/>
        <v>Mid-term</v>
      </c>
    </row>
    <row r="3584" spans="1:16" x14ac:dyDescent="0.25">
      <c r="A3584">
        <v>2025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  <c r="M3584" t="str">
        <f t="shared" si="220"/>
        <v>30-45</v>
      </c>
      <c r="N3584" t="str">
        <f t="shared" si="221"/>
        <v>Medium</v>
      </c>
      <c r="O3584" t="str">
        <f t="shared" si="222"/>
        <v>Zero Balance</v>
      </c>
      <c r="P3584" t="str">
        <f t="shared" si="223"/>
        <v>Mid-term</v>
      </c>
    </row>
    <row r="3585" spans="1:16" x14ac:dyDescent="0.25">
      <c r="A3585">
        <v>2025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  <c r="M3585" t="str">
        <f t="shared" si="220"/>
        <v>30-45</v>
      </c>
      <c r="N3585" t="str">
        <f t="shared" si="221"/>
        <v>Medium</v>
      </c>
      <c r="O3585" t="str">
        <f t="shared" si="222"/>
        <v>Low Balance</v>
      </c>
      <c r="P3585" t="str">
        <f t="shared" si="223"/>
        <v>Long-term</v>
      </c>
    </row>
    <row r="3586" spans="1:16" x14ac:dyDescent="0.25">
      <c r="A3586">
        <v>2025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  <c r="M3586" t="str">
        <f t="shared" si="220"/>
        <v>&lt;30</v>
      </c>
      <c r="N3586" t="str">
        <f t="shared" si="221"/>
        <v>Medium</v>
      </c>
      <c r="O3586" t="str">
        <f t="shared" si="222"/>
        <v>Low Balance</v>
      </c>
      <c r="P3586" t="str">
        <f t="shared" si="223"/>
        <v>Long-term</v>
      </c>
    </row>
    <row r="3587" spans="1:16" x14ac:dyDescent="0.25">
      <c r="A3587">
        <v>2025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  <c r="M3587" t="str">
        <f t="shared" ref="M3587:M3650" si="224">IF(E3587&lt;30,"&lt;30",IF(E3587&lt;=45,"30-45",IF(E3587&lt;=60,"46-60","60+")))</f>
        <v>&lt;30</v>
      </c>
      <c r="N3587" t="str">
        <f t="shared" ref="N3587:N3650" si="225">IF(B3587&lt;500,"Low",IF(B3587&lt;700,"Medium","High"))</f>
        <v>High</v>
      </c>
      <c r="O3587" t="str">
        <f t="shared" ref="O3587:O3650" si="226">IF(G3587=0,"Zero Balance",IF(G3587&lt;100000,"Low Balance","High Balance"))</f>
        <v>High Balance</v>
      </c>
      <c r="P3587" t="str">
        <f t="shared" ref="P3587:P3650" si="227">IF(F3587&lt;=3,"New",IF(F3587&lt;=7,"Mid-term","Long-term"))</f>
        <v>Mid-term</v>
      </c>
    </row>
    <row r="3588" spans="1:16" x14ac:dyDescent="0.25">
      <c r="A3588">
        <v>2025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  <c r="M3588" t="str">
        <f t="shared" si="224"/>
        <v>46-60</v>
      </c>
      <c r="N3588" t="str">
        <f t="shared" si="225"/>
        <v>High</v>
      </c>
      <c r="O3588" t="str">
        <f t="shared" si="226"/>
        <v>High Balance</v>
      </c>
      <c r="P3588" t="str">
        <f t="shared" si="227"/>
        <v>Mid-term</v>
      </c>
    </row>
    <row r="3589" spans="1:16" x14ac:dyDescent="0.25">
      <c r="A3589">
        <v>2025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  <c r="M3589" t="str">
        <f t="shared" si="224"/>
        <v>30-45</v>
      </c>
      <c r="N3589" t="str">
        <f t="shared" si="225"/>
        <v>High</v>
      </c>
      <c r="O3589" t="str">
        <f t="shared" si="226"/>
        <v>Zero Balance</v>
      </c>
      <c r="P3589" t="str">
        <f t="shared" si="227"/>
        <v>New</v>
      </c>
    </row>
    <row r="3590" spans="1:16" x14ac:dyDescent="0.25">
      <c r="A3590">
        <v>2025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  <c r="M3590" t="str">
        <f t="shared" si="224"/>
        <v>30-45</v>
      </c>
      <c r="N3590" t="str">
        <f t="shared" si="225"/>
        <v>Low</v>
      </c>
      <c r="O3590" t="str">
        <f t="shared" si="226"/>
        <v>High Balance</v>
      </c>
      <c r="P3590" t="str">
        <f t="shared" si="227"/>
        <v>New</v>
      </c>
    </row>
    <row r="3591" spans="1:16" x14ac:dyDescent="0.25">
      <c r="A3591">
        <v>2025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  <c r="M3591" t="str">
        <f t="shared" si="224"/>
        <v>46-60</v>
      </c>
      <c r="N3591" t="str">
        <f t="shared" si="225"/>
        <v>Low</v>
      </c>
      <c r="O3591" t="str">
        <f t="shared" si="226"/>
        <v>High Balance</v>
      </c>
      <c r="P3591" t="str">
        <f t="shared" si="227"/>
        <v>Mid-term</v>
      </c>
    </row>
    <row r="3592" spans="1:16" x14ac:dyDescent="0.25">
      <c r="A3592">
        <v>2025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  <c r="M3592" t="str">
        <f t="shared" si="224"/>
        <v>30-45</v>
      </c>
      <c r="N3592" t="str">
        <f t="shared" si="225"/>
        <v>Medium</v>
      </c>
      <c r="O3592" t="str">
        <f t="shared" si="226"/>
        <v>Low Balance</v>
      </c>
      <c r="P3592" t="str">
        <f t="shared" si="227"/>
        <v>New</v>
      </c>
    </row>
    <row r="3593" spans="1:16" x14ac:dyDescent="0.25">
      <c r="A3593">
        <v>2025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  <c r="M3593" t="str">
        <f t="shared" si="224"/>
        <v>&lt;30</v>
      </c>
      <c r="N3593" t="str">
        <f t="shared" si="225"/>
        <v>High</v>
      </c>
      <c r="O3593" t="str">
        <f t="shared" si="226"/>
        <v>High Balance</v>
      </c>
      <c r="P3593" t="str">
        <f t="shared" si="227"/>
        <v>New</v>
      </c>
    </row>
    <row r="3594" spans="1:16" x14ac:dyDescent="0.25">
      <c r="A3594">
        <v>2025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  <c r="M3594" t="str">
        <f t="shared" si="224"/>
        <v>46-60</v>
      </c>
      <c r="N3594" t="str">
        <f t="shared" si="225"/>
        <v>Medium</v>
      </c>
      <c r="O3594" t="str">
        <f t="shared" si="226"/>
        <v>High Balance</v>
      </c>
      <c r="P3594" t="str">
        <f t="shared" si="227"/>
        <v>Mid-term</v>
      </c>
    </row>
    <row r="3595" spans="1:16" x14ac:dyDescent="0.25">
      <c r="A3595">
        <v>2025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  <c r="M3595" t="str">
        <f t="shared" si="224"/>
        <v>60+</v>
      </c>
      <c r="N3595" t="str">
        <f t="shared" si="225"/>
        <v>Medium</v>
      </c>
      <c r="O3595" t="str">
        <f t="shared" si="226"/>
        <v>High Balance</v>
      </c>
      <c r="P3595" t="str">
        <f t="shared" si="227"/>
        <v>Long-term</v>
      </c>
    </row>
    <row r="3596" spans="1:16" x14ac:dyDescent="0.25">
      <c r="A3596">
        <v>2025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  <c r="M3596" t="str">
        <f t="shared" si="224"/>
        <v>30-45</v>
      </c>
      <c r="N3596" t="str">
        <f t="shared" si="225"/>
        <v>Medium</v>
      </c>
      <c r="O3596" t="str">
        <f t="shared" si="226"/>
        <v>High Balance</v>
      </c>
      <c r="P3596" t="str">
        <f t="shared" si="227"/>
        <v>Long-term</v>
      </c>
    </row>
    <row r="3597" spans="1:16" x14ac:dyDescent="0.25">
      <c r="A3597">
        <v>2025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  <c r="M3597" t="str">
        <f t="shared" si="224"/>
        <v>30-45</v>
      </c>
      <c r="N3597" t="str">
        <f t="shared" si="225"/>
        <v>High</v>
      </c>
      <c r="O3597" t="str">
        <f t="shared" si="226"/>
        <v>High Balance</v>
      </c>
      <c r="P3597" t="str">
        <f t="shared" si="227"/>
        <v>Mid-term</v>
      </c>
    </row>
    <row r="3598" spans="1:16" x14ac:dyDescent="0.25">
      <c r="A3598">
        <v>2025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  <c r="M3598" t="str">
        <f t="shared" si="224"/>
        <v>30-45</v>
      </c>
      <c r="N3598" t="str">
        <f t="shared" si="225"/>
        <v>Medium</v>
      </c>
      <c r="O3598" t="str">
        <f t="shared" si="226"/>
        <v>High Balance</v>
      </c>
      <c r="P3598" t="str">
        <f t="shared" si="227"/>
        <v>New</v>
      </c>
    </row>
    <row r="3599" spans="1:16" x14ac:dyDescent="0.25">
      <c r="A3599">
        <v>2025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  <c r="M3599" t="str">
        <f t="shared" si="224"/>
        <v>30-45</v>
      </c>
      <c r="N3599" t="str">
        <f t="shared" si="225"/>
        <v>High</v>
      </c>
      <c r="O3599" t="str">
        <f t="shared" si="226"/>
        <v>Low Balance</v>
      </c>
      <c r="P3599" t="str">
        <f t="shared" si="227"/>
        <v>New</v>
      </c>
    </row>
    <row r="3600" spans="1:16" x14ac:dyDescent="0.25">
      <c r="A3600">
        <v>2025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  <c r="M3600" t="str">
        <f t="shared" si="224"/>
        <v>30-45</v>
      </c>
      <c r="N3600" t="str">
        <f t="shared" si="225"/>
        <v>High</v>
      </c>
      <c r="O3600" t="str">
        <f t="shared" si="226"/>
        <v>High Balance</v>
      </c>
      <c r="P3600" t="str">
        <f t="shared" si="227"/>
        <v>Long-term</v>
      </c>
    </row>
    <row r="3601" spans="1:16" x14ac:dyDescent="0.25">
      <c r="A3601">
        <v>2025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  <c r="M3601" t="str">
        <f t="shared" si="224"/>
        <v>30-45</v>
      </c>
      <c r="N3601" t="str">
        <f t="shared" si="225"/>
        <v>Medium</v>
      </c>
      <c r="O3601" t="str">
        <f t="shared" si="226"/>
        <v>Zero Balance</v>
      </c>
      <c r="P3601" t="str">
        <f t="shared" si="227"/>
        <v>Mid-term</v>
      </c>
    </row>
    <row r="3602" spans="1:16" x14ac:dyDescent="0.25">
      <c r="A3602">
        <v>2025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  <c r="M3602" t="str">
        <f t="shared" si="224"/>
        <v>46-60</v>
      </c>
      <c r="N3602" t="str">
        <f t="shared" si="225"/>
        <v>Medium</v>
      </c>
      <c r="O3602" t="str">
        <f t="shared" si="226"/>
        <v>Zero Balance</v>
      </c>
      <c r="P3602" t="str">
        <f t="shared" si="227"/>
        <v>Mid-term</v>
      </c>
    </row>
    <row r="3603" spans="1:16" x14ac:dyDescent="0.25">
      <c r="A3603">
        <v>2025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  <c r="M3603" t="str">
        <f t="shared" si="224"/>
        <v>46-60</v>
      </c>
      <c r="N3603" t="str">
        <f t="shared" si="225"/>
        <v>Medium</v>
      </c>
      <c r="O3603" t="str">
        <f t="shared" si="226"/>
        <v>Zero Balance</v>
      </c>
      <c r="P3603" t="str">
        <f t="shared" si="227"/>
        <v>Mid-term</v>
      </c>
    </row>
    <row r="3604" spans="1:16" x14ac:dyDescent="0.25">
      <c r="A3604">
        <v>2025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  <c r="M3604" t="str">
        <f t="shared" si="224"/>
        <v>60+</v>
      </c>
      <c r="N3604" t="str">
        <f t="shared" si="225"/>
        <v>Medium</v>
      </c>
      <c r="O3604" t="str">
        <f t="shared" si="226"/>
        <v>Zero Balance</v>
      </c>
      <c r="P3604" t="str">
        <f t="shared" si="227"/>
        <v>New</v>
      </c>
    </row>
    <row r="3605" spans="1:16" x14ac:dyDescent="0.25">
      <c r="A3605">
        <v>2025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  <c r="M3605" t="str">
        <f t="shared" si="224"/>
        <v>46-60</v>
      </c>
      <c r="N3605" t="str">
        <f t="shared" si="225"/>
        <v>High</v>
      </c>
      <c r="O3605" t="str">
        <f t="shared" si="226"/>
        <v>High Balance</v>
      </c>
      <c r="P3605" t="str">
        <f t="shared" si="227"/>
        <v>Mid-term</v>
      </c>
    </row>
    <row r="3606" spans="1:16" x14ac:dyDescent="0.25">
      <c r="A3606">
        <v>2025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  <c r="M3606" t="str">
        <f t="shared" si="224"/>
        <v>30-45</v>
      </c>
      <c r="N3606" t="str">
        <f t="shared" si="225"/>
        <v>Medium</v>
      </c>
      <c r="O3606" t="str">
        <f t="shared" si="226"/>
        <v>High Balance</v>
      </c>
      <c r="P3606" t="str">
        <f t="shared" si="227"/>
        <v>Mid-term</v>
      </c>
    </row>
    <row r="3607" spans="1:16" x14ac:dyDescent="0.25">
      <c r="A3607">
        <v>2025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  <c r="M3607" t="str">
        <f t="shared" si="224"/>
        <v>30-45</v>
      </c>
      <c r="N3607" t="str">
        <f t="shared" si="225"/>
        <v>Medium</v>
      </c>
      <c r="O3607" t="str">
        <f t="shared" si="226"/>
        <v>High Balance</v>
      </c>
      <c r="P3607" t="str">
        <f t="shared" si="227"/>
        <v>Long-term</v>
      </c>
    </row>
    <row r="3608" spans="1:16" x14ac:dyDescent="0.25">
      <c r="A3608">
        <v>2025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  <c r="M3608" t="str">
        <f t="shared" si="224"/>
        <v>&lt;30</v>
      </c>
      <c r="N3608" t="str">
        <f t="shared" si="225"/>
        <v>Low</v>
      </c>
      <c r="O3608" t="str">
        <f t="shared" si="226"/>
        <v>Zero Balance</v>
      </c>
      <c r="P3608" t="str">
        <f t="shared" si="227"/>
        <v>New</v>
      </c>
    </row>
    <row r="3609" spans="1:16" x14ac:dyDescent="0.25">
      <c r="A3609">
        <v>2025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  <c r="M3609" t="str">
        <f t="shared" si="224"/>
        <v>30-45</v>
      </c>
      <c r="N3609" t="str">
        <f t="shared" si="225"/>
        <v>Medium</v>
      </c>
      <c r="O3609" t="str">
        <f t="shared" si="226"/>
        <v>Zero Balance</v>
      </c>
      <c r="P3609" t="str">
        <f t="shared" si="227"/>
        <v>Mid-term</v>
      </c>
    </row>
    <row r="3610" spans="1:16" x14ac:dyDescent="0.25">
      <c r="A3610">
        <v>2025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  <c r="M3610" t="str">
        <f t="shared" si="224"/>
        <v>30-45</v>
      </c>
      <c r="N3610" t="str">
        <f t="shared" si="225"/>
        <v>Medium</v>
      </c>
      <c r="O3610" t="str">
        <f t="shared" si="226"/>
        <v>Zero Balance</v>
      </c>
      <c r="P3610" t="str">
        <f t="shared" si="227"/>
        <v>Mid-term</v>
      </c>
    </row>
    <row r="3611" spans="1:16" x14ac:dyDescent="0.25">
      <c r="A3611">
        <v>2025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  <c r="M3611" t="str">
        <f t="shared" si="224"/>
        <v>30-45</v>
      </c>
      <c r="N3611" t="str">
        <f t="shared" si="225"/>
        <v>High</v>
      </c>
      <c r="O3611" t="str">
        <f t="shared" si="226"/>
        <v>Low Balance</v>
      </c>
      <c r="P3611" t="str">
        <f t="shared" si="227"/>
        <v>Mid-term</v>
      </c>
    </row>
    <row r="3612" spans="1:16" x14ac:dyDescent="0.25">
      <c r="A3612">
        <v>2025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  <c r="M3612" t="str">
        <f t="shared" si="224"/>
        <v>46-60</v>
      </c>
      <c r="N3612" t="str">
        <f t="shared" si="225"/>
        <v>Medium</v>
      </c>
      <c r="O3612" t="str">
        <f t="shared" si="226"/>
        <v>High Balance</v>
      </c>
      <c r="P3612" t="str">
        <f t="shared" si="227"/>
        <v>New</v>
      </c>
    </row>
    <row r="3613" spans="1:16" x14ac:dyDescent="0.25">
      <c r="A3613">
        <v>2025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  <c r="M3613" t="str">
        <f t="shared" si="224"/>
        <v>&lt;30</v>
      </c>
      <c r="N3613" t="str">
        <f t="shared" si="225"/>
        <v>High</v>
      </c>
      <c r="O3613" t="str">
        <f t="shared" si="226"/>
        <v>High Balance</v>
      </c>
      <c r="P3613" t="str">
        <f t="shared" si="227"/>
        <v>Long-term</v>
      </c>
    </row>
    <row r="3614" spans="1:16" x14ac:dyDescent="0.25">
      <c r="A3614">
        <v>2025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  <c r="M3614" t="str">
        <f t="shared" si="224"/>
        <v>30-45</v>
      </c>
      <c r="N3614" t="str">
        <f t="shared" si="225"/>
        <v>Medium</v>
      </c>
      <c r="O3614" t="str">
        <f t="shared" si="226"/>
        <v>Zero Balance</v>
      </c>
      <c r="P3614" t="str">
        <f t="shared" si="227"/>
        <v>New</v>
      </c>
    </row>
    <row r="3615" spans="1:16" x14ac:dyDescent="0.25">
      <c r="A3615">
        <v>2025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  <c r="M3615" t="str">
        <f t="shared" si="224"/>
        <v>&lt;30</v>
      </c>
      <c r="N3615" t="str">
        <f t="shared" si="225"/>
        <v>Medium</v>
      </c>
      <c r="O3615" t="str">
        <f t="shared" si="226"/>
        <v>High Balance</v>
      </c>
      <c r="P3615" t="str">
        <f t="shared" si="227"/>
        <v>Mid-term</v>
      </c>
    </row>
    <row r="3616" spans="1:16" x14ac:dyDescent="0.25">
      <c r="A3616">
        <v>2025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  <c r="M3616" t="str">
        <f t="shared" si="224"/>
        <v>30-45</v>
      </c>
      <c r="N3616" t="str">
        <f t="shared" si="225"/>
        <v>Medium</v>
      </c>
      <c r="O3616" t="str">
        <f t="shared" si="226"/>
        <v>High Balance</v>
      </c>
      <c r="P3616" t="str">
        <f t="shared" si="227"/>
        <v>New</v>
      </c>
    </row>
    <row r="3617" spans="1:16" x14ac:dyDescent="0.25">
      <c r="A3617">
        <v>2025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  <c r="M3617" t="str">
        <f t="shared" si="224"/>
        <v>46-60</v>
      </c>
      <c r="N3617" t="str">
        <f t="shared" si="225"/>
        <v>Low</v>
      </c>
      <c r="O3617" t="str">
        <f t="shared" si="226"/>
        <v>High Balance</v>
      </c>
      <c r="P3617" t="str">
        <f t="shared" si="227"/>
        <v>Long-term</v>
      </c>
    </row>
    <row r="3618" spans="1:16" x14ac:dyDescent="0.25">
      <c r="A3618">
        <v>2025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  <c r="M3618" t="str">
        <f t="shared" si="224"/>
        <v>46-60</v>
      </c>
      <c r="N3618" t="str">
        <f t="shared" si="225"/>
        <v>High</v>
      </c>
      <c r="O3618" t="str">
        <f t="shared" si="226"/>
        <v>Low Balance</v>
      </c>
      <c r="P3618" t="str">
        <f t="shared" si="227"/>
        <v>Mid-term</v>
      </c>
    </row>
    <row r="3619" spans="1:16" x14ac:dyDescent="0.25">
      <c r="A3619">
        <v>2025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  <c r="M3619" t="str">
        <f t="shared" si="224"/>
        <v>&lt;30</v>
      </c>
      <c r="N3619" t="str">
        <f t="shared" si="225"/>
        <v>High</v>
      </c>
      <c r="O3619" t="str">
        <f t="shared" si="226"/>
        <v>High Balance</v>
      </c>
      <c r="P3619" t="str">
        <f t="shared" si="227"/>
        <v>Mid-term</v>
      </c>
    </row>
    <row r="3620" spans="1:16" x14ac:dyDescent="0.25">
      <c r="A3620">
        <v>2025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  <c r="M3620" t="str">
        <f t="shared" si="224"/>
        <v>46-60</v>
      </c>
      <c r="N3620" t="str">
        <f t="shared" si="225"/>
        <v>Low</v>
      </c>
      <c r="O3620" t="str">
        <f t="shared" si="226"/>
        <v>Low Balance</v>
      </c>
      <c r="P3620" t="str">
        <f t="shared" si="227"/>
        <v>Long-term</v>
      </c>
    </row>
    <row r="3621" spans="1:16" x14ac:dyDescent="0.25">
      <c r="A3621">
        <v>2025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  <c r="M3621" t="str">
        <f t="shared" si="224"/>
        <v>30-45</v>
      </c>
      <c r="N3621" t="str">
        <f t="shared" si="225"/>
        <v>High</v>
      </c>
      <c r="O3621" t="str">
        <f t="shared" si="226"/>
        <v>Zero Balance</v>
      </c>
      <c r="P3621" t="str">
        <f t="shared" si="227"/>
        <v>New</v>
      </c>
    </row>
    <row r="3622" spans="1:16" x14ac:dyDescent="0.25">
      <c r="A3622">
        <v>2025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  <c r="M3622" t="str">
        <f t="shared" si="224"/>
        <v>30-45</v>
      </c>
      <c r="N3622" t="str">
        <f t="shared" si="225"/>
        <v>High</v>
      </c>
      <c r="O3622" t="str">
        <f t="shared" si="226"/>
        <v>Zero Balance</v>
      </c>
      <c r="P3622" t="str">
        <f t="shared" si="227"/>
        <v>Mid-term</v>
      </c>
    </row>
    <row r="3623" spans="1:16" x14ac:dyDescent="0.25">
      <c r="A3623">
        <v>2025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  <c r="M3623" t="str">
        <f t="shared" si="224"/>
        <v>30-45</v>
      </c>
      <c r="N3623" t="str">
        <f t="shared" si="225"/>
        <v>High</v>
      </c>
      <c r="O3623" t="str">
        <f t="shared" si="226"/>
        <v>High Balance</v>
      </c>
      <c r="P3623" t="str">
        <f t="shared" si="227"/>
        <v>Long-term</v>
      </c>
    </row>
    <row r="3624" spans="1:16" x14ac:dyDescent="0.25">
      <c r="A3624">
        <v>2025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  <c r="M3624" t="str">
        <f t="shared" si="224"/>
        <v>46-60</v>
      </c>
      <c r="N3624" t="str">
        <f t="shared" si="225"/>
        <v>Medium</v>
      </c>
      <c r="O3624" t="str">
        <f t="shared" si="226"/>
        <v>Low Balance</v>
      </c>
      <c r="P3624" t="str">
        <f t="shared" si="227"/>
        <v>Long-term</v>
      </c>
    </row>
    <row r="3625" spans="1:16" x14ac:dyDescent="0.25">
      <c r="A3625">
        <v>2025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  <c r="M3625" t="str">
        <f t="shared" si="224"/>
        <v>&lt;30</v>
      </c>
      <c r="N3625" t="str">
        <f t="shared" si="225"/>
        <v>Medium</v>
      </c>
      <c r="O3625" t="str">
        <f t="shared" si="226"/>
        <v>High Balance</v>
      </c>
      <c r="P3625" t="str">
        <f t="shared" si="227"/>
        <v>Mid-term</v>
      </c>
    </row>
    <row r="3626" spans="1:16" x14ac:dyDescent="0.25">
      <c r="A3626">
        <v>2025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  <c r="M3626" t="str">
        <f t="shared" si="224"/>
        <v>30-45</v>
      </c>
      <c r="N3626" t="str">
        <f t="shared" si="225"/>
        <v>Medium</v>
      </c>
      <c r="O3626" t="str">
        <f t="shared" si="226"/>
        <v>High Balance</v>
      </c>
      <c r="P3626" t="str">
        <f t="shared" si="227"/>
        <v>New</v>
      </c>
    </row>
    <row r="3627" spans="1:16" x14ac:dyDescent="0.25">
      <c r="A3627">
        <v>2025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  <c r="M3627" t="str">
        <f t="shared" si="224"/>
        <v>30-45</v>
      </c>
      <c r="N3627" t="str">
        <f t="shared" si="225"/>
        <v>Low</v>
      </c>
      <c r="O3627" t="str">
        <f t="shared" si="226"/>
        <v>Low Balance</v>
      </c>
      <c r="P3627" t="str">
        <f t="shared" si="227"/>
        <v>Mid-term</v>
      </c>
    </row>
    <row r="3628" spans="1:16" x14ac:dyDescent="0.25">
      <c r="A3628">
        <v>2025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  <c r="M3628" t="str">
        <f t="shared" si="224"/>
        <v>30-45</v>
      </c>
      <c r="N3628" t="str">
        <f t="shared" si="225"/>
        <v>High</v>
      </c>
      <c r="O3628" t="str">
        <f t="shared" si="226"/>
        <v>High Balance</v>
      </c>
      <c r="P3628" t="str">
        <f t="shared" si="227"/>
        <v>Mid-term</v>
      </c>
    </row>
    <row r="3629" spans="1:16" x14ac:dyDescent="0.25">
      <c r="A3629">
        <v>2025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  <c r="M3629" t="str">
        <f t="shared" si="224"/>
        <v>30-45</v>
      </c>
      <c r="N3629" t="str">
        <f t="shared" si="225"/>
        <v>Medium</v>
      </c>
      <c r="O3629" t="str">
        <f t="shared" si="226"/>
        <v>Low Balance</v>
      </c>
      <c r="P3629" t="str">
        <f t="shared" si="227"/>
        <v>Mid-term</v>
      </c>
    </row>
    <row r="3630" spans="1:16" x14ac:dyDescent="0.25">
      <c r="A3630">
        <v>2025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  <c r="M3630" t="str">
        <f t="shared" si="224"/>
        <v>30-45</v>
      </c>
      <c r="N3630" t="str">
        <f t="shared" si="225"/>
        <v>Low</v>
      </c>
      <c r="O3630" t="str">
        <f t="shared" si="226"/>
        <v>High Balance</v>
      </c>
      <c r="P3630" t="str">
        <f t="shared" si="227"/>
        <v>Long-term</v>
      </c>
    </row>
    <row r="3631" spans="1:16" x14ac:dyDescent="0.25">
      <c r="A3631">
        <v>2025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  <c r="M3631" t="str">
        <f t="shared" si="224"/>
        <v>46-60</v>
      </c>
      <c r="N3631" t="str">
        <f t="shared" si="225"/>
        <v>Medium</v>
      </c>
      <c r="O3631" t="str">
        <f t="shared" si="226"/>
        <v>High Balance</v>
      </c>
      <c r="P3631" t="str">
        <f t="shared" si="227"/>
        <v>Long-term</v>
      </c>
    </row>
    <row r="3632" spans="1:16" x14ac:dyDescent="0.25">
      <c r="A3632">
        <v>2025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  <c r="M3632" t="str">
        <f t="shared" si="224"/>
        <v>46-60</v>
      </c>
      <c r="N3632" t="str">
        <f t="shared" si="225"/>
        <v>Medium</v>
      </c>
      <c r="O3632" t="str">
        <f t="shared" si="226"/>
        <v>High Balance</v>
      </c>
      <c r="P3632" t="str">
        <f t="shared" si="227"/>
        <v>Long-term</v>
      </c>
    </row>
    <row r="3633" spans="1:16" x14ac:dyDescent="0.25">
      <c r="A3633">
        <v>2025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  <c r="M3633" t="str">
        <f t="shared" si="224"/>
        <v>&lt;30</v>
      </c>
      <c r="N3633" t="str">
        <f t="shared" si="225"/>
        <v>High</v>
      </c>
      <c r="O3633" t="str">
        <f t="shared" si="226"/>
        <v>Low Balance</v>
      </c>
      <c r="P3633" t="str">
        <f t="shared" si="227"/>
        <v>Mid-term</v>
      </c>
    </row>
    <row r="3634" spans="1:16" x14ac:dyDescent="0.25">
      <c r="A3634">
        <v>2025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  <c r="M3634" t="str">
        <f t="shared" si="224"/>
        <v>&lt;30</v>
      </c>
      <c r="N3634" t="str">
        <f t="shared" si="225"/>
        <v>Medium</v>
      </c>
      <c r="O3634" t="str">
        <f t="shared" si="226"/>
        <v>High Balance</v>
      </c>
      <c r="P3634" t="str">
        <f t="shared" si="227"/>
        <v>New</v>
      </c>
    </row>
    <row r="3635" spans="1:16" x14ac:dyDescent="0.25">
      <c r="A3635">
        <v>2025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  <c r="M3635" t="str">
        <f t="shared" si="224"/>
        <v>46-60</v>
      </c>
      <c r="N3635" t="str">
        <f t="shared" si="225"/>
        <v>High</v>
      </c>
      <c r="O3635" t="str">
        <f t="shared" si="226"/>
        <v>High Balance</v>
      </c>
      <c r="P3635" t="str">
        <f t="shared" si="227"/>
        <v>Long-term</v>
      </c>
    </row>
    <row r="3636" spans="1:16" x14ac:dyDescent="0.25">
      <c r="A3636">
        <v>2025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  <c r="M3636" t="str">
        <f t="shared" si="224"/>
        <v>&lt;30</v>
      </c>
      <c r="N3636" t="str">
        <f t="shared" si="225"/>
        <v>Medium</v>
      </c>
      <c r="O3636" t="str">
        <f t="shared" si="226"/>
        <v>High Balance</v>
      </c>
      <c r="P3636" t="str">
        <f t="shared" si="227"/>
        <v>Mid-term</v>
      </c>
    </row>
    <row r="3637" spans="1:16" x14ac:dyDescent="0.25">
      <c r="A3637">
        <v>2025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  <c r="M3637" t="str">
        <f t="shared" si="224"/>
        <v>30-45</v>
      </c>
      <c r="N3637" t="str">
        <f t="shared" si="225"/>
        <v>High</v>
      </c>
      <c r="O3637" t="str">
        <f t="shared" si="226"/>
        <v>Zero Balance</v>
      </c>
      <c r="P3637" t="str">
        <f t="shared" si="227"/>
        <v>Mid-term</v>
      </c>
    </row>
    <row r="3638" spans="1:16" x14ac:dyDescent="0.25">
      <c r="A3638">
        <v>2025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  <c r="M3638" t="str">
        <f t="shared" si="224"/>
        <v>30-45</v>
      </c>
      <c r="N3638" t="str">
        <f t="shared" si="225"/>
        <v>Medium</v>
      </c>
      <c r="O3638" t="str">
        <f t="shared" si="226"/>
        <v>High Balance</v>
      </c>
      <c r="P3638" t="str">
        <f t="shared" si="227"/>
        <v>Mid-term</v>
      </c>
    </row>
    <row r="3639" spans="1:16" x14ac:dyDescent="0.25">
      <c r="A3639">
        <v>2025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  <c r="M3639" t="str">
        <f t="shared" si="224"/>
        <v>46-60</v>
      </c>
      <c r="N3639" t="str">
        <f t="shared" si="225"/>
        <v>High</v>
      </c>
      <c r="O3639" t="str">
        <f t="shared" si="226"/>
        <v>Zero Balance</v>
      </c>
      <c r="P3639" t="str">
        <f t="shared" si="227"/>
        <v>New</v>
      </c>
    </row>
    <row r="3640" spans="1:16" x14ac:dyDescent="0.25">
      <c r="A3640">
        <v>2025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  <c r="M3640" t="str">
        <f t="shared" si="224"/>
        <v>&lt;30</v>
      </c>
      <c r="N3640" t="str">
        <f t="shared" si="225"/>
        <v>Medium</v>
      </c>
      <c r="O3640" t="str">
        <f t="shared" si="226"/>
        <v>Zero Balance</v>
      </c>
      <c r="P3640" t="str">
        <f t="shared" si="227"/>
        <v>Mid-term</v>
      </c>
    </row>
    <row r="3641" spans="1:16" x14ac:dyDescent="0.25">
      <c r="A3641">
        <v>2025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  <c r="M3641" t="str">
        <f t="shared" si="224"/>
        <v>46-60</v>
      </c>
      <c r="N3641" t="str">
        <f t="shared" si="225"/>
        <v>Medium</v>
      </c>
      <c r="O3641" t="str">
        <f t="shared" si="226"/>
        <v>High Balance</v>
      </c>
      <c r="P3641" t="str">
        <f t="shared" si="227"/>
        <v>Long-term</v>
      </c>
    </row>
    <row r="3642" spans="1:16" x14ac:dyDescent="0.25">
      <c r="A3642">
        <v>2025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  <c r="M3642" t="str">
        <f t="shared" si="224"/>
        <v>30-45</v>
      </c>
      <c r="N3642" t="str">
        <f t="shared" si="225"/>
        <v>Medium</v>
      </c>
      <c r="O3642" t="str">
        <f t="shared" si="226"/>
        <v>High Balance</v>
      </c>
      <c r="P3642" t="str">
        <f t="shared" si="227"/>
        <v>New</v>
      </c>
    </row>
    <row r="3643" spans="1:16" x14ac:dyDescent="0.25">
      <c r="A3643">
        <v>2025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  <c r="M3643" t="str">
        <f t="shared" si="224"/>
        <v>60+</v>
      </c>
      <c r="N3643" t="str">
        <f t="shared" si="225"/>
        <v>Medium</v>
      </c>
      <c r="O3643" t="str">
        <f t="shared" si="226"/>
        <v>Zero Balance</v>
      </c>
      <c r="P3643" t="str">
        <f t="shared" si="227"/>
        <v>New</v>
      </c>
    </row>
    <row r="3644" spans="1:16" x14ac:dyDescent="0.25">
      <c r="A3644">
        <v>2025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  <c r="M3644" t="str">
        <f t="shared" si="224"/>
        <v>30-45</v>
      </c>
      <c r="N3644" t="str">
        <f t="shared" si="225"/>
        <v>High</v>
      </c>
      <c r="O3644" t="str">
        <f t="shared" si="226"/>
        <v>Zero Balance</v>
      </c>
      <c r="P3644" t="str">
        <f t="shared" si="227"/>
        <v>Mid-term</v>
      </c>
    </row>
    <row r="3645" spans="1:16" x14ac:dyDescent="0.25">
      <c r="A3645">
        <v>2025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  <c r="M3645" t="str">
        <f t="shared" si="224"/>
        <v>30-45</v>
      </c>
      <c r="N3645" t="str">
        <f t="shared" si="225"/>
        <v>Medium</v>
      </c>
      <c r="O3645" t="str">
        <f t="shared" si="226"/>
        <v>High Balance</v>
      </c>
      <c r="P3645" t="str">
        <f t="shared" si="227"/>
        <v>New</v>
      </c>
    </row>
    <row r="3646" spans="1:16" x14ac:dyDescent="0.25">
      <c r="A3646">
        <v>2025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  <c r="M3646" t="str">
        <f t="shared" si="224"/>
        <v>30-45</v>
      </c>
      <c r="N3646" t="str">
        <f t="shared" si="225"/>
        <v>Medium</v>
      </c>
      <c r="O3646" t="str">
        <f t="shared" si="226"/>
        <v>Zero Balance</v>
      </c>
      <c r="P3646" t="str">
        <f t="shared" si="227"/>
        <v>New</v>
      </c>
    </row>
    <row r="3647" spans="1:16" x14ac:dyDescent="0.25">
      <c r="A3647">
        <v>2025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  <c r="M3647" t="str">
        <f t="shared" si="224"/>
        <v>46-60</v>
      </c>
      <c r="N3647" t="str">
        <f t="shared" si="225"/>
        <v>High</v>
      </c>
      <c r="O3647" t="str">
        <f t="shared" si="226"/>
        <v>Zero Balance</v>
      </c>
      <c r="P3647" t="str">
        <f t="shared" si="227"/>
        <v>New</v>
      </c>
    </row>
    <row r="3648" spans="1:16" x14ac:dyDescent="0.25">
      <c r="A3648">
        <v>2025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  <c r="M3648" t="str">
        <f t="shared" si="224"/>
        <v>60+</v>
      </c>
      <c r="N3648" t="str">
        <f t="shared" si="225"/>
        <v>High</v>
      </c>
      <c r="O3648" t="str">
        <f t="shared" si="226"/>
        <v>High Balance</v>
      </c>
      <c r="P3648" t="str">
        <f t="shared" si="227"/>
        <v>Long-term</v>
      </c>
    </row>
    <row r="3649" spans="1:16" x14ac:dyDescent="0.25">
      <c r="A3649">
        <v>2025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  <c r="M3649" t="str">
        <f t="shared" si="224"/>
        <v>60+</v>
      </c>
      <c r="N3649" t="str">
        <f t="shared" si="225"/>
        <v>High</v>
      </c>
      <c r="O3649" t="str">
        <f t="shared" si="226"/>
        <v>Low Balance</v>
      </c>
      <c r="P3649" t="str">
        <f t="shared" si="227"/>
        <v>New</v>
      </c>
    </row>
    <row r="3650" spans="1:16" x14ac:dyDescent="0.25">
      <c r="A3650">
        <v>2025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  <c r="M3650" t="str">
        <f t="shared" si="224"/>
        <v>46-60</v>
      </c>
      <c r="N3650" t="str">
        <f t="shared" si="225"/>
        <v>Medium</v>
      </c>
      <c r="O3650" t="str">
        <f t="shared" si="226"/>
        <v>High Balance</v>
      </c>
      <c r="P3650" t="str">
        <f t="shared" si="227"/>
        <v>Long-term</v>
      </c>
    </row>
    <row r="3651" spans="1:16" x14ac:dyDescent="0.25">
      <c r="A3651">
        <v>2025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  <c r="M3651" t="str">
        <f t="shared" ref="M3651:M3714" si="228">IF(E3651&lt;30,"&lt;30",IF(E3651&lt;=45,"30-45",IF(E3651&lt;=60,"46-60","60+")))</f>
        <v>30-45</v>
      </c>
      <c r="N3651" t="str">
        <f t="shared" ref="N3651:N3714" si="229">IF(B3651&lt;500,"Low",IF(B3651&lt;700,"Medium","High"))</f>
        <v>Medium</v>
      </c>
      <c r="O3651" t="str">
        <f t="shared" ref="O3651:O3714" si="230">IF(G3651=0,"Zero Balance",IF(G3651&lt;100000,"Low Balance","High Balance"))</f>
        <v>High Balance</v>
      </c>
      <c r="P3651" t="str">
        <f t="shared" ref="P3651:P3714" si="231">IF(F3651&lt;=3,"New",IF(F3651&lt;=7,"Mid-term","Long-term"))</f>
        <v>Mid-term</v>
      </c>
    </row>
    <row r="3652" spans="1:16" x14ac:dyDescent="0.25">
      <c r="A3652">
        <v>2025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  <c r="M3652" t="str">
        <f t="shared" si="228"/>
        <v>30-45</v>
      </c>
      <c r="N3652" t="str">
        <f t="shared" si="229"/>
        <v>Medium</v>
      </c>
      <c r="O3652" t="str">
        <f t="shared" si="230"/>
        <v>Zero Balance</v>
      </c>
      <c r="P3652" t="str">
        <f t="shared" si="231"/>
        <v>New</v>
      </c>
    </row>
    <row r="3653" spans="1:16" x14ac:dyDescent="0.25">
      <c r="A3653">
        <v>2025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  <c r="M3653" t="str">
        <f t="shared" si="228"/>
        <v>60+</v>
      </c>
      <c r="N3653" t="str">
        <f t="shared" si="229"/>
        <v>High</v>
      </c>
      <c r="O3653" t="str">
        <f t="shared" si="230"/>
        <v>Low Balance</v>
      </c>
      <c r="P3653" t="str">
        <f t="shared" si="231"/>
        <v>Long-term</v>
      </c>
    </row>
    <row r="3654" spans="1:16" x14ac:dyDescent="0.25">
      <c r="A3654">
        <v>2025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  <c r="M3654" t="str">
        <f t="shared" si="228"/>
        <v>30-45</v>
      </c>
      <c r="N3654" t="str">
        <f t="shared" si="229"/>
        <v>Medium</v>
      </c>
      <c r="O3654" t="str">
        <f t="shared" si="230"/>
        <v>High Balance</v>
      </c>
      <c r="P3654" t="str">
        <f t="shared" si="231"/>
        <v>Long-term</v>
      </c>
    </row>
    <row r="3655" spans="1:16" x14ac:dyDescent="0.25">
      <c r="A3655">
        <v>2025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  <c r="M3655" t="str">
        <f t="shared" si="228"/>
        <v>46-60</v>
      </c>
      <c r="N3655" t="str">
        <f t="shared" si="229"/>
        <v>Medium</v>
      </c>
      <c r="O3655" t="str">
        <f t="shared" si="230"/>
        <v>Low Balance</v>
      </c>
      <c r="P3655" t="str">
        <f t="shared" si="231"/>
        <v>New</v>
      </c>
    </row>
    <row r="3656" spans="1:16" x14ac:dyDescent="0.25">
      <c r="A3656">
        <v>2025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  <c r="M3656" t="str">
        <f t="shared" si="228"/>
        <v>30-45</v>
      </c>
      <c r="N3656" t="str">
        <f t="shared" si="229"/>
        <v>Medium</v>
      </c>
      <c r="O3656" t="str">
        <f t="shared" si="230"/>
        <v>High Balance</v>
      </c>
      <c r="P3656" t="str">
        <f t="shared" si="231"/>
        <v>Long-term</v>
      </c>
    </row>
    <row r="3657" spans="1:16" x14ac:dyDescent="0.25">
      <c r="A3657">
        <v>2025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  <c r="M3657" t="str">
        <f t="shared" si="228"/>
        <v>30-45</v>
      </c>
      <c r="N3657" t="str">
        <f t="shared" si="229"/>
        <v>High</v>
      </c>
      <c r="O3657" t="str">
        <f t="shared" si="230"/>
        <v>Low Balance</v>
      </c>
      <c r="P3657" t="str">
        <f t="shared" si="231"/>
        <v>Mid-term</v>
      </c>
    </row>
    <row r="3658" spans="1:16" x14ac:dyDescent="0.25">
      <c r="A3658">
        <v>2025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  <c r="M3658" t="str">
        <f t="shared" si="228"/>
        <v>30-45</v>
      </c>
      <c r="N3658" t="str">
        <f t="shared" si="229"/>
        <v>High</v>
      </c>
      <c r="O3658" t="str">
        <f t="shared" si="230"/>
        <v>Zero Balance</v>
      </c>
      <c r="P3658" t="str">
        <f t="shared" si="231"/>
        <v>Mid-term</v>
      </c>
    </row>
    <row r="3659" spans="1:16" x14ac:dyDescent="0.25">
      <c r="A3659">
        <v>2025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  <c r="M3659" t="str">
        <f t="shared" si="228"/>
        <v>30-45</v>
      </c>
      <c r="N3659" t="str">
        <f t="shared" si="229"/>
        <v>High</v>
      </c>
      <c r="O3659" t="str">
        <f t="shared" si="230"/>
        <v>Zero Balance</v>
      </c>
      <c r="P3659" t="str">
        <f t="shared" si="231"/>
        <v>Mid-term</v>
      </c>
    </row>
    <row r="3660" spans="1:16" x14ac:dyDescent="0.25">
      <c r="A3660">
        <v>2025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  <c r="M3660" t="str">
        <f t="shared" si="228"/>
        <v>30-45</v>
      </c>
      <c r="N3660" t="str">
        <f t="shared" si="229"/>
        <v>Medium</v>
      </c>
      <c r="O3660" t="str">
        <f t="shared" si="230"/>
        <v>Low Balance</v>
      </c>
      <c r="P3660" t="str">
        <f t="shared" si="231"/>
        <v>New</v>
      </c>
    </row>
    <row r="3661" spans="1:16" x14ac:dyDescent="0.25">
      <c r="A3661">
        <v>2025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  <c r="M3661" t="str">
        <f t="shared" si="228"/>
        <v>30-45</v>
      </c>
      <c r="N3661" t="str">
        <f t="shared" si="229"/>
        <v>Medium</v>
      </c>
      <c r="O3661" t="str">
        <f t="shared" si="230"/>
        <v>High Balance</v>
      </c>
      <c r="P3661" t="str">
        <f t="shared" si="231"/>
        <v>Long-term</v>
      </c>
    </row>
    <row r="3662" spans="1:16" x14ac:dyDescent="0.25">
      <c r="A3662">
        <v>2025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  <c r="M3662" t="str">
        <f t="shared" si="228"/>
        <v>&lt;30</v>
      </c>
      <c r="N3662" t="str">
        <f t="shared" si="229"/>
        <v>Low</v>
      </c>
      <c r="O3662" t="str">
        <f t="shared" si="230"/>
        <v>Zero Balance</v>
      </c>
      <c r="P3662" t="str">
        <f t="shared" si="231"/>
        <v>New</v>
      </c>
    </row>
    <row r="3663" spans="1:16" x14ac:dyDescent="0.25">
      <c r="A3663">
        <v>2025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  <c r="M3663" t="str">
        <f t="shared" si="228"/>
        <v>30-45</v>
      </c>
      <c r="N3663" t="str">
        <f t="shared" si="229"/>
        <v>Low</v>
      </c>
      <c r="O3663" t="str">
        <f t="shared" si="230"/>
        <v>High Balance</v>
      </c>
      <c r="P3663" t="str">
        <f t="shared" si="231"/>
        <v>Mid-term</v>
      </c>
    </row>
    <row r="3664" spans="1:16" x14ac:dyDescent="0.25">
      <c r="A3664">
        <v>2025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  <c r="M3664" t="str">
        <f t="shared" si="228"/>
        <v>&lt;30</v>
      </c>
      <c r="N3664" t="str">
        <f t="shared" si="229"/>
        <v>Medium</v>
      </c>
      <c r="O3664" t="str">
        <f t="shared" si="230"/>
        <v>High Balance</v>
      </c>
      <c r="P3664" t="str">
        <f t="shared" si="231"/>
        <v>Mid-term</v>
      </c>
    </row>
    <row r="3665" spans="1:16" x14ac:dyDescent="0.25">
      <c r="A3665">
        <v>2025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  <c r="M3665" t="str">
        <f t="shared" si="228"/>
        <v>30-45</v>
      </c>
      <c r="N3665" t="str">
        <f t="shared" si="229"/>
        <v>High</v>
      </c>
      <c r="O3665" t="str">
        <f t="shared" si="230"/>
        <v>Zero Balance</v>
      </c>
      <c r="P3665" t="str">
        <f t="shared" si="231"/>
        <v>Mid-term</v>
      </c>
    </row>
    <row r="3666" spans="1:16" x14ac:dyDescent="0.25">
      <c r="A3666">
        <v>2025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  <c r="M3666" t="str">
        <f t="shared" si="228"/>
        <v>30-45</v>
      </c>
      <c r="N3666" t="str">
        <f t="shared" si="229"/>
        <v>High</v>
      </c>
      <c r="O3666" t="str">
        <f t="shared" si="230"/>
        <v>High Balance</v>
      </c>
      <c r="P3666" t="str">
        <f t="shared" si="231"/>
        <v>New</v>
      </c>
    </row>
    <row r="3667" spans="1:16" x14ac:dyDescent="0.25">
      <c r="A3667">
        <v>2025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  <c r="M3667" t="str">
        <f t="shared" si="228"/>
        <v>30-45</v>
      </c>
      <c r="N3667" t="str">
        <f t="shared" si="229"/>
        <v>High</v>
      </c>
      <c r="O3667" t="str">
        <f t="shared" si="230"/>
        <v>High Balance</v>
      </c>
      <c r="P3667" t="str">
        <f t="shared" si="231"/>
        <v>Long-term</v>
      </c>
    </row>
    <row r="3668" spans="1:16" x14ac:dyDescent="0.25">
      <c r="A3668">
        <v>2025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  <c r="M3668" t="str">
        <f t="shared" si="228"/>
        <v>&lt;30</v>
      </c>
      <c r="N3668" t="str">
        <f t="shared" si="229"/>
        <v>High</v>
      </c>
      <c r="O3668" t="str">
        <f t="shared" si="230"/>
        <v>Zero Balance</v>
      </c>
      <c r="P3668" t="str">
        <f t="shared" si="231"/>
        <v>Long-term</v>
      </c>
    </row>
    <row r="3669" spans="1:16" x14ac:dyDescent="0.25">
      <c r="A3669">
        <v>2025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  <c r="M3669" t="str">
        <f t="shared" si="228"/>
        <v>30-45</v>
      </c>
      <c r="N3669" t="str">
        <f t="shared" si="229"/>
        <v>Medium</v>
      </c>
      <c r="O3669" t="str">
        <f t="shared" si="230"/>
        <v>High Balance</v>
      </c>
      <c r="P3669" t="str">
        <f t="shared" si="231"/>
        <v>Mid-term</v>
      </c>
    </row>
    <row r="3670" spans="1:16" x14ac:dyDescent="0.25">
      <c r="A3670">
        <v>2025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  <c r="M3670" t="str">
        <f t="shared" si="228"/>
        <v>30-45</v>
      </c>
      <c r="N3670" t="str">
        <f t="shared" si="229"/>
        <v>Medium</v>
      </c>
      <c r="O3670" t="str">
        <f t="shared" si="230"/>
        <v>High Balance</v>
      </c>
      <c r="P3670" t="str">
        <f t="shared" si="231"/>
        <v>New</v>
      </c>
    </row>
    <row r="3671" spans="1:16" x14ac:dyDescent="0.25">
      <c r="A3671">
        <v>2025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  <c r="M3671" t="str">
        <f t="shared" si="228"/>
        <v>&lt;30</v>
      </c>
      <c r="N3671" t="str">
        <f t="shared" si="229"/>
        <v>Medium</v>
      </c>
      <c r="O3671" t="str">
        <f t="shared" si="230"/>
        <v>Zero Balance</v>
      </c>
      <c r="P3671" t="str">
        <f t="shared" si="231"/>
        <v>New</v>
      </c>
    </row>
    <row r="3672" spans="1:16" x14ac:dyDescent="0.25">
      <c r="A3672">
        <v>2025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  <c r="M3672" t="str">
        <f t="shared" si="228"/>
        <v>&lt;30</v>
      </c>
      <c r="N3672" t="str">
        <f t="shared" si="229"/>
        <v>High</v>
      </c>
      <c r="O3672" t="str">
        <f t="shared" si="230"/>
        <v>Zero Balance</v>
      </c>
      <c r="P3672" t="str">
        <f t="shared" si="231"/>
        <v>Mid-term</v>
      </c>
    </row>
    <row r="3673" spans="1:16" x14ac:dyDescent="0.25">
      <c r="A3673">
        <v>2025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  <c r="M3673" t="str">
        <f t="shared" si="228"/>
        <v>46-60</v>
      </c>
      <c r="N3673" t="str">
        <f t="shared" si="229"/>
        <v>Medium</v>
      </c>
      <c r="O3673" t="str">
        <f t="shared" si="230"/>
        <v>High Balance</v>
      </c>
      <c r="P3673" t="str">
        <f t="shared" si="231"/>
        <v>Mid-term</v>
      </c>
    </row>
    <row r="3674" spans="1:16" x14ac:dyDescent="0.25">
      <c r="A3674">
        <v>2025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  <c r="M3674" t="str">
        <f t="shared" si="228"/>
        <v>30-45</v>
      </c>
      <c r="N3674" t="str">
        <f t="shared" si="229"/>
        <v>High</v>
      </c>
      <c r="O3674" t="str">
        <f t="shared" si="230"/>
        <v>High Balance</v>
      </c>
      <c r="P3674" t="str">
        <f t="shared" si="231"/>
        <v>Mid-term</v>
      </c>
    </row>
    <row r="3675" spans="1:16" x14ac:dyDescent="0.25">
      <c r="A3675">
        <v>2025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  <c r="M3675" t="str">
        <f t="shared" si="228"/>
        <v>&lt;30</v>
      </c>
      <c r="N3675" t="str">
        <f t="shared" si="229"/>
        <v>High</v>
      </c>
      <c r="O3675" t="str">
        <f t="shared" si="230"/>
        <v>Low Balance</v>
      </c>
      <c r="P3675" t="str">
        <f t="shared" si="231"/>
        <v>Mid-term</v>
      </c>
    </row>
    <row r="3676" spans="1:16" x14ac:dyDescent="0.25">
      <c r="A3676">
        <v>2025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  <c r="M3676" t="str">
        <f t="shared" si="228"/>
        <v>30-45</v>
      </c>
      <c r="N3676" t="str">
        <f t="shared" si="229"/>
        <v>Medium</v>
      </c>
      <c r="O3676" t="str">
        <f t="shared" si="230"/>
        <v>Zero Balance</v>
      </c>
      <c r="P3676" t="str">
        <f t="shared" si="231"/>
        <v>Long-term</v>
      </c>
    </row>
    <row r="3677" spans="1:16" x14ac:dyDescent="0.25">
      <c r="A3677">
        <v>2025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  <c r="M3677" t="str">
        <f t="shared" si="228"/>
        <v>30-45</v>
      </c>
      <c r="N3677" t="str">
        <f t="shared" si="229"/>
        <v>High</v>
      </c>
      <c r="O3677" t="str">
        <f t="shared" si="230"/>
        <v>Low Balance</v>
      </c>
      <c r="P3677" t="str">
        <f t="shared" si="231"/>
        <v>New</v>
      </c>
    </row>
    <row r="3678" spans="1:16" x14ac:dyDescent="0.25">
      <c r="A3678">
        <v>2025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  <c r="M3678" t="str">
        <f t="shared" si="228"/>
        <v>30-45</v>
      </c>
      <c r="N3678" t="str">
        <f t="shared" si="229"/>
        <v>Medium</v>
      </c>
      <c r="O3678" t="str">
        <f t="shared" si="230"/>
        <v>Zero Balance</v>
      </c>
      <c r="P3678" t="str">
        <f t="shared" si="231"/>
        <v>New</v>
      </c>
    </row>
    <row r="3679" spans="1:16" x14ac:dyDescent="0.25">
      <c r="A3679">
        <v>2025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  <c r="M3679" t="str">
        <f t="shared" si="228"/>
        <v>30-45</v>
      </c>
      <c r="N3679" t="str">
        <f t="shared" si="229"/>
        <v>Medium</v>
      </c>
      <c r="O3679" t="str">
        <f t="shared" si="230"/>
        <v>Zero Balance</v>
      </c>
      <c r="P3679" t="str">
        <f t="shared" si="231"/>
        <v>New</v>
      </c>
    </row>
    <row r="3680" spans="1:16" x14ac:dyDescent="0.25">
      <c r="A3680">
        <v>2025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  <c r="M3680" t="str">
        <f t="shared" si="228"/>
        <v>30-45</v>
      </c>
      <c r="N3680" t="str">
        <f t="shared" si="229"/>
        <v>High</v>
      </c>
      <c r="O3680" t="str">
        <f t="shared" si="230"/>
        <v>Low Balance</v>
      </c>
      <c r="P3680" t="str">
        <f t="shared" si="231"/>
        <v>Long-term</v>
      </c>
    </row>
    <row r="3681" spans="1:16" x14ac:dyDescent="0.25">
      <c r="A3681">
        <v>2025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  <c r="M3681" t="str">
        <f t="shared" si="228"/>
        <v>&lt;30</v>
      </c>
      <c r="N3681" t="str">
        <f t="shared" si="229"/>
        <v>Medium</v>
      </c>
      <c r="O3681" t="str">
        <f t="shared" si="230"/>
        <v>High Balance</v>
      </c>
      <c r="P3681" t="str">
        <f t="shared" si="231"/>
        <v>Mid-term</v>
      </c>
    </row>
    <row r="3682" spans="1:16" x14ac:dyDescent="0.25">
      <c r="A3682">
        <v>2025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  <c r="M3682" t="str">
        <f t="shared" si="228"/>
        <v>&lt;30</v>
      </c>
      <c r="N3682" t="str">
        <f t="shared" si="229"/>
        <v>High</v>
      </c>
      <c r="O3682" t="str">
        <f t="shared" si="230"/>
        <v>Zero Balance</v>
      </c>
      <c r="P3682" t="str">
        <f t="shared" si="231"/>
        <v>New</v>
      </c>
    </row>
    <row r="3683" spans="1:16" x14ac:dyDescent="0.25">
      <c r="A3683">
        <v>2025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  <c r="M3683" t="str">
        <f t="shared" si="228"/>
        <v>30-45</v>
      </c>
      <c r="N3683" t="str">
        <f t="shared" si="229"/>
        <v>Medium</v>
      </c>
      <c r="O3683" t="str">
        <f t="shared" si="230"/>
        <v>High Balance</v>
      </c>
      <c r="P3683" t="str">
        <f t="shared" si="231"/>
        <v>New</v>
      </c>
    </row>
    <row r="3684" spans="1:16" x14ac:dyDescent="0.25">
      <c r="A3684">
        <v>2025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  <c r="M3684" t="str">
        <f t="shared" si="228"/>
        <v>30-45</v>
      </c>
      <c r="N3684" t="str">
        <f t="shared" si="229"/>
        <v>Medium</v>
      </c>
      <c r="O3684" t="str">
        <f t="shared" si="230"/>
        <v>Zero Balance</v>
      </c>
      <c r="P3684" t="str">
        <f t="shared" si="231"/>
        <v>Long-term</v>
      </c>
    </row>
    <row r="3685" spans="1:16" x14ac:dyDescent="0.25">
      <c r="A3685">
        <v>2025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  <c r="M3685" t="str">
        <f t="shared" si="228"/>
        <v>46-60</v>
      </c>
      <c r="N3685" t="str">
        <f t="shared" si="229"/>
        <v>Medium</v>
      </c>
      <c r="O3685" t="str">
        <f t="shared" si="230"/>
        <v>High Balance</v>
      </c>
      <c r="P3685" t="str">
        <f t="shared" si="231"/>
        <v>Long-term</v>
      </c>
    </row>
    <row r="3686" spans="1:16" x14ac:dyDescent="0.25">
      <c r="A3686">
        <v>2025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  <c r="M3686" t="str">
        <f t="shared" si="228"/>
        <v>30-45</v>
      </c>
      <c r="N3686" t="str">
        <f t="shared" si="229"/>
        <v>Low</v>
      </c>
      <c r="O3686" t="str">
        <f t="shared" si="230"/>
        <v>High Balance</v>
      </c>
      <c r="P3686" t="str">
        <f t="shared" si="231"/>
        <v>New</v>
      </c>
    </row>
    <row r="3687" spans="1:16" x14ac:dyDescent="0.25">
      <c r="A3687">
        <v>2025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  <c r="M3687" t="str">
        <f t="shared" si="228"/>
        <v>30-45</v>
      </c>
      <c r="N3687" t="str">
        <f t="shared" si="229"/>
        <v>Medium</v>
      </c>
      <c r="O3687" t="str">
        <f t="shared" si="230"/>
        <v>Zero Balance</v>
      </c>
      <c r="P3687" t="str">
        <f t="shared" si="231"/>
        <v>Mid-term</v>
      </c>
    </row>
    <row r="3688" spans="1:16" x14ac:dyDescent="0.25">
      <c r="A3688">
        <v>2025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  <c r="M3688" t="str">
        <f t="shared" si="228"/>
        <v>&lt;30</v>
      </c>
      <c r="N3688" t="str">
        <f t="shared" si="229"/>
        <v>High</v>
      </c>
      <c r="O3688" t="str">
        <f t="shared" si="230"/>
        <v>High Balance</v>
      </c>
      <c r="P3688" t="str">
        <f t="shared" si="231"/>
        <v>New</v>
      </c>
    </row>
    <row r="3689" spans="1:16" x14ac:dyDescent="0.25">
      <c r="A3689">
        <v>2025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  <c r="M3689" t="str">
        <f t="shared" si="228"/>
        <v>30-45</v>
      </c>
      <c r="N3689" t="str">
        <f t="shared" si="229"/>
        <v>Medium</v>
      </c>
      <c r="O3689" t="str">
        <f t="shared" si="230"/>
        <v>Zero Balance</v>
      </c>
      <c r="P3689" t="str">
        <f t="shared" si="231"/>
        <v>New</v>
      </c>
    </row>
    <row r="3690" spans="1:16" x14ac:dyDescent="0.25">
      <c r="A3690">
        <v>2025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  <c r="M3690" t="str">
        <f t="shared" si="228"/>
        <v>30-45</v>
      </c>
      <c r="N3690" t="str">
        <f t="shared" si="229"/>
        <v>Medium</v>
      </c>
      <c r="O3690" t="str">
        <f t="shared" si="230"/>
        <v>High Balance</v>
      </c>
      <c r="P3690" t="str">
        <f t="shared" si="231"/>
        <v>New</v>
      </c>
    </row>
    <row r="3691" spans="1:16" x14ac:dyDescent="0.25">
      <c r="A3691">
        <v>2025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  <c r="M3691" t="str">
        <f t="shared" si="228"/>
        <v>30-45</v>
      </c>
      <c r="N3691" t="str">
        <f t="shared" si="229"/>
        <v>High</v>
      </c>
      <c r="O3691" t="str">
        <f t="shared" si="230"/>
        <v>Zero Balance</v>
      </c>
      <c r="P3691" t="str">
        <f t="shared" si="231"/>
        <v>Mid-term</v>
      </c>
    </row>
    <row r="3692" spans="1:16" x14ac:dyDescent="0.25">
      <c r="A3692">
        <v>2025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  <c r="M3692" t="str">
        <f t="shared" si="228"/>
        <v>60+</v>
      </c>
      <c r="N3692" t="str">
        <f t="shared" si="229"/>
        <v>Medium</v>
      </c>
      <c r="O3692" t="str">
        <f t="shared" si="230"/>
        <v>High Balance</v>
      </c>
      <c r="P3692" t="str">
        <f t="shared" si="231"/>
        <v>Mid-term</v>
      </c>
    </row>
    <row r="3693" spans="1:16" x14ac:dyDescent="0.25">
      <c r="A3693">
        <v>2025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  <c r="M3693" t="str">
        <f t="shared" si="228"/>
        <v>60+</v>
      </c>
      <c r="N3693" t="str">
        <f t="shared" si="229"/>
        <v>Medium</v>
      </c>
      <c r="O3693" t="str">
        <f t="shared" si="230"/>
        <v>High Balance</v>
      </c>
      <c r="P3693" t="str">
        <f t="shared" si="231"/>
        <v>Mid-term</v>
      </c>
    </row>
    <row r="3694" spans="1:16" x14ac:dyDescent="0.25">
      <c r="A3694">
        <v>2025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  <c r="M3694" t="str">
        <f t="shared" si="228"/>
        <v>30-45</v>
      </c>
      <c r="N3694" t="str">
        <f t="shared" si="229"/>
        <v>Medium</v>
      </c>
      <c r="O3694" t="str">
        <f t="shared" si="230"/>
        <v>High Balance</v>
      </c>
      <c r="P3694" t="str">
        <f t="shared" si="231"/>
        <v>Mid-term</v>
      </c>
    </row>
    <row r="3695" spans="1:16" x14ac:dyDescent="0.25">
      <c r="A3695">
        <v>2025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  <c r="M3695" t="str">
        <f t="shared" si="228"/>
        <v>46-60</v>
      </c>
      <c r="N3695" t="str">
        <f t="shared" si="229"/>
        <v>High</v>
      </c>
      <c r="O3695" t="str">
        <f t="shared" si="230"/>
        <v>Zero Balance</v>
      </c>
      <c r="P3695" t="str">
        <f t="shared" si="231"/>
        <v>Mid-term</v>
      </c>
    </row>
    <row r="3696" spans="1:16" x14ac:dyDescent="0.25">
      <c r="A3696">
        <v>2025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  <c r="M3696" t="str">
        <f t="shared" si="228"/>
        <v>30-45</v>
      </c>
      <c r="N3696" t="str">
        <f t="shared" si="229"/>
        <v>Medium</v>
      </c>
      <c r="O3696" t="str">
        <f t="shared" si="230"/>
        <v>Zero Balance</v>
      </c>
      <c r="P3696" t="str">
        <f t="shared" si="231"/>
        <v>Mid-term</v>
      </c>
    </row>
    <row r="3697" spans="1:16" x14ac:dyDescent="0.25">
      <c r="A3697">
        <v>2025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  <c r="M3697" t="str">
        <f t="shared" si="228"/>
        <v>30-45</v>
      </c>
      <c r="N3697" t="str">
        <f t="shared" si="229"/>
        <v>Medium</v>
      </c>
      <c r="O3697" t="str">
        <f t="shared" si="230"/>
        <v>High Balance</v>
      </c>
      <c r="P3697" t="str">
        <f t="shared" si="231"/>
        <v>Long-term</v>
      </c>
    </row>
    <row r="3698" spans="1:16" x14ac:dyDescent="0.25">
      <c r="A3698">
        <v>2025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  <c r="M3698" t="str">
        <f t="shared" si="228"/>
        <v>30-45</v>
      </c>
      <c r="N3698" t="str">
        <f t="shared" si="229"/>
        <v>Medium</v>
      </c>
      <c r="O3698" t="str">
        <f t="shared" si="230"/>
        <v>High Balance</v>
      </c>
      <c r="P3698" t="str">
        <f t="shared" si="231"/>
        <v>Mid-term</v>
      </c>
    </row>
    <row r="3699" spans="1:16" x14ac:dyDescent="0.25">
      <c r="A3699">
        <v>2025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  <c r="M3699" t="str">
        <f t="shared" si="228"/>
        <v>46-60</v>
      </c>
      <c r="N3699" t="str">
        <f t="shared" si="229"/>
        <v>High</v>
      </c>
      <c r="O3699" t="str">
        <f t="shared" si="230"/>
        <v>Low Balance</v>
      </c>
      <c r="P3699" t="str">
        <f t="shared" si="231"/>
        <v>Long-term</v>
      </c>
    </row>
    <row r="3700" spans="1:16" x14ac:dyDescent="0.25">
      <c r="A3700">
        <v>2025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  <c r="M3700" t="str">
        <f t="shared" si="228"/>
        <v>&lt;30</v>
      </c>
      <c r="N3700" t="str">
        <f t="shared" si="229"/>
        <v>Medium</v>
      </c>
      <c r="O3700" t="str">
        <f t="shared" si="230"/>
        <v>Zero Balance</v>
      </c>
      <c r="P3700" t="str">
        <f t="shared" si="231"/>
        <v>New</v>
      </c>
    </row>
    <row r="3701" spans="1:16" x14ac:dyDescent="0.25">
      <c r="A3701">
        <v>2025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  <c r="M3701" t="str">
        <f t="shared" si="228"/>
        <v>30-45</v>
      </c>
      <c r="N3701" t="str">
        <f t="shared" si="229"/>
        <v>High</v>
      </c>
      <c r="O3701" t="str">
        <f t="shared" si="230"/>
        <v>High Balance</v>
      </c>
      <c r="P3701" t="str">
        <f t="shared" si="231"/>
        <v>Long-term</v>
      </c>
    </row>
    <row r="3702" spans="1:16" x14ac:dyDescent="0.25">
      <c r="A3702">
        <v>2025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  <c r="M3702" t="str">
        <f t="shared" si="228"/>
        <v>&lt;30</v>
      </c>
      <c r="N3702" t="str">
        <f t="shared" si="229"/>
        <v>Medium</v>
      </c>
      <c r="O3702" t="str">
        <f t="shared" si="230"/>
        <v>High Balance</v>
      </c>
      <c r="P3702" t="str">
        <f t="shared" si="231"/>
        <v>Mid-term</v>
      </c>
    </row>
    <row r="3703" spans="1:16" x14ac:dyDescent="0.25">
      <c r="A3703">
        <v>2025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  <c r="M3703" t="str">
        <f t="shared" si="228"/>
        <v>46-60</v>
      </c>
      <c r="N3703" t="str">
        <f t="shared" si="229"/>
        <v>Medium</v>
      </c>
      <c r="O3703" t="str">
        <f t="shared" si="230"/>
        <v>Zero Balance</v>
      </c>
      <c r="P3703" t="str">
        <f t="shared" si="231"/>
        <v>New</v>
      </c>
    </row>
    <row r="3704" spans="1:16" x14ac:dyDescent="0.25">
      <c r="A3704">
        <v>2025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  <c r="M3704" t="str">
        <f t="shared" si="228"/>
        <v>60+</v>
      </c>
      <c r="N3704" t="str">
        <f t="shared" si="229"/>
        <v>Medium</v>
      </c>
      <c r="O3704" t="str">
        <f t="shared" si="230"/>
        <v>Zero Balance</v>
      </c>
      <c r="P3704" t="str">
        <f t="shared" si="231"/>
        <v>Long-term</v>
      </c>
    </row>
    <row r="3705" spans="1:16" x14ac:dyDescent="0.25">
      <c r="A3705">
        <v>2025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  <c r="M3705" t="str">
        <f t="shared" si="228"/>
        <v>30-45</v>
      </c>
      <c r="N3705" t="str">
        <f t="shared" si="229"/>
        <v>High</v>
      </c>
      <c r="O3705" t="str">
        <f t="shared" si="230"/>
        <v>High Balance</v>
      </c>
      <c r="P3705" t="str">
        <f t="shared" si="231"/>
        <v>Mid-term</v>
      </c>
    </row>
    <row r="3706" spans="1:16" x14ac:dyDescent="0.25">
      <c r="A3706">
        <v>2025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  <c r="M3706" t="str">
        <f t="shared" si="228"/>
        <v>30-45</v>
      </c>
      <c r="N3706" t="str">
        <f t="shared" si="229"/>
        <v>Medium</v>
      </c>
      <c r="O3706" t="str">
        <f t="shared" si="230"/>
        <v>Zero Balance</v>
      </c>
      <c r="P3706" t="str">
        <f t="shared" si="231"/>
        <v>Mid-term</v>
      </c>
    </row>
    <row r="3707" spans="1:16" x14ac:dyDescent="0.25">
      <c r="A3707">
        <v>2025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  <c r="M3707" t="str">
        <f t="shared" si="228"/>
        <v>30-45</v>
      </c>
      <c r="N3707" t="str">
        <f t="shared" si="229"/>
        <v>Medium</v>
      </c>
      <c r="O3707" t="str">
        <f t="shared" si="230"/>
        <v>Zero Balance</v>
      </c>
      <c r="P3707" t="str">
        <f t="shared" si="231"/>
        <v>New</v>
      </c>
    </row>
    <row r="3708" spans="1:16" x14ac:dyDescent="0.25">
      <c r="A3708">
        <v>2025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  <c r="M3708" t="str">
        <f t="shared" si="228"/>
        <v>30-45</v>
      </c>
      <c r="N3708" t="str">
        <f t="shared" si="229"/>
        <v>Medium</v>
      </c>
      <c r="O3708" t="str">
        <f t="shared" si="230"/>
        <v>High Balance</v>
      </c>
      <c r="P3708" t="str">
        <f t="shared" si="231"/>
        <v>Mid-term</v>
      </c>
    </row>
    <row r="3709" spans="1:16" x14ac:dyDescent="0.25">
      <c r="A3709">
        <v>2025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  <c r="M3709" t="str">
        <f t="shared" si="228"/>
        <v>30-45</v>
      </c>
      <c r="N3709" t="str">
        <f t="shared" si="229"/>
        <v>Medium</v>
      </c>
      <c r="O3709" t="str">
        <f t="shared" si="230"/>
        <v>Low Balance</v>
      </c>
      <c r="P3709" t="str">
        <f t="shared" si="231"/>
        <v>New</v>
      </c>
    </row>
    <row r="3710" spans="1:16" x14ac:dyDescent="0.25">
      <c r="A3710">
        <v>2025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  <c r="M3710" t="str">
        <f t="shared" si="228"/>
        <v>30-45</v>
      </c>
      <c r="N3710" t="str">
        <f t="shared" si="229"/>
        <v>Medium</v>
      </c>
      <c r="O3710" t="str">
        <f t="shared" si="230"/>
        <v>Zero Balance</v>
      </c>
      <c r="P3710" t="str">
        <f t="shared" si="231"/>
        <v>Mid-term</v>
      </c>
    </row>
    <row r="3711" spans="1:16" x14ac:dyDescent="0.25">
      <c r="A3711">
        <v>2025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  <c r="M3711" t="str">
        <f t="shared" si="228"/>
        <v>46-60</v>
      </c>
      <c r="N3711" t="str">
        <f t="shared" si="229"/>
        <v>High</v>
      </c>
      <c r="O3711" t="str">
        <f t="shared" si="230"/>
        <v>Zero Balance</v>
      </c>
      <c r="P3711" t="str">
        <f t="shared" si="231"/>
        <v>Long-term</v>
      </c>
    </row>
    <row r="3712" spans="1:16" x14ac:dyDescent="0.25">
      <c r="A3712">
        <v>2025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  <c r="M3712" t="str">
        <f t="shared" si="228"/>
        <v>30-45</v>
      </c>
      <c r="N3712" t="str">
        <f t="shared" si="229"/>
        <v>Medium</v>
      </c>
      <c r="O3712" t="str">
        <f t="shared" si="230"/>
        <v>High Balance</v>
      </c>
      <c r="P3712" t="str">
        <f t="shared" si="231"/>
        <v>New</v>
      </c>
    </row>
    <row r="3713" spans="1:16" x14ac:dyDescent="0.25">
      <c r="A3713">
        <v>2025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  <c r="M3713" t="str">
        <f t="shared" si="228"/>
        <v>30-45</v>
      </c>
      <c r="N3713" t="str">
        <f t="shared" si="229"/>
        <v>High</v>
      </c>
      <c r="O3713" t="str">
        <f t="shared" si="230"/>
        <v>Low Balance</v>
      </c>
      <c r="P3713" t="str">
        <f t="shared" si="231"/>
        <v>Long-term</v>
      </c>
    </row>
    <row r="3714" spans="1:16" x14ac:dyDescent="0.25">
      <c r="A3714">
        <v>2025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  <c r="M3714" t="str">
        <f t="shared" si="228"/>
        <v>30-45</v>
      </c>
      <c r="N3714" t="str">
        <f t="shared" si="229"/>
        <v>Medium</v>
      </c>
      <c r="O3714" t="str">
        <f t="shared" si="230"/>
        <v>High Balance</v>
      </c>
      <c r="P3714" t="str">
        <f t="shared" si="231"/>
        <v>New</v>
      </c>
    </row>
    <row r="3715" spans="1:16" x14ac:dyDescent="0.25">
      <c r="A3715">
        <v>2025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  <c r="M3715" t="str">
        <f t="shared" ref="M3715:M3778" si="232">IF(E3715&lt;30,"&lt;30",IF(E3715&lt;=45,"30-45",IF(E3715&lt;=60,"46-60","60+")))</f>
        <v>&lt;30</v>
      </c>
      <c r="N3715" t="str">
        <f t="shared" ref="N3715:N3778" si="233">IF(B3715&lt;500,"Low",IF(B3715&lt;700,"Medium","High"))</f>
        <v>High</v>
      </c>
      <c r="O3715" t="str">
        <f t="shared" ref="O3715:O3778" si="234">IF(G3715=0,"Zero Balance",IF(G3715&lt;100000,"Low Balance","High Balance"))</f>
        <v>High Balance</v>
      </c>
      <c r="P3715" t="str">
        <f t="shared" ref="P3715:P3778" si="235">IF(F3715&lt;=3,"New",IF(F3715&lt;=7,"Mid-term","Long-term"))</f>
        <v>New</v>
      </c>
    </row>
    <row r="3716" spans="1:16" x14ac:dyDescent="0.25">
      <c r="A3716">
        <v>2025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  <c r="M3716" t="str">
        <f t="shared" si="232"/>
        <v>30-45</v>
      </c>
      <c r="N3716" t="str">
        <f t="shared" si="233"/>
        <v>High</v>
      </c>
      <c r="O3716" t="str">
        <f t="shared" si="234"/>
        <v>High Balance</v>
      </c>
      <c r="P3716" t="str">
        <f t="shared" si="235"/>
        <v>New</v>
      </c>
    </row>
    <row r="3717" spans="1:16" x14ac:dyDescent="0.25">
      <c r="A3717">
        <v>2025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  <c r="M3717" t="str">
        <f t="shared" si="232"/>
        <v>46-60</v>
      </c>
      <c r="N3717" t="str">
        <f t="shared" si="233"/>
        <v>High</v>
      </c>
      <c r="O3717" t="str">
        <f t="shared" si="234"/>
        <v>Low Balance</v>
      </c>
      <c r="P3717" t="str">
        <f t="shared" si="235"/>
        <v>New</v>
      </c>
    </row>
    <row r="3718" spans="1:16" x14ac:dyDescent="0.25">
      <c r="A3718">
        <v>2025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  <c r="M3718" t="str">
        <f t="shared" si="232"/>
        <v>&lt;30</v>
      </c>
      <c r="N3718" t="str">
        <f t="shared" si="233"/>
        <v>Medium</v>
      </c>
      <c r="O3718" t="str">
        <f t="shared" si="234"/>
        <v>High Balance</v>
      </c>
      <c r="P3718" t="str">
        <f t="shared" si="235"/>
        <v>New</v>
      </c>
    </row>
    <row r="3719" spans="1:16" x14ac:dyDescent="0.25">
      <c r="A3719">
        <v>2025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  <c r="M3719" t="str">
        <f t="shared" si="232"/>
        <v>30-45</v>
      </c>
      <c r="N3719" t="str">
        <f t="shared" si="233"/>
        <v>Medium</v>
      </c>
      <c r="O3719" t="str">
        <f t="shared" si="234"/>
        <v>High Balance</v>
      </c>
      <c r="P3719" t="str">
        <f t="shared" si="235"/>
        <v>New</v>
      </c>
    </row>
    <row r="3720" spans="1:16" x14ac:dyDescent="0.25">
      <c r="A3720">
        <v>2025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  <c r="M3720" t="str">
        <f t="shared" si="232"/>
        <v>30-45</v>
      </c>
      <c r="N3720" t="str">
        <f t="shared" si="233"/>
        <v>Medium</v>
      </c>
      <c r="O3720" t="str">
        <f t="shared" si="234"/>
        <v>Low Balance</v>
      </c>
      <c r="P3720" t="str">
        <f t="shared" si="235"/>
        <v>Long-term</v>
      </c>
    </row>
    <row r="3721" spans="1:16" x14ac:dyDescent="0.25">
      <c r="A3721">
        <v>2025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  <c r="M3721" t="str">
        <f t="shared" si="232"/>
        <v>60+</v>
      </c>
      <c r="N3721" t="str">
        <f t="shared" si="233"/>
        <v>High</v>
      </c>
      <c r="O3721" t="str">
        <f t="shared" si="234"/>
        <v>High Balance</v>
      </c>
      <c r="P3721" t="str">
        <f t="shared" si="235"/>
        <v>New</v>
      </c>
    </row>
    <row r="3722" spans="1:16" x14ac:dyDescent="0.25">
      <c r="A3722">
        <v>2025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  <c r="M3722" t="str">
        <f t="shared" si="232"/>
        <v>30-45</v>
      </c>
      <c r="N3722" t="str">
        <f t="shared" si="233"/>
        <v>Low</v>
      </c>
      <c r="O3722" t="str">
        <f t="shared" si="234"/>
        <v>High Balance</v>
      </c>
      <c r="P3722" t="str">
        <f t="shared" si="235"/>
        <v>Long-term</v>
      </c>
    </row>
    <row r="3723" spans="1:16" x14ac:dyDescent="0.25">
      <c r="A3723">
        <v>2025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  <c r="M3723" t="str">
        <f t="shared" si="232"/>
        <v>30-45</v>
      </c>
      <c r="N3723" t="str">
        <f t="shared" si="233"/>
        <v>High</v>
      </c>
      <c r="O3723" t="str">
        <f t="shared" si="234"/>
        <v>High Balance</v>
      </c>
      <c r="P3723" t="str">
        <f t="shared" si="235"/>
        <v>Long-term</v>
      </c>
    </row>
    <row r="3724" spans="1:16" x14ac:dyDescent="0.25">
      <c r="A3724">
        <v>2025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  <c r="M3724" t="str">
        <f t="shared" si="232"/>
        <v>&lt;30</v>
      </c>
      <c r="N3724" t="str">
        <f t="shared" si="233"/>
        <v>Medium</v>
      </c>
      <c r="O3724" t="str">
        <f t="shared" si="234"/>
        <v>Zero Balance</v>
      </c>
      <c r="P3724" t="str">
        <f t="shared" si="235"/>
        <v>Mid-term</v>
      </c>
    </row>
    <row r="3725" spans="1:16" x14ac:dyDescent="0.25">
      <c r="A3725">
        <v>2025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  <c r="M3725" t="str">
        <f t="shared" si="232"/>
        <v>30-45</v>
      </c>
      <c r="N3725" t="str">
        <f t="shared" si="233"/>
        <v>High</v>
      </c>
      <c r="O3725" t="str">
        <f t="shared" si="234"/>
        <v>Low Balance</v>
      </c>
      <c r="P3725" t="str">
        <f t="shared" si="235"/>
        <v>New</v>
      </c>
    </row>
    <row r="3726" spans="1:16" x14ac:dyDescent="0.25">
      <c r="A3726">
        <v>2025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  <c r="M3726" t="str">
        <f t="shared" si="232"/>
        <v>46-60</v>
      </c>
      <c r="N3726" t="str">
        <f t="shared" si="233"/>
        <v>High</v>
      </c>
      <c r="O3726" t="str">
        <f t="shared" si="234"/>
        <v>High Balance</v>
      </c>
      <c r="P3726" t="str">
        <f t="shared" si="235"/>
        <v>Long-term</v>
      </c>
    </row>
    <row r="3727" spans="1:16" x14ac:dyDescent="0.25">
      <c r="A3727">
        <v>2025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  <c r="M3727" t="str">
        <f t="shared" si="232"/>
        <v>30-45</v>
      </c>
      <c r="N3727" t="str">
        <f t="shared" si="233"/>
        <v>Medium</v>
      </c>
      <c r="O3727" t="str">
        <f t="shared" si="234"/>
        <v>Zero Balance</v>
      </c>
      <c r="P3727" t="str">
        <f t="shared" si="235"/>
        <v>New</v>
      </c>
    </row>
    <row r="3728" spans="1:16" x14ac:dyDescent="0.25">
      <c r="A3728">
        <v>2025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  <c r="M3728" t="str">
        <f t="shared" si="232"/>
        <v>&lt;30</v>
      </c>
      <c r="N3728" t="str">
        <f t="shared" si="233"/>
        <v>High</v>
      </c>
      <c r="O3728" t="str">
        <f t="shared" si="234"/>
        <v>High Balance</v>
      </c>
      <c r="P3728" t="str">
        <f t="shared" si="235"/>
        <v>Mid-term</v>
      </c>
    </row>
    <row r="3729" spans="1:16" x14ac:dyDescent="0.25">
      <c r="A3729">
        <v>2025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  <c r="M3729" t="str">
        <f t="shared" si="232"/>
        <v>&lt;30</v>
      </c>
      <c r="N3729" t="str">
        <f t="shared" si="233"/>
        <v>High</v>
      </c>
      <c r="O3729" t="str">
        <f t="shared" si="234"/>
        <v>High Balance</v>
      </c>
      <c r="P3729" t="str">
        <f t="shared" si="235"/>
        <v>Mid-term</v>
      </c>
    </row>
    <row r="3730" spans="1:16" x14ac:dyDescent="0.25">
      <c r="A3730">
        <v>2025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  <c r="M3730" t="str">
        <f t="shared" si="232"/>
        <v>60+</v>
      </c>
      <c r="N3730" t="str">
        <f t="shared" si="233"/>
        <v>Medium</v>
      </c>
      <c r="O3730" t="str">
        <f t="shared" si="234"/>
        <v>High Balance</v>
      </c>
      <c r="P3730" t="str">
        <f t="shared" si="235"/>
        <v>Mid-term</v>
      </c>
    </row>
    <row r="3731" spans="1:16" x14ac:dyDescent="0.25">
      <c r="A3731">
        <v>2025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  <c r="M3731" t="str">
        <f t="shared" si="232"/>
        <v>&lt;30</v>
      </c>
      <c r="N3731" t="str">
        <f t="shared" si="233"/>
        <v>High</v>
      </c>
      <c r="O3731" t="str">
        <f t="shared" si="234"/>
        <v>Zero Balance</v>
      </c>
      <c r="P3731" t="str">
        <f t="shared" si="235"/>
        <v>New</v>
      </c>
    </row>
    <row r="3732" spans="1:16" x14ac:dyDescent="0.25">
      <c r="A3732">
        <v>2025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  <c r="M3732" t="str">
        <f t="shared" si="232"/>
        <v>30-45</v>
      </c>
      <c r="N3732" t="str">
        <f t="shared" si="233"/>
        <v>Medium</v>
      </c>
      <c r="O3732" t="str">
        <f t="shared" si="234"/>
        <v>High Balance</v>
      </c>
      <c r="P3732" t="str">
        <f t="shared" si="235"/>
        <v>New</v>
      </c>
    </row>
    <row r="3733" spans="1:16" x14ac:dyDescent="0.25">
      <c r="A3733">
        <v>2025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  <c r="M3733" t="str">
        <f t="shared" si="232"/>
        <v>46-60</v>
      </c>
      <c r="N3733" t="str">
        <f t="shared" si="233"/>
        <v>Medium</v>
      </c>
      <c r="O3733" t="str">
        <f t="shared" si="234"/>
        <v>High Balance</v>
      </c>
      <c r="P3733" t="str">
        <f t="shared" si="235"/>
        <v>Mid-term</v>
      </c>
    </row>
    <row r="3734" spans="1:16" x14ac:dyDescent="0.25">
      <c r="A3734">
        <v>2025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  <c r="M3734" t="str">
        <f t="shared" si="232"/>
        <v>46-60</v>
      </c>
      <c r="N3734" t="str">
        <f t="shared" si="233"/>
        <v>High</v>
      </c>
      <c r="O3734" t="str">
        <f t="shared" si="234"/>
        <v>Zero Balance</v>
      </c>
      <c r="P3734" t="str">
        <f t="shared" si="235"/>
        <v>Mid-term</v>
      </c>
    </row>
    <row r="3735" spans="1:16" x14ac:dyDescent="0.25">
      <c r="A3735">
        <v>2025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  <c r="M3735" t="str">
        <f t="shared" si="232"/>
        <v>60+</v>
      </c>
      <c r="N3735" t="str">
        <f t="shared" si="233"/>
        <v>Medium</v>
      </c>
      <c r="O3735" t="str">
        <f t="shared" si="234"/>
        <v>High Balance</v>
      </c>
      <c r="P3735" t="str">
        <f t="shared" si="235"/>
        <v>Long-term</v>
      </c>
    </row>
    <row r="3736" spans="1:16" x14ac:dyDescent="0.25">
      <c r="A3736">
        <v>2025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  <c r="M3736" t="str">
        <f t="shared" si="232"/>
        <v>30-45</v>
      </c>
      <c r="N3736" t="str">
        <f t="shared" si="233"/>
        <v>High</v>
      </c>
      <c r="O3736" t="str">
        <f t="shared" si="234"/>
        <v>High Balance</v>
      </c>
      <c r="P3736" t="str">
        <f t="shared" si="235"/>
        <v>New</v>
      </c>
    </row>
    <row r="3737" spans="1:16" x14ac:dyDescent="0.25">
      <c r="A3737">
        <v>2025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  <c r="M3737" t="str">
        <f t="shared" si="232"/>
        <v>30-45</v>
      </c>
      <c r="N3737" t="str">
        <f t="shared" si="233"/>
        <v>Low</v>
      </c>
      <c r="O3737" t="str">
        <f t="shared" si="234"/>
        <v>Zero Balance</v>
      </c>
      <c r="P3737" t="str">
        <f t="shared" si="235"/>
        <v>Long-term</v>
      </c>
    </row>
    <row r="3738" spans="1:16" x14ac:dyDescent="0.25">
      <c r="A3738">
        <v>2025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  <c r="M3738" t="str">
        <f t="shared" si="232"/>
        <v>30-45</v>
      </c>
      <c r="N3738" t="str">
        <f t="shared" si="233"/>
        <v>Low</v>
      </c>
      <c r="O3738" t="str">
        <f t="shared" si="234"/>
        <v>High Balance</v>
      </c>
      <c r="P3738" t="str">
        <f t="shared" si="235"/>
        <v>Long-term</v>
      </c>
    </row>
    <row r="3739" spans="1:16" x14ac:dyDescent="0.25">
      <c r="A3739">
        <v>2025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  <c r="M3739" t="str">
        <f t="shared" si="232"/>
        <v>&lt;30</v>
      </c>
      <c r="N3739" t="str">
        <f t="shared" si="233"/>
        <v>Medium</v>
      </c>
      <c r="O3739" t="str">
        <f t="shared" si="234"/>
        <v>Zero Balance</v>
      </c>
      <c r="P3739" t="str">
        <f t="shared" si="235"/>
        <v>Long-term</v>
      </c>
    </row>
    <row r="3740" spans="1:16" x14ac:dyDescent="0.25">
      <c r="A3740">
        <v>2025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  <c r="M3740" t="str">
        <f t="shared" si="232"/>
        <v>30-45</v>
      </c>
      <c r="N3740" t="str">
        <f t="shared" si="233"/>
        <v>Low</v>
      </c>
      <c r="O3740" t="str">
        <f t="shared" si="234"/>
        <v>High Balance</v>
      </c>
      <c r="P3740" t="str">
        <f t="shared" si="235"/>
        <v>New</v>
      </c>
    </row>
    <row r="3741" spans="1:16" x14ac:dyDescent="0.25">
      <c r="A3741">
        <v>2025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  <c r="M3741" t="str">
        <f t="shared" si="232"/>
        <v>30-45</v>
      </c>
      <c r="N3741" t="str">
        <f t="shared" si="233"/>
        <v>Medium</v>
      </c>
      <c r="O3741" t="str">
        <f t="shared" si="234"/>
        <v>Zero Balance</v>
      </c>
      <c r="P3741" t="str">
        <f t="shared" si="235"/>
        <v>New</v>
      </c>
    </row>
    <row r="3742" spans="1:16" x14ac:dyDescent="0.25">
      <c r="A3742">
        <v>2025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  <c r="M3742" t="str">
        <f t="shared" si="232"/>
        <v>30-45</v>
      </c>
      <c r="N3742" t="str">
        <f t="shared" si="233"/>
        <v>Medium</v>
      </c>
      <c r="O3742" t="str">
        <f t="shared" si="234"/>
        <v>Zero Balance</v>
      </c>
      <c r="P3742" t="str">
        <f t="shared" si="235"/>
        <v>Mid-term</v>
      </c>
    </row>
    <row r="3743" spans="1:16" x14ac:dyDescent="0.25">
      <c r="A3743">
        <v>2025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  <c r="M3743" t="str">
        <f t="shared" si="232"/>
        <v>&lt;30</v>
      </c>
      <c r="N3743" t="str">
        <f t="shared" si="233"/>
        <v>High</v>
      </c>
      <c r="O3743" t="str">
        <f t="shared" si="234"/>
        <v>High Balance</v>
      </c>
      <c r="P3743" t="str">
        <f t="shared" si="235"/>
        <v>Long-term</v>
      </c>
    </row>
    <row r="3744" spans="1:16" x14ac:dyDescent="0.25">
      <c r="A3744">
        <v>2025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  <c r="M3744" t="str">
        <f t="shared" si="232"/>
        <v>30-45</v>
      </c>
      <c r="N3744" t="str">
        <f t="shared" si="233"/>
        <v>Medium</v>
      </c>
      <c r="O3744" t="str">
        <f t="shared" si="234"/>
        <v>High Balance</v>
      </c>
      <c r="P3744" t="str">
        <f t="shared" si="235"/>
        <v>Mid-term</v>
      </c>
    </row>
    <row r="3745" spans="1:16" x14ac:dyDescent="0.25">
      <c r="A3745">
        <v>2025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  <c r="M3745" t="str">
        <f t="shared" si="232"/>
        <v>30-45</v>
      </c>
      <c r="N3745" t="str">
        <f t="shared" si="233"/>
        <v>Medium</v>
      </c>
      <c r="O3745" t="str">
        <f t="shared" si="234"/>
        <v>High Balance</v>
      </c>
      <c r="P3745" t="str">
        <f t="shared" si="235"/>
        <v>Mid-term</v>
      </c>
    </row>
    <row r="3746" spans="1:16" x14ac:dyDescent="0.25">
      <c r="A3746">
        <v>2025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  <c r="M3746" t="str">
        <f t="shared" si="232"/>
        <v>30-45</v>
      </c>
      <c r="N3746" t="str">
        <f t="shared" si="233"/>
        <v>Medium</v>
      </c>
      <c r="O3746" t="str">
        <f t="shared" si="234"/>
        <v>High Balance</v>
      </c>
      <c r="P3746" t="str">
        <f t="shared" si="235"/>
        <v>New</v>
      </c>
    </row>
    <row r="3747" spans="1:16" x14ac:dyDescent="0.25">
      <c r="A3747">
        <v>2025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  <c r="M3747" t="str">
        <f t="shared" si="232"/>
        <v>30-45</v>
      </c>
      <c r="N3747" t="str">
        <f t="shared" si="233"/>
        <v>High</v>
      </c>
      <c r="O3747" t="str">
        <f t="shared" si="234"/>
        <v>Low Balance</v>
      </c>
      <c r="P3747" t="str">
        <f t="shared" si="235"/>
        <v>New</v>
      </c>
    </row>
    <row r="3748" spans="1:16" x14ac:dyDescent="0.25">
      <c r="A3748">
        <v>2025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  <c r="M3748" t="str">
        <f t="shared" si="232"/>
        <v>30-45</v>
      </c>
      <c r="N3748" t="str">
        <f t="shared" si="233"/>
        <v>Medium</v>
      </c>
      <c r="O3748" t="str">
        <f t="shared" si="234"/>
        <v>High Balance</v>
      </c>
      <c r="P3748" t="str">
        <f t="shared" si="235"/>
        <v>Mid-term</v>
      </c>
    </row>
    <row r="3749" spans="1:16" x14ac:dyDescent="0.25">
      <c r="A3749">
        <v>2025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  <c r="M3749" t="str">
        <f t="shared" si="232"/>
        <v>30-45</v>
      </c>
      <c r="N3749" t="str">
        <f t="shared" si="233"/>
        <v>Medium</v>
      </c>
      <c r="O3749" t="str">
        <f t="shared" si="234"/>
        <v>Zero Balance</v>
      </c>
      <c r="P3749" t="str">
        <f t="shared" si="235"/>
        <v>Long-term</v>
      </c>
    </row>
    <row r="3750" spans="1:16" x14ac:dyDescent="0.25">
      <c r="A3750">
        <v>2025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  <c r="M3750" t="str">
        <f t="shared" si="232"/>
        <v>30-45</v>
      </c>
      <c r="N3750" t="str">
        <f t="shared" si="233"/>
        <v>Medium</v>
      </c>
      <c r="O3750" t="str">
        <f t="shared" si="234"/>
        <v>Low Balance</v>
      </c>
      <c r="P3750" t="str">
        <f t="shared" si="235"/>
        <v>Long-term</v>
      </c>
    </row>
    <row r="3751" spans="1:16" x14ac:dyDescent="0.25">
      <c r="A3751">
        <v>2025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  <c r="M3751" t="str">
        <f t="shared" si="232"/>
        <v>30-45</v>
      </c>
      <c r="N3751" t="str">
        <f t="shared" si="233"/>
        <v>Low</v>
      </c>
      <c r="O3751" t="str">
        <f t="shared" si="234"/>
        <v>Zero Balance</v>
      </c>
      <c r="P3751" t="str">
        <f t="shared" si="235"/>
        <v>Long-term</v>
      </c>
    </row>
    <row r="3752" spans="1:16" x14ac:dyDescent="0.25">
      <c r="A3752">
        <v>2025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  <c r="M3752" t="str">
        <f t="shared" si="232"/>
        <v>30-45</v>
      </c>
      <c r="N3752" t="str">
        <f t="shared" si="233"/>
        <v>Medium</v>
      </c>
      <c r="O3752" t="str">
        <f t="shared" si="234"/>
        <v>High Balance</v>
      </c>
      <c r="P3752" t="str">
        <f t="shared" si="235"/>
        <v>New</v>
      </c>
    </row>
    <row r="3753" spans="1:16" x14ac:dyDescent="0.25">
      <c r="A3753">
        <v>2025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  <c r="M3753" t="str">
        <f t="shared" si="232"/>
        <v>&lt;30</v>
      </c>
      <c r="N3753" t="str">
        <f t="shared" si="233"/>
        <v>Low</v>
      </c>
      <c r="O3753" t="str">
        <f t="shared" si="234"/>
        <v>Zero Balance</v>
      </c>
      <c r="P3753" t="str">
        <f t="shared" si="235"/>
        <v>New</v>
      </c>
    </row>
    <row r="3754" spans="1:16" x14ac:dyDescent="0.25">
      <c r="A3754">
        <v>2025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  <c r="M3754" t="str">
        <f t="shared" si="232"/>
        <v>30-45</v>
      </c>
      <c r="N3754" t="str">
        <f t="shared" si="233"/>
        <v>High</v>
      </c>
      <c r="O3754" t="str">
        <f t="shared" si="234"/>
        <v>High Balance</v>
      </c>
      <c r="P3754" t="str">
        <f t="shared" si="235"/>
        <v>New</v>
      </c>
    </row>
    <row r="3755" spans="1:16" x14ac:dyDescent="0.25">
      <c r="A3755">
        <v>2025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  <c r="M3755" t="str">
        <f t="shared" si="232"/>
        <v>&lt;30</v>
      </c>
      <c r="N3755" t="str">
        <f t="shared" si="233"/>
        <v>High</v>
      </c>
      <c r="O3755" t="str">
        <f t="shared" si="234"/>
        <v>Zero Balance</v>
      </c>
      <c r="P3755" t="str">
        <f t="shared" si="235"/>
        <v>Mid-term</v>
      </c>
    </row>
    <row r="3756" spans="1:16" x14ac:dyDescent="0.25">
      <c r="A3756">
        <v>2025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  <c r="M3756" t="str">
        <f t="shared" si="232"/>
        <v>30-45</v>
      </c>
      <c r="N3756" t="str">
        <f t="shared" si="233"/>
        <v>Medium</v>
      </c>
      <c r="O3756" t="str">
        <f t="shared" si="234"/>
        <v>High Balance</v>
      </c>
      <c r="P3756" t="str">
        <f t="shared" si="235"/>
        <v>Long-term</v>
      </c>
    </row>
    <row r="3757" spans="1:16" x14ac:dyDescent="0.25">
      <c r="A3757">
        <v>2025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  <c r="M3757" t="str">
        <f t="shared" si="232"/>
        <v>&lt;30</v>
      </c>
      <c r="N3757" t="str">
        <f t="shared" si="233"/>
        <v>High</v>
      </c>
      <c r="O3757" t="str">
        <f t="shared" si="234"/>
        <v>Zero Balance</v>
      </c>
      <c r="P3757" t="str">
        <f t="shared" si="235"/>
        <v>New</v>
      </c>
    </row>
    <row r="3758" spans="1:16" x14ac:dyDescent="0.25">
      <c r="A3758">
        <v>2025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  <c r="M3758" t="str">
        <f t="shared" si="232"/>
        <v>30-45</v>
      </c>
      <c r="N3758" t="str">
        <f t="shared" si="233"/>
        <v>High</v>
      </c>
      <c r="O3758" t="str">
        <f t="shared" si="234"/>
        <v>Zero Balance</v>
      </c>
      <c r="P3758" t="str">
        <f t="shared" si="235"/>
        <v>Mid-term</v>
      </c>
    </row>
    <row r="3759" spans="1:16" x14ac:dyDescent="0.25">
      <c r="A3759">
        <v>2025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  <c r="M3759" t="str">
        <f t="shared" si="232"/>
        <v>30-45</v>
      </c>
      <c r="N3759" t="str">
        <f t="shared" si="233"/>
        <v>Medium</v>
      </c>
      <c r="O3759" t="str">
        <f t="shared" si="234"/>
        <v>Low Balance</v>
      </c>
      <c r="P3759" t="str">
        <f t="shared" si="235"/>
        <v>Mid-term</v>
      </c>
    </row>
    <row r="3760" spans="1:16" x14ac:dyDescent="0.25">
      <c r="A3760">
        <v>2025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  <c r="M3760" t="str">
        <f t="shared" si="232"/>
        <v>30-45</v>
      </c>
      <c r="N3760" t="str">
        <f t="shared" si="233"/>
        <v>Medium</v>
      </c>
      <c r="O3760" t="str">
        <f t="shared" si="234"/>
        <v>High Balance</v>
      </c>
      <c r="P3760" t="str">
        <f t="shared" si="235"/>
        <v>Mid-term</v>
      </c>
    </row>
    <row r="3761" spans="1:16" x14ac:dyDescent="0.25">
      <c r="A3761">
        <v>2025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  <c r="M3761" t="str">
        <f t="shared" si="232"/>
        <v>30-45</v>
      </c>
      <c r="N3761" t="str">
        <f t="shared" si="233"/>
        <v>High</v>
      </c>
      <c r="O3761" t="str">
        <f t="shared" si="234"/>
        <v>High Balance</v>
      </c>
      <c r="P3761" t="str">
        <f t="shared" si="235"/>
        <v>Long-term</v>
      </c>
    </row>
    <row r="3762" spans="1:16" x14ac:dyDescent="0.25">
      <c r="A3762">
        <v>2025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  <c r="M3762" t="str">
        <f t="shared" si="232"/>
        <v>30-45</v>
      </c>
      <c r="N3762" t="str">
        <f t="shared" si="233"/>
        <v>High</v>
      </c>
      <c r="O3762" t="str">
        <f t="shared" si="234"/>
        <v>Low Balance</v>
      </c>
      <c r="P3762" t="str">
        <f t="shared" si="235"/>
        <v>Mid-term</v>
      </c>
    </row>
    <row r="3763" spans="1:16" x14ac:dyDescent="0.25">
      <c r="A3763">
        <v>2025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  <c r="M3763" t="str">
        <f t="shared" si="232"/>
        <v>60+</v>
      </c>
      <c r="N3763" t="str">
        <f t="shared" si="233"/>
        <v>Medium</v>
      </c>
      <c r="O3763" t="str">
        <f t="shared" si="234"/>
        <v>High Balance</v>
      </c>
      <c r="P3763" t="str">
        <f t="shared" si="235"/>
        <v>Long-term</v>
      </c>
    </row>
    <row r="3764" spans="1:16" x14ac:dyDescent="0.25">
      <c r="A3764">
        <v>2025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  <c r="M3764" t="str">
        <f t="shared" si="232"/>
        <v>30-45</v>
      </c>
      <c r="N3764" t="str">
        <f t="shared" si="233"/>
        <v>Medium</v>
      </c>
      <c r="O3764" t="str">
        <f t="shared" si="234"/>
        <v>High Balance</v>
      </c>
      <c r="P3764" t="str">
        <f t="shared" si="235"/>
        <v>New</v>
      </c>
    </row>
    <row r="3765" spans="1:16" x14ac:dyDescent="0.25">
      <c r="A3765">
        <v>2025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  <c r="M3765" t="str">
        <f t="shared" si="232"/>
        <v>30-45</v>
      </c>
      <c r="N3765" t="str">
        <f t="shared" si="233"/>
        <v>Medium</v>
      </c>
      <c r="O3765" t="str">
        <f t="shared" si="234"/>
        <v>High Balance</v>
      </c>
      <c r="P3765" t="str">
        <f t="shared" si="235"/>
        <v>New</v>
      </c>
    </row>
    <row r="3766" spans="1:16" x14ac:dyDescent="0.25">
      <c r="A3766">
        <v>2025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  <c r="M3766" t="str">
        <f t="shared" si="232"/>
        <v>46-60</v>
      </c>
      <c r="N3766" t="str">
        <f t="shared" si="233"/>
        <v>High</v>
      </c>
      <c r="O3766" t="str">
        <f t="shared" si="234"/>
        <v>High Balance</v>
      </c>
      <c r="P3766" t="str">
        <f t="shared" si="235"/>
        <v>Long-term</v>
      </c>
    </row>
    <row r="3767" spans="1:16" x14ac:dyDescent="0.25">
      <c r="A3767">
        <v>2025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  <c r="M3767" t="str">
        <f t="shared" si="232"/>
        <v>&lt;30</v>
      </c>
      <c r="N3767" t="str">
        <f t="shared" si="233"/>
        <v>High</v>
      </c>
      <c r="O3767" t="str">
        <f t="shared" si="234"/>
        <v>Zero Balance</v>
      </c>
      <c r="P3767" t="str">
        <f t="shared" si="235"/>
        <v>Long-term</v>
      </c>
    </row>
    <row r="3768" spans="1:16" x14ac:dyDescent="0.25">
      <c r="A3768">
        <v>2025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  <c r="M3768" t="str">
        <f t="shared" si="232"/>
        <v>30-45</v>
      </c>
      <c r="N3768" t="str">
        <f t="shared" si="233"/>
        <v>Medium</v>
      </c>
      <c r="O3768" t="str">
        <f t="shared" si="234"/>
        <v>Low Balance</v>
      </c>
      <c r="P3768" t="str">
        <f t="shared" si="235"/>
        <v>Mid-term</v>
      </c>
    </row>
    <row r="3769" spans="1:16" x14ac:dyDescent="0.25">
      <c r="A3769">
        <v>2025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  <c r="M3769" t="str">
        <f t="shared" si="232"/>
        <v>&lt;30</v>
      </c>
      <c r="N3769" t="str">
        <f t="shared" si="233"/>
        <v>High</v>
      </c>
      <c r="O3769" t="str">
        <f t="shared" si="234"/>
        <v>High Balance</v>
      </c>
      <c r="P3769" t="str">
        <f t="shared" si="235"/>
        <v>Mid-term</v>
      </c>
    </row>
    <row r="3770" spans="1:16" x14ac:dyDescent="0.25">
      <c r="A3770">
        <v>2025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  <c r="M3770" t="str">
        <f t="shared" si="232"/>
        <v>30-45</v>
      </c>
      <c r="N3770" t="str">
        <f t="shared" si="233"/>
        <v>Medium</v>
      </c>
      <c r="O3770" t="str">
        <f t="shared" si="234"/>
        <v>High Balance</v>
      </c>
      <c r="P3770" t="str">
        <f t="shared" si="235"/>
        <v>New</v>
      </c>
    </row>
    <row r="3771" spans="1:16" x14ac:dyDescent="0.25">
      <c r="A3771">
        <v>2025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  <c r="M3771" t="str">
        <f t="shared" si="232"/>
        <v>46-60</v>
      </c>
      <c r="N3771" t="str">
        <f t="shared" si="233"/>
        <v>Medium</v>
      </c>
      <c r="O3771" t="str">
        <f t="shared" si="234"/>
        <v>High Balance</v>
      </c>
      <c r="P3771" t="str">
        <f t="shared" si="235"/>
        <v>Mid-term</v>
      </c>
    </row>
    <row r="3772" spans="1:16" x14ac:dyDescent="0.25">
      <c r="A3772">
        <v>2025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  <c r="M3772" t="str">
        <f t="shared" si="232"/>
        <v>&lt;30</v>
      </c>
      <c r="N3772" t="str">
        <f t="shared" si="233"/>
        <v>Low</v>
      </c>
      <c r="O3772" t="str">
        <f t="shared" si="234"/>
        <v>High Balance</v>
      </c>
      <c r="P3772" t="str">
        <f t="shared" si="235"/>
        <v>New</v>
      </c>
    </row>
    <row r="3773" spans="1:16" x14ac:dyDescent="0.25">
      <c r="A3773">
        <v>2025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  <c r="M3773" t="str">
        <f t="shared" si="232"/>
        <v>30-45</v>
      </c>
      <c r="N3773" t="str">
        <f t="shared" si="233"/>
        <v>Low</v>
      </c>
      <c r="O3773" t="str">
        <f t="shared" si="234"/>
        <v>High Balance</v>
      </c>
      <c r="P3773" t="str">
        <f t="shared" si="235"/>
        <v>Long-term</v>
      </c>
    </row>
    <row r="3774" spans="1:16" x14ac:dyDescent="0.25">
      <c r="A3774">
        <v>2025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  <c r="M3774" t="str">
        <f t="shared" si="232"/>
        <v>30-45</v>
      </c>
      <c r="N3774" t="str">
        <f t="shared" si="233"/>
        <v>High</v>
      </c>
      <c r="O3774" t="str">
        <f t="shared" si="234"/>
        <v>High Balance</v>
      </c>
      <c r="P3774" t="str">
        <f t="shared" si="235"/>
        <v>Mid-term</v>
      </c>
    </row>
    <row r="3775" spans="1:16" x14ac:dyDescent="0.25">
      <c r="A3775">
        <v>2025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  <c r="M3775" t="str">
        <f t="shared" si="232"/>
        <v>30-45</v>
      </c>
      <c r="N3775" t="str">
        <f t="shared" si="233"/>
        <v>High</v>
      </c>
      <c r="O3775" t="str">
        <f t="shared" si="234"/>
        <v>Zero Balance</v>
      </c>
      <c r="P3775" t="str">
        <f t="shared" si="235"/>
        <v>New</v>
      </c>
    </row>
    <row r="3776" spans="1:16" x14ac:dyDescent="0.25">
      <c r="A3776">
        <v>2025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  <c r="M3776" t="str">
        <f t="shared" si="232"/>
        <v>60+</v>
      </c>
      <c r="N3776" t="str">
        <f t="shared" si="233"/>
        <v>High</v>
      </c>
      <c r="O3776" t="str">
        <f t="shared" si="234"/>
        <v>Zero Balance</v>
      </c>
      <c r="P3776" t="str">
        <f t="shared" si="235"/>
        <v>New</v>
      </c>
    </row>
    <row r="3777" spans="1:16" x14ac:dyDescent="0.25">
      <c r="A3777">
        <v>2025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  <c r="M3777" t="str">
        <f t="shared" si="232"/>
        <v>&lt;30</v>
      </c>
      <c r="N3777" t="str">
        <f t="shared" si="233"/>
        <v>Medium</v>
      </c>
      <c r="O3777" t="str">
        <f t="shared" si="234"/>
        <v>Low Balance</v>
      </c>
      <c r="P3777" t="str">
        <f t="shared" si="235"/>
        <v>Mid-term</v>
      </c>
    </row>
    <row r="3778" spans="1:16" x14ac:dyDescent="0.25">
      <c r="A3778">
        <v>2025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  <c r="M3778" t="str">
        <f t="shared" si="232"/>
        <v>30-45</v>
      </c>
      <c r="N3778" t="str">
        <f t="shared" si="233"/>
        <v>High</v>
      </c>
      <c r="O3778" t="str">
        <f t="shared" si="234"/>
        <v>High Balance</v>
      </c>
      <c r="P3778" t="str">
        <f t="shared" si="235"/>
        <v>New</v>
      </c>
    </row>
    <row r="3779" spans="1:16" x14ac:dyDescent="0.25">
      <c r="A3779">
        <v>2025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  <c r="M3779" t="str">
        <f t="shared" ref="M3779:M3842" si="236">IF(E3779&lt;30,"&lt;30",IF(E3779&lt;=45,"30-45",IF(E3779&lt;=60,"46-60","60+")))</f>
        <v>30-45</v>
      </c>
      <c r="N3779" t="str">
        <f t="shared" ref="N3779:N3842" si="237">IF(B3779&lt;500,"Low",IF(B3779&lt;700,"Medium","High"))</f>
        <v>Medium</v>
      </c>
      <c r="O3779" t="str">
        <f t="shared" ref="O3779:O3842" si="238">IF(G3779=0,"Zero Balance",IF(G3779&lt;100000,"Low Balance","High Balance"))</f>
        <v>High Balance</v>
      </c>
      <c r="P3779" t="str">
        <f t="shared" ref="P3779:P3842" si="239">IF(F3779&lt;=3,"New",IF(F3779&lt;=7,"Mid-term","Long-term"))</f>
        <v>New</v>
      </c>
    </row>
    <row r="3780" spans="1:16" x14ac:dyDescent="0.25">
      <c r="A3780">
        <v>2025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  <c r="M3780" t="str">
        <f t="shared" si="236"/>
        <v>46-60</v>
      </c>
      <c r="N3780" t="str">
        <f t="shared" si="237"/>
        <v>Medium</v>
      </c>
      <c r="O3780" t="str">
        <f t="shared" si="238"/>
        <v>High Balance</v>
      </c>
      <c r="P3780" t="str">
        <f t="shared" si="239"/>
        <v>New</v>
      </c>
    </row>
    <row r="3781" spans="1:16" x14ac:dyDescent="0.25">
      <c r="A3781">
        <v>2025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  <c r="M3781" t="str">
        <f t="shared" si="236"/>
        <v>30-45</v>
      </c>
      <c r="N3781" t="str">
        <f t="shared" si="237"/>
        <v>Medium</v>
      </c>
      <c r="O3781" t="str">
        <f t="shared" si="238"/>
        <v>Zero Balance</v>
      </c>
      <c r="P3781" t="str">
        <f t="shared" si="239"/>
        <v>New</v>
      </c>
    </row>
    <row r="3782" spans="1:16" x14ac:dyDescent="0.25">
      <c r="A3782">
        <v>2025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  <c r="M3782" t="str">
        <f t="shared" si="236"/>
        <v>46-60</v>
      </c>
      <c r="N3782" t="str">
        <f t="shared" si="237"/>
        <v>Medium</v>
      </c>
      <c r="O3782" t="str">
        <f t="shared" si="238"/>
        <v>High Balance</v>
      </c>
      <c r="P3782" t="str">
        <f t="shared" si="239"/>
        <v>Mid-term</v>
      </c>
    </row>
    <row r="3783" spans="1:16" x14ac:dyDescent="0.25">
      <c r="A3783">
        <v>2025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  <c r="M3783" t="str">
        <f t="shared" si="236"/>
        <v>&lt;30</v>
      </c>
      <c r="N3783" t="str">
        <f t="shared" si="237"/>
        <v>Medium</v>
      </c>
      <c r="O3783" t="str">
        <f t="shared" si="238"/>
        <v>High Balance</v>
      </c>
      <c r="P3783" t="str">
        <f t="shared" si="239"/>
        <v>New</v>
      </c>
    </row>
    <row r="3784" spans="1:16" x14ac:dyDescent="0.25">
      <c r="A3784">
        <v>2025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  <c r="M3784" t="str">
        <f t="shared" si="236"/>
        <v>30-45</v>
      </c>
      <c r="N3784" t="str">
        <f t="shared" si="237"/>
        <v>Low</v>
      </c>
      <c r="O3784" t="str">
        <f t="shared" si="238"/>
        <v>High Balance</v>
      </c>
      <c r="P3784" t="str">
        <f t="shared" si="239"/>
        <v>New</v>
      </c>
    </row>
    <row r="3785" spans="1:16" x14ac:dyDescent="0.25">
      <c r="A3785">
        <v>2025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  <c r="M3785" t="str">
        <f t="shared" si="236"/>
        <v>&lt;30</v>
      </c>
      <c r="N3785" t="str">
        <f t="shared" si="237"/>
        <v>Medium</v>
      </c>
      <c r="O3785" t="str">
        <f t="shared" si="238"/>
        <v>High Balance</v>
      </c>
      <c r="P3785" t="str">
        <f t="shared" si="239"/>
        <v>Long-term</v>
      </c>
    </row>
    <row r="3786" spans="1:16" x14ac:dyDescent="0.25">
      <c r="A3786">
        <v>2025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  <c r="M3786" t="str">
        <f t="shared" si="236"/>
        <v>30-45</v>
      </c>
      <c r="N3786" t="str">
        <f t="shared" si="237"/>
        <v>Medium</v>
      </c>
      <c r="O3786" t="str">
        <f t="shared" si="238"/>
        <v>High Balance</v>
      </c>
      <c r="P3786" t="str">
        <f t="shared" si="239"/>
        <v>Long-term</v>
      </c>
    </row>
    <row r="3787" spans="1:16" x14ac:dyDescent="0.25">
      <c r="A3787">
        <v>2025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  <c r="M3787" t="str">
        <f t="shared" si="236"/>
        <v>30-45</v>
      </c>
      <c r="N3787" t="str">
        <f t="shared" si="237"/>
        <v>High</v>
      </c>
      <c r="O3787" t="str">
        <f t="shared" si="238"/>
        <v>High Balance</v>
      </c>
      <c r="P3787" t="str">
        <f t="shared" si="239"/>
        <v>New</v>
      </c>
    </row>
    <row r="3788" spans="1:16" x14ac:dyDescent="0.25">
      <c r="A3788">
        <v>2025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  <c r="M3788" t="str">
        <f t="shared" si="236"/>
        <v>30-45</v>
      </c>
      <c r="N3788" t="str">
        <f t="shared" si="237"/>
        <v>High</v>
      </c>
      <c r="O3788" t="str">
        <f t="shared" si="238"/>
        <v>High Balance</v>
      </c>
      <c r="P3788" t="str">
        <f t="shared" si="239"/>
        <v>Long-term</v>
      </c>
    </row>
    <row r="3789" spans="1:16" x14ac:dyDescent="0.25">
      <c r="A3789">
        <v>2025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  <c r="M3789" t="str">
        <f t="shared" si="236"/>
        <v>&lt;30</v>
      </c>
      <c r="N3789" t="str">
        <f t="shared" si="237"/>
        <v>Medium</v>
      </c>
      <c r="O3789" t="str">
        <f t="shared" si="238"/>
        <v>High Balance</v>
      </c>
      <c r="P3789" t="str">
        <f t="shared" si="239"/>
        <v>Mid-term</v>
      </c>
    </row>
    <row r="3790" spans="1:16" x14ac:dyDescent="0.25">
      <c r="A3790">
        <v>2025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  <c r="M3790" t="str">
        <f t="shared" si="236"/>
        <v>&lt;30</v>
      </c>
      <c r="N3790" t="str">
        <f t="shared" si="237"/>
        <v>Medium</v>
      </c>
      <c r="O3790" t="str">
        <f t="shared" si="238"/>
        <v>High Balance</v>
      </c>
      <c r="P3790" t="str">
        <f t="shared" si="239"/>
        <v>New</v>
      </c>
    </row>
    <row r="3791" spans="1:16" x14ac:dyDescent="0.25">
      <c r="A3791">
        <v>2025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  <c r="M3791" t="str">
        <f t="shared" si="236"/>
        <v>30-45</v>
      </c>
      <c r="N3791" t="str">
        <f t="shared" si="237"/>
        <v>Medium</v>
      </c>
      <c r="O3791" t="str">
        <f t="shared" si="238"/>
        <v>Low Balance</v>
      </c>
      <c r="P3791" t="str">
        <f t="shared" si="239"/>
        <v>Mid-term</v>
      </c>
    </row>
    <row r="3792" spans="1:16" x14ac:dyDescent="0.25">
      <c r="A3792">
        <v>2025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  <c r="M3792" t="str">
        <f t="shared" si="236"/>
        <v>46-60</v>
      </c>
      <c r="N3792" t="str">
        <f t="shared" si="237"/>
        <v>Medium</v>
      </c>
      <c r="O3792" t="str">
        <f t="shared" si="238"/>
        <v>Low Balance</v>
      </c>
      <c r="P3792" t="str">
        <f t="shared" si="239"/>
        <v>New</v>
      </c>
    </row>
    <row r="3793" spans="1:16" x14ac:dyDescent="0.25">
      <c r="A3793">
        <v>2025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  <c r="M3793" t="str">
        <f t="shared" si="236"/>
        <v>30-45</v>
      </c>
      <c r="N3793" t="str">
        <f t="shared" si="237"/>
        <v>High</v>
      </c>
      <c r="O3793" t="str">
        <f t="shared" si="238"/>
        <v>High Balance</v>
      </c>
      <c r="P3793" t="str">
        <f t="shared" si="239"/>
        <v>New</v>
      </c>
    </row>
    <row r="3794" spans="1:16" x14ac:dyDescent="0.25">
      <c r="A3794">
        <v>2025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  <c r="M3794" t="str">
        <f t="shared" si="236"/>
        <v>30-45</v>
      </c>
      <c r="N3794" t="str">
        <f t="shared" si="237"/>
        <v>Low</v>
      </c>
      <c r="O3794" t="str">
        <f t="shared" si="238"/>
        <v>Zero Balance</v>
      </c>
      <c r="P3794" t="str">
        <f t="shared" si="239"/>
        <v>Mid-term</v>
      </c>
    </row>
    <row r="3795" spans="1:16" x14ac:dyDescent="0.25">
      <c r="A3795">
        <v>2025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  <c r="M3795" t="str">
        <f t="shared" si="236"/>
        <v>46-60</v>
      </c>
      <c r="N3795" t="str">
        <f t="shared" si="237"/>
        <v>High</v>
      </c>
      <c r="O3795" t="str">
        <f t="shared" si="238"/>
        <v>High Balance</v>
      </c>
      <c r="P3795" t="str">
        <f t="shared" si="239"/>
        <v>Mid-term</v>
      </c>
    </row>
    <row r="3796" spans="1:16" x14ac:dyDescent="0.25">
      <c r="A3796">
        <v>2025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  <c r="M3796" t="str">
        <f t="shared" si="236"/>
        <v>30-45</v>
      </c>
      <c r="N3796" t="str">
        <f t="shared" si="237"/>
        <v>Low</v>
      </c>
      <c r="O3796" t="str">
        <f t="shared" si="238"/>
        <v>High Balance</v>
      </c>
      <c r="P3796" t="str">
        <f t="shared" si="239"/>
        <v>Mid-term</v>
      </c>
    </row>
    <row r="3797" spans="1:16" x14ac:dyDescent="0.25">
      <c r="A3797">
        <v>2025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  <c r="M3797" t="str">
        <f t="shared" si="236"/>
        <v>&lt;30</v>
      </c>
      <c r="N3797" t="str">
        <f t="shared" si="237"/>
        <v>Medium</v>
      </c>
      <c r="O3797" t="str">
        <f t="shared" si="238"/>
        <v>Zero Balance</v>
      </c>
      <c r="P3797" t="str">
        <f t="shared" si="239"/>
        <v>Long-term</v>
      </c>
    </row>
    <row r="3798" spans="1:16" x14ac:dyDescent="0.25">
      <c r="A3798">
        <v>2025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  <c r="M3798" t="str">
        <f t="shared" si="236"/>
        <v>&lt;30</v>
      </c>
      <c r="N3798" t="str">
        <f t="shared" si="237"/>
        <v>Medium</v>
      </c>
      <c r="O3798" t="str">
        <f t="shared" si="238"/>
        <v>High Balance</v>
      </c>
      <c r="P3798" t="str">
        <f t="shared" si="239"/>
        <v>Mid-term</v>
      </c>
    </row>
    <row r="3799" spans="1:16" x14ac:dyDescent="0.25">
      <c r="A3799">
        <v>2025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  <c r="M3799" t="str">
        <f t="shared" si="236"/>
        <v>46-60</v>
      </c>
      <c r="N3799" t="str">
        <f t="shared" si="237"/>
        <v>High</v>
      </c>
      <c r="O3799" t="str">
        <f t="shared" si="238"/>
        <v>Zero Balance</v>
      </c>
      <c r="P3799" t="str">
        <f t="shared" si="239"/>
        <v>New</v>
      </c>
    </row>
    <row r="3800" spans="1:16" x14ac:dyDescent="0.25">
      <c r="A3800">
        <v>2025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  <c r="M3800" t="str">
        <f t="shared" si="236"/>
        <v>30-45</v>
      </c>
      <c r="N3800" t="str">
        <f t="shared" si="237"/>
        <v>High</v>
      </c>
      <c r="O3800" t="str">
        <f t="shared" si="238"/>
        <v>Zero Balance</v>
      </c>
      <c r="P3800" t="str">
        <f t="shared" si="239"/>
        <v>New</v>
      </c>
    </row>
    <row r="3801" spans="1:16" x14ac:dyDescent="0.25">
      <c r="A3801">
        <v>2025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  <c r="M3801" t="str">
        <f t="shared" si="236"/>
        <v>30-45</v>
      </c>
      <c r="N3801" t="str">
        <f t="shared" si="237"/>
        <v>Low</v>
      </c>
      <c r="O3801" t="str">
        <f t="shared" si="238"/>
        <v>High Balance</v>
      </c>
      <c r="P3801" t="str">
        <f t="shared" si="239"/>
        <v>Mid-term</v>
      </c>
    </row>
    <row r="3802" spans="1:16" x14ac:dyDescent="0.25">
      <c r="A3802">
        <v>2025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  <c r="M3802" t="str">
        <f t="shared" si="236"/>
        <v>&lt;30</v>
      </c>
      <c r="N3802" t="str">
        <f t="shared" si="237"/>
        <v>High</v>
      </c>
      <c r="O3802" t="str">
        <f t="shared" si="238"/>
        <v>Zero Balance</v>
      </c>
      <c r="P3802" t="str">
        <f t="shared" si="239"/>
        <v>New</v>
      </c>
    </row>
    <row r="3803" spans="1:16" x14ac:dyDescent="0.25">
      <c r="A3803">
        <v>2025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  <c r="M3803" t="str">
        <f t="shared" si="236"/>
        <v>30-45</v>
      </c>
      <c r="N3803" t="str">
        <f t="shared" si="237"/>
        <v>Medium</v>
      </c>
      <c r="O3803" t="str">
        <f t="shared" si="238"/>
        <v>High Balance</v>
      </c>
      <c r="P3803" t="str">
        <f t="shared" si="239"/>
        <v>Mid-term</v>
      </c>
    </row>
    <row r="3804" spans="1:16" x14ac:dyDescent="0.25">
      <c r="A3804">
        <v>2025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  <c r="M3804" t="str">
        <f t="shared" si="236"/>
        <v>30-45</v>
      </c>
      <c r="N3804" t="str">
        <f t="shared" si="237"/>
        <v>Medium</v>
      </c>
      <c r="O3804" t="str">
        <f t="shared" si="238"/>
        <v>High Balance</v>
      </c>
      <c r="P3804" t="str">
        <f t="shared" si="239"/>
        <v>Long-term</v>
      </c>
    </row>
    <row r="3805" spans="1:16" x14ac:dyDescent="0.25">
      <c r="A3805">
        <v>2025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  <c r="M3805" t="str">
        <f t="shared" si="236"/>
        <v>46-60</v>
      </c>
      <c r="N3805" t="str">
        <f t="shared" si="237"/>
        <v>High</v>
      </c>
      <c r="O3805" t="str">
        <f t="shared" si="238"/>
        <v>High Balance</v>
      </c>
      <c r="P3805" t="str">
        <f t="shared" si="239"/>
        <v>Mid-term</v>
      </c>
    </row>
    <row r="3806" spans="1:16" x14ac:dyDescent="0.25">
      <c r="A3806">
        <v>2025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  <c r="M3806" t="str">
        <f t="shared" si="236"/>
        <v>30-45</v>
      </c>
      <c r="N3806" t="str">
        <f t="shared" si="237"/>
        <v>Medium</v>
      </c>
      <c r="O3806" t="str">
        <f t="shared" si="238"/>
        <v>Zero Balance</v>
      </c>
      <c r="P3806" t="str">
        <f t="shared" si="239"/>
        <v>New</v>
      </c>
    </row>
    <row r="3807" spans="1:16" x14ac:dyDescent="0.25">
      <c r="A3807">
        <v>2025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  <c r="M3807" t="str">
        <f t="shared" si="236"/>
        <v>30-45</v>
      </c>
      <c r="N3807" t="str">
        <f t="shared" si="237"/>
        <v>Medium</v>
      </c>
      <c r="O3807" t="str">
        <f t="shared" si="238"/>
        <v>Zero Balance</v>
      </c>
      <c r="P3807" t="str">
        <f t="shared" si="239"/>
        <v>New</v>
      </c>
    </row>
    <row r="3808" spans="1:16" x14ac:dyDescent="0.25">
      <c r="A3808">
        <v>2025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  <c r="M3808" t="str">
        <f t="shared" si="236"/>
        <v>30-45</v>
      </c>
      <c r="N3808" t="str">
        <f t="shared" si="237"/>
        <v>Medium</v>
      </c>
      <c r="O3808" t="str">
        <f t="shared" si="238"/>
        <v>Zero Balance</v>
      </c>
      <c r="P3808" t="str">
        <f t="shared" si="239"/>
        <v>Long-term</v>
      </c>
    </row>
    <row r="3809" spans="1:16" x14ac:dyDescent="0.25">
      <c r="A3809">
        <v>2025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  <c r="M3809" t="str">
        <f t="shared" si="236"/>
        <v>30-45</v>
      </c>
      <c r="N3809" t="str">
        <f t="shared" si="237"/>
        <v>Low</v>
      </c>
      <c r="O3809" t="str">
        <f t="shared" si="238"/>
        <v>High Balance</v>
      </c>
      <c r="P3809" t="str">
        <f t="shared" si="239"/>
        <v>New</v>
      </c>
    </row>
    <row r="3810" spans="1:16" x14ac:dyDescent="0.25">
      <c r="A3810">
        <v>2025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  <c r="M3810" t="str">
        <f t="shared" si="236"/>
        <v>30-45</v>
      </c>
      <c r="N3810" t="str">
        <f t="shared" si="237"/>
        <v>High</v>
      </c>
      <c r="O3810" t="str">
        <f t="shared" si="238"/>
        <v>High Balance</v>
      </c>
      <c r="P3810" t="str">
        <f t="shared" si="239"/>
        <v>New</v>
      </c>
    </row>
    <row r="3811" spans="1:16" x14ac:dyDescent="0.25">
      <c r="A3811">
        <v>2025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  <c r="M3811" t="str">
        <f t="shared" si="236"/>
        <v>30-45</v>
      </c>
      <c r="N3811" t="str">
        <f t="shared" si="237"/>
        <v>Medium</v>
      </c>
      <c r="O3811" t="str">
        <f t="shared" si="238"/>
        <v>High Balance</v>
      </c>
      <c r="P3811" t="str">
        <f t="shared" si="239"/>
        <v>New</v>
      </c>
    </row>
    <row r="3812" spans="1:16" x14ac:dyDescent="0.25">
      <c r="A3812">
        <v>2025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  <c r="M3812" t="str">
        <f t="shared" si="236"/>
        <v>30-45</v>
      </c>
      <c r="N3812" t="str">
        <f t="shared" si="237"/>
        <v>Low</v>
      </c>
      <c r="O3812" t="str">
        <f t="shared" si="238"/>
        <v>High Balance</v>
      </c>
      <c r="P3812" t="str">
        <f t="shared" si="239"/>
        <v>Mid-term</v>
      </c>
    </row>
    <row r="3813" spans="1:16" x14ac:dyDescent="0.25">
      <c r="A3813">
        <v>2025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  <c r="M3813" t="str">
        <f t="shared" si="236"/>
        <v>30-45</v>
      </c>
      <c r="N3813" t="str">
        <f t="shared" si="237"/>
        <v>High</v>
      </c>
      <c r="O3813" t="str">
        <f t="shared" si="238"/>
        <v>Zero Balance</v>
      </c>
      <c r="P3813" t="str">
        <f t="shared" si="239"/>
        <v>Long-term</v>
      </c>
    </row>
    <row r="3814" spans="1:16" x14ac:dyDescent="0.25">
      <c r="A3814">
        <v>2025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  <c r="M3814" t="str">
        <f t="shared" si="236"/>
        <v>30-45</v>
      </c>
      <c r="N3814" t="str">
        <f t="shared" si="237"/>
        <v>Medium</v>
      </c>
      <c r="O3814" t="str">
        <f t="shared" si="238"/>
        <v>High Balance</v>
      </c>
      <c r="P3814" t="str">
        <f t="shared" si="239"/>
        <v>Mid-term</v>
      </c>
    </row>
    <row r="3815" spans="1:16" x14ac:dyDescent="0.25">
      <c r="A3815">
        <v>2025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  <c r="M3815" t="str">
        <f t="shared" si="236"/>
        <v>60+</v>
      </c>
      <c r="N3815" t="str">
        <f t="shared" si="237"/>
        <v>High</v>
      </c>
      <c r="O3815" t="str">
        <f t="shared" si="238"/>
        <v>High Balance</v>
      </c>
      <c r="P3815" t="str">
        <f t="shared" si="239"/>
        <v>Mid-term</v>
      </c>
    </row>
    <row r="3816" spans="1:16" x14ac:dyDescent="0.25">
      <c r="A3816">
        <v>2025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  <c r="M3816" t="str">
        <f t="shared" si="236"/>
        <v>30-45</v>
      </c>
      <c r="N3816" t="str">
        <f t="shared" si="237"/>
        <v>Medium</v>
      </c>
      <c r="O3816" t="str">
        <f t="shared" si="238"/>
        <v>Zero Balance</v>
      </c>
      <c r="P3816" t="str">
        <f t="shared" si="239"/>
        <v>Mid-term</v>
      </c>
    </row>
    <row r="3817" spans="1:16" x14ac:dyDescent="0.25">
      <c r="A3817">
        <v>2025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  <c r="M3817" t="str">
        <f t="shared" si="236"/>
        <v>30-45</v>
      </c>
      <c r="N3817" t="str">
        <f t="shared" si="237"/>
        <v>Medium</v>
      </c>
      <c r="O3817" t="str">
        <f t="shared" si="238"/>
        <v>Low Balance</v>
      </c>
      <c r="P3817" t="str">
        <f t="shared" si="239"/>
        <v>New</v>
      </c>
    </row>
    <row r="3818" spans="1:16" x14ac:dyDescent="0.25">
      <c r="A3818">
        <v>2025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  <c r="M3818" t="str">
        <f t="shared" si="236"/>
        <v>30-45</v>
      </c>
      <c r="N3818" t="str">
        <f t="shared" si="237"/>
        <v>Medium</v>
      </c>
      <c r="O3818" t="str">
        <f t="shared" si="238"/>
        <v>High Balance</v>
      </c>
      <c r="P3818" t="str">
        <f t="shared" si="239"/>
        <v>Long-term</v>
      </c>
    </row>
    <row r="3819" spans="1:16" x14ac:dyDescent="0.25">
      <c r="A3819">
        <v>2025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  <c r="M3819" t="str">
        <f t="shared" si="236"/>
        <v>&lt;30</v>
      </c>
      <c r="N3819" t="str">
        <f t="shared" si="237"/>
        <v>Medium</v>
      </c>
      <c r="O3819" t="str">
        <f t="shared" si="238"/>
        <v>High Balance</v>
      </c>
      <c r="P3819" t="str">
        <f t="shared" si="239"/>
        <v>Mid-term</v>
      </c>
    </row>
    <row r="3820" spans="1:16" x14ac:dyDescent="0.25">
      <c r="A3820">
        <v>2025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  <c r="M3820" t="str">
        <f t="shared" si="236"/>
        <v>30-45</v>
      </c>
      <c r="N3820" t="str">
        <f t="shared" si="237"/>
        <v>High</v>
      </c>
      <c r="O3820" t="str">
        <f t="shared" si="238"/>
        <v>Zero Balance</v>
      </c>
      <c r="P3820" t="str">
        <f t="shared" si="239"/>
        <v>Long-term</v>
      </c>
    </row>
    <row r="3821" spans="1:16" x14ac:dyDescent="0.25">
      <c r="A3821">
        <v>2025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  <c r="M3821" t="str">
        <f t="shared" si="236"/>
        <v>46-60</v>
      </c>
      <c r="N3821" t="str">
        <f t="shared" si="237"/>
        <v>Medium</v>
      </c>
      <c r="O3821" t="str">
        <f t="shared" si="238"/>
        <v>Low Balance</v>
      </c>
      <c r="P3821" t="str">
        <f t="shared" si="239"/>
        <v>New</v>
      </c>
    </row>
    <row r="3822" spans="1:16" x14ac:dyDescent="0.25">
      <c r="A3822">
        <v>2025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  <c r="M3822" t="str">
        <f t="shared" si="236"/>
        <v>30-45</v>
      </c>
      <c r="N3822" t="str">
        <f t="shared" si="237"/>
        <v>Medium</v>
      </c>
      <c r="O3822" t="str">
        <f t="shared" si="238"/>
        <v>Low Balance</v>
      </c>
      <c r="P3822" t="str">
        <f t="shared" si="239"/>
        <v>Long-term</v>
      </c>
    </row>
    <row r="3823" spans="1:16" x14ac:dyDescent="0.25">
      <c r="A3823">
        <v>2025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  <c r="M3823" t="str">
        <f t="shared" si="236"/>
        <v>46-60</v>
      </c>
      <c r="N3823" t="str">
        <f t="shared" si="237"/>
        <v>Medium</v>
      </c>
      <c r="O3823" t="str">
        <f t="shared" si="238"/>
        <v>Zero Balance</v>
      </c>
      <c r="P3823" t="str">
        <f t="shared" si="239"/>
        <v>Mid-term</v>
      </c>
    </row>
    <row r="3824" spans="1:16" x14ac:dyDescent="0.25">
      <c r="A3824">
        <v>2025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  <c r="M3824" t="str">
        <f t="shared" si="236"/>
        <v>30-45</v>
      </c>
      <c r="N3824" t="str">
        <f t="shared" si="237"/>
        <v>High</v>
      </c>
      <c r="O3824" t="str">
        <f t="shared" si="238"/>
        <v>High Balance</v>
      </c>
      <c r="P3824" t="str">
        <f t="shared" si="239"/>
        <v>New</v>
      </c>
    </row>
    <row r="3825" spans="1:16" x14ac:dyDescent="0.25">
      <c r="A3825">
        <v>2025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  <c r="M3825" t="str">
        <f t="shared" si="236"/>
        <v>30-45</v>
      </c>
      <c r="N3825" t="str">
        <f t="shared" si="237"/>
        <v>Medium</v>
      </c>
      <c r="O3825" t="str">
        <f t="shared" si="238"/>
        <v>High Balance</v>
      </c>
      <c r="P3825" t="str">
        <f t="shared" si="239"/>
        <v>Long-term</v>
      </c>
    </row>
    <row r="3826" spans="1:16" x14ac:dyDescent="0.25">
      <c r="A3826">
        <v>2025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  <c r="M3826" t="str">
        <f t="shared" si="236"/>
        <v>30-45</v>
      </c>
      <c r="N3826" t="str">
        <f t="shared" si="237"/>
        <v>Medium</v>
      </c>
      <c r="O3826" t="str">
        <f t="shared" si="238"/>
        <v>High Balance</v>
      </c>
      <c r="P3826" t="str">
        <f t="shared" si="239"/>
        <v>New</v>
      </c>
    </row>
    <row r="3827" spans="1:16" x14ac:dyDescent="0.25">
      <c r="A3827">
        <v>2025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  <c r="M3827" t="str">
        <f t="shared" si="236"/>
        <v>30-45</v>
      </c>
      <c r="N3827" t="str">
        <f t="shared" si="237"/>
        <v>Medium</v>
      </c>
      <c r="O3827" t="str">
        <f t="shared" si="238"/>
        <v>Zero Balance</v>
      </c>
      <c r="P3827" t="str">
        <f t="shared" si="239"/>
        <v>Long-term</v>
      </c>
    </row>
    <row r="3828" spans="1:16" x14ac:dyDescent="0.25">
      <c r="A3828">
        <v>2025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  <c r="M3828" t="str">
        <f t="shared" si="236"/>
        <v>60+</v>
      </c>
      <c r="N3828" t="str">
        <f t="shared" si="237"/>
        <v>High</v>
      </c>
      <c r="O3828" t="str">
        <f t="shared" si="238"/>
        <v>High Balance</v>
      </c>
      <c r="P3828" t="str">
        <f t="shared" si="239"/>
        <v>Mid-term</v>
      </c>
    </row>
    <row r="3829" spans="1:16" x14ac:dyDescent="0.25">
      <c r="A3829">
        <v>2025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  <c r="M3829" t="str">
        <f t="shared" si="236"/>
        <v>46-60</v>
      </c>
      <c r="N3829" t="str">
        <f t="shared" si="237"/>
        <v>High</v>
      </c>
      <c r="O3829" t="str">
        <f t="shared" si="238"/>
        <v>High Balance</v>
      </c>
      <c r="P3829" t="str">
        <f t="shared" si="239"/>
        <v>New</v>
      </c>
    </row>
    <row r="3830" spans="1:16" x14ac:dyDescent="0.25">
      <c r="A3830">
        <v>2025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  <c r="M3830" t="str">
        <f t="shared" si="236"/>
        <v>46-60</v>
      </c>
      <c r="N3830" t="str">
        <f t="shared" si="237"/>
        <v>Low</v>
      </c>
      <c r="O3830" t="str">
        <f t="shared" si="238"/>
        <v>High Balance</v>
      </c>
      <c r="P3830" t="str">
        <f t="shared" si="239"/>
        <v>Mid-term</v>
      </c>
    </row>
    <row r="3831" spans="1:16" x14ac:dyDescent="0.25">
      <c r="A3831">
        <v>2025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  <c r="M3831" t="str">
        <f t="shared" si="236"/>
        <v>30-45</v>
      </c>
      <c r="N3831" t="str">
        <f t="shared" si="237"/>
        <v>Medium</v>
      </c>
      <c r="O3831" t="str">
        <f t="shared" si="238"/>
        <v>Low Balance</v>
      </c>
      <c r="P3831" t="str">
        <f t="shared" si="239"/>
        <v>New</v>
      </c>
    </row>
    <row r="3832" spans="1:16" x14ac:dyDescent="0.25">
      <c r="A3832">
        <v>2025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  <c r="M3832" t="str">
        <f t="shared" si="236"/>
        <v>&lt;30</v>
      </c>
      <c r="N3832" t="str">
        <f t="shared" si="237"/>
        <v>High</v>
      </c>
      <c r="O3832" t="str">
        <f t="shared" si="238"/>
        <v>Zero Balance</v>
      </c>
      <c r="P3832" t="str">
        <f t="shared" si="239"/>
        <v>Long-term</v>
      </c>
    </row>
    <row r="3833" spans="1:16" x14ac:dyDescent="0.25">
      <c r="A3833">
        <v>2025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  <c r="M3833" t="str">
        <f t="shared" si="236"/>
        <v>46-60</v>
      </c>
      <c r="N3833" t="str">
        <f t="shared" si="237"/>
        <v>High</v>
      </c>
      <c r="O3833" t="str">
        <f t="shared" si="238"/>
        <v>Zero Balance</v>
      </c>
      <c r="P3833" t="str">
        <f t="shared" si="239"/>
        <v>Mid-term</v>
      </c>
    </row>
    <row r="3834" spans="1:16" x14ac:dyDescent="0.25">
      <c r="A3834">
        <v>2025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  <c r="M3834" t="str">
        <f t="shared" si="236"/>
        <v>30-45</v>
      </c>
      <c r="N3834" t="str">
        <f t="shared" si="237"/>
        <v>Medium</v>
      </c>
      <c r="O3834" t="str">
        <f t="shared" si="238"/>
        <v>Zero Balance</v>
      </c>
      <c r="P3834" t="str">
        <f t="shared" si="239"/>
        <v>New</v>
      </c>
    </row>
    <row r="3835" spans="1:16" x14ac:dyDescent="0.25">
      <c r="A3835">
        <v>2025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  <c r="M3835" t="str">
        <f t="shared" si="236"/>
        <v>30-45</v>
      </c>
      <c r="N3835" t="str">
        <f t="shared" si="237"/>
        <v>Medium</v>
      </c>
      <c r="O3835" t="str">
        <f t="shared" si="238"/>
        <v>High Balance</v>
      </c>
      <c r="P3835" t="str">
        <f t="shared" si="239"/>
        <v>Mid-term</v>
      </c>
    </row>
    <row r="3836" spans="1:16" x14ac:dyDescent="0.25">
      <c r="A3836">
        <v>2025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  <c r="M3836" t="str">
        <f t="shared" si="236"/>
        <v>30-45</v>
      </c>
      <c r="N3836" t="str">
        <f t="shared" si="237"/>
        <v>High</v>
      </c>
      <c r="O3836" t="str">
        <f t="shared" si="238"/>
        <v>Low Balance</v>
      </c>
      <c r="P3836" t="str">
        <f t="shared" si="239"/>
        <v>Mid-term</v>
      </c>
    </row>
    <row r="3837" spans="1:16" x14ac:dyDescent="0.25">
      <c r="A3837">
        <v>2025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  <c r="M3837" t="str">
        <f t="shared" si="236"/>
        <v>30-45</v>
      </c>
      <c r="N3837" t="str">
        <f t="shared" si="237"/>
        <v>High</v>
      </c>
      <c r="O3837" t="str">
        <f t="shared" si="238"/>
        <v>Low Balance</v>
      </c>
      <c r="P3837" t="str">
        <f t="shared" si="239"/>
        <v>Mid-term</v>
      </c>
    </row>
    <row r="3838" spans="1:16" x14ac:dyDescent="0.25">
      <c r="A3838">
        <v>2025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  <c r="M3838" t="str">
        <f t="shared" si="236"/>
        <v>46-60</v>
      </c>
      <c r="N3838" t="str">
        <f t="shared" si="237"/>
        <v>Medium</v>
      </c>
      <c r="O3838" t="str">
        <f t="shared" si="238"/>
        <v>High Balance</v>
      </c>
      <c r="P3838" t="str">
        <f t="shared" si="239"/>
        <v>Mid-term</v>
      </c>
    </row>
    <row r="3839" spans="1:16" x14ac:dyDescent="0.25">
      <c r="A3839">
        <v>2025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  <c r="M3839" t="str">
        <f t="shared" si="236"/>
        <v>&lt;30</v>
      </c>
      <c r="N3839" t="str">
        <f t="shared" si="237"/>
        <v>Medium</v>
      </c>
      <c r="O3839" t="str">
        <f t="shared" si="238"/>
        <v>Zero Balance</v>
      </c>
      <c r="P3839" t="str">
        <f t="shared" si="239"/>
        <v>Mid-term</v>
      </c>
    </row>
    <row r="3840" spans="1:16" x14ac:dyDescent="0.25">
      <c r="A3840">
        <v>2025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  <c r="M3840" t="str">
        <f t="shared" si="236"/>
        <v>46-60</v>
      </c>
      <c r="N3840" t="str">
        <f t="shared" si="237"/>
        <v>Medium</v>
      </c>
      <c r="O3840" t="str">
        <f t="shared" si="238"/>
        <v>High Balance</v>
      </c>
      <c r="P3840" t="str">
        <f t="shared" si="239"/>
        <v>Mid-term</v>
      </c>
    </row>
    <row r="3841" spans="1:16" x14ac:dyDescent="0.25">
      <c r="A3841">
        <v>2025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  <c r="M3841" t="str">
        <f t="shared" si="236"/>
        <v>30-45</v>
      </c>
      <c r="N3841" t="str">
        <f t="shared" si="237"/>
        <v>Medium</v>
      </c>
      <c r="O3841" t="str">
        <f t="shared" si="238"/>
        <v>High Balance</v>
      </c>
      <c r="P3841" t="str">
        <f t="shared" si="239"/>
        <v>New</v>
      </c>
    </row>
    <row r="3842" spans="1:16" x14ac:dyDescent="0.25">
      <c r="A3842">
        <v>2025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  <c r="M3842" t="str">
        <f t="shared" si="236"/>
        <v>46-60</v>
      </c>
      <c r="N3842" t="str">
        <f t="shared" si="237"/>
        <v>High</v>
      </c>
      <c r="O3842" t="str">
        <f t="shared" si="238"/>
        <v>High Balance</v>
      </c>
      <c r="P3842" t="str">
        <f t="shared" si="239"/>
        <v>New</v>
      </c>
    </row>
    <row r="3843" spans="1:16" x14ac:dyDescent="0.25">
      <c r="A3843">
        <v>2025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  <c r="M3843" t="str">
        <f t="shared" ref="M3843:M3906" si="240">IF(E3843&lt;30,"&lt;30",IF(E3843&lt;=45,"30-45",IF(E3843&lt;=60,"46-60","60+")))</f>
        <v>46-60</v>
      </c>
      <c r="N3843" t="str">
        <f t="shared" ref="N3843:N3906" si="241">IF(B3843&lt;500,"Low",IF(B3843&lt;700,"Medium","High"))</f>
        <v>Medium</v>
      </c>
      <c r="O3843" t="str">
        <f t="shared" ref="O3843:O3906" si="242">IF(G3843=0,"Zero Balance",IF(G3843&lt;100000,"Low Balance","High Balance"))</f>
        <v>High Balance</v>
      </c>
      <c r="P3843" t="str">
        <f t="shared" ref="P3843:P3906" si="243">IF(F3843&lt;=3,"New",IF(F3843&lt;=7,"Mid-term","Long-term"))</f>
        <v>New</v>
      </c>
    </row>
    <row r="3844" spans="1:16" x14ac:dyDescent="0.25">
      <c r="A3844">
        <v>2025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  <c r="M3844" t="str">
        <f t="shared" si="240"/>
        <v>&lt;30</v>
      </c>
      <c r="N3844" t="str">
        <f t="shared" si="241"/>
        <v>High</v>
      </c>
      <c r="O3844" t="str">
        <f t="shared" si="242"/>
        <v>Zero Balance</v>
      </c>
      <c r="P3844" t="str">
        <f t="shared" si="243"/>
        <v>Long-term</v>
      </c>
    </row>
    <row r="3845" spans="1:16" x14ac:dyDescent="0.25">
      <c r="A3845">
        <v>2025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  <c r="M3845" t="str">
        <f t="shared" si="240"/>
        <v>30-45</v>
      </c>
      <c r="N3845" t="str">
        <f t="shared" si="241"/>
        <v>High</v>
      </c>
      <c r="O3845" t="str">
        <f t="shared" si="242"/>
        <v>Zero Balance</v>
      </c>
      <c r="P3845" t="str">
        <f t="shared" si="243"/>
        <v>New</v>
      </c>
    </row>
    <row r="3846" spans="1:16" x14ac:dyDescent="0.25">
      <c r="A3846">
        <v>2025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  <c r="M3846" t="str">
        <f t="shared" si="240"/>
        <v>30-45</v>
      </c>
      <c r="N3846" t="str">
        <f t="shared" si="241"/>
        <v>Medium</v>
      </c>
      <c r="O3846" t="str">
        <f t="shared" si="242"/>
        <v>High Balance</v>
      </c>
      <c r="P3846" t="str">
        <f t="shared" si="243"/>
        <v>Mid-term</v>
      </c>
    </row>
    <row r="3847" spans="1:16" x14ac:dyDescent="0.25">
      <c r="A3847">
        <v>2025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  <c r="M3847" t="str">
        <f t="shared" si="240"/>
        <v>30-45</v>
      </c>
      <c r="N3847" t="str">
        <f t="shared" si="241"/>
        <v>High</v>
      </c>
      <c r="O3847" t="str">
        <f t="shared" si="242"/>
        <v>High Balance</v>
      </c>
      <c r="P3847" t="str">
        <f t="shared" si="243"/>
        <v>Long-term</v>
      </c>
    </row>
    <row r="3848" spans="1:16" x14ac:dyDescent="0.25">
      <c r="A3848">
        <v>2025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  <c r="M3848" t="str">
        <f t="shared" si="240"/>
        <v>46-60</v>
      </c>
      <c r="N3848" t="str">
        <f t="shared" si="241"/>
        <v>Medium</v>
      </c>
      <c r="O3848" t="str">
        <f t="shared" si="242"/>
        <v>Zero Balance</v>
      </c>
      <c r="P3848" t="str">
        <f t="shared" si="243"/>
        <v>Mid-term</v>
      </c>
    </row>
    <row r="3849" spans="1:16" x14ac:dyDescent="0.25">
      <c r="A3849">
        <v>2025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  <c r="M3849" t="str">
        <f t="shared" si="240"/>
        <v>30-45</v>
      </c>
      <c r="N3849" t="str">
        <f t="shared" si="241"/>
        <v>Medium</v>
      </c>
      <c r="O3849" t="str">
        <f t="shared" si="242"/>
        <v>Zero Balance</v>
      </c>
      <c r="P3849" t="str">
        <f t="shared" si="243"/>
        <v>Mid-term</v>
      </c>
    </row>
    <row r="3850" spans="1:16" x14ac:dyDescent="0.25">
      <c r="A3850">
        <v>2025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  <c r="M3850" t="str">
        <f t="shared" si="240"/>
        <v>30-45</v>
      </c>
      <c r="N3850" t="str">
        <f t="shared" si="241"/>
        <v>Medium</v>
      </c>
      <c r="O3850" t="str">
        <f t="shared" si="242"/>
        <v>High Balance</v>
      </c>
      <c r="P3850" t="str">
        <f t="shared" si="243"/>
        <v>Mid-term</v>
      </c>
    </row>
    <row r="3851" spans="1:16" x14ac:dyDescent="0.25">
      <c r="A3851">
        <v>2025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  <c r="M3851" t="str">
        <f t="shared" si="240"/>
        <v>30-45</v>
      </c>
      <c r="N3851" t="str">
        <f t="shared" si="241"/>
        <v>Medium</v>
      </c>
      <c r="O3851" t="str">
        <f t="shared" si="242"/>
        <v>Zero Balance</v>
      </c>
      <c r="P3851" t="str">
        <f t="shared" si="243"/>
        <v>New</v>
      </c>
    </row>
    <row r="3852" spans="1:16" x14ac:dyDescent="0.25">
      <c r="A3852">
        <v>2025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  <c r="M3852" t="str">
        <f t="shared" si="240"/>
        <v>30-45</v>
      </c>
      <c r="N3852" t="str">
        <f t="shared" si="241"/>
        <v>Medium</v>
      </c>
      <c r="O3852" t="str">
        <f t="shared" si="242"/>
        <v>High Balance</v>
      </c>
      <c r="P3852" t="str">
        <f t="shared" si="243"/>
        <v>New</v>
      </c>
    </row>
    <row r="3853" spans="1:16" x14ac:dyDescent="0.25">
      <c r="A3853">
        <v>2025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  <c r="M3853" t="str">
        <f t="shared" si="240"/>
        <v>&lt;30</v>
      </c>
      <c r="N3853" t="str">
        <f t="shared" si="241"/>
        <v>Medium</v>
      </c>
      <c r="O3853" t="str">
        <f t="shared" si="242"/>
        <v>High Balance</v>
      </c>
      <c r="P3853" t="str">
        <f t="shared" si="243"/>
        <v>New</v>
      </c>
    </row>
    <row r="3854" spans="1:16" x14ac:dyDescent="0.25">
      <c r="A3854">
        <v>2025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  <c r="M3854" t="str">
        <f t="shared" si="240"/>
        <v>30-45</v>
      </c>
      <c r="N3854" t="str">
        <f t="shared" si="241"/>
        <v>High</v>
      </c>
      <c r="O3854" t="str">
        <f t="shared" si="242"/>
        <v>High Balance</v>
      </c>
      <c r="P3854" t="str">
        <f t="shared" si="243"/>
        <v>Long-term</v>
      </c>
    </row>
    <row r="3855" spans="1:16" x14ac:dyDescent="0.25">
      <c r="A3855">
        <v>2025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  <c r="M3855" t="str">
        <f t="shared" si="240"/>
        <v>30-45</v>
      </c>
      <c r="N3855" t="str">
        <f t="shared" si="241"/>
        <v>Medium</v>
      </c>
      <c r="O3855" t="str">
        <f t="shared" si="242"/>
        <v>Low Balance</v>
      </c>
      <c r="P3855" t="str">
        <f t="shared" si="243"/>
        <v>Long-term</v>
      </c>
    </row>
    <row r="3856" spans="1:16" x14ac:dyDescent="0.25">
      <c r="A3856">
        <v>2025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  <c r="M3856" t="str">
        <f t="shared" si="240"/>
        <v>30-45</v>
      </c>
      <c r="N3856" t="str">
        <f t="shared" si="241"/>
        <v>Medium</v>
      </c>
      <c r="O3856" t="str">
        <f t="shared" si="242"/>
        <v>High Balance</v>
      </c>
      <c r="P3856" t="str">
        <f t="shared" si="243"/>
        <v>Long-term</v>
      </c>
    </row>
    <row r="3857" spans="1:16" x14ac:dyDescent="0.25">
      <c r="A3857">
        <v>2025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  <c r="M3857" t="str">
        <f t="shared" si="240"/>
        <v>30-45</v>
      </c>
      <c r="N3857" t="str">
        <f t="shared" si="241"/>
        <v>High</v>
      </c>
      <c r="O3857" t="str">
        <f t="shared" si="242"/>
        <v>High Balance</v>
      </c>
      <c r="P3857" t="str">
        <f t="shared" si="243"/>
        <v>New</v>
      </c>
    </row>
    <row r="3858" spans="1:16" x14ac:dyDescent="0.25">
      <c r="A3858">
        <v>2025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  <c r="M3858" t="str">
        <f t="shared" si="240"/>
        <v>30-45</v>
      </c>
      <c r="N3858" t="str">
        <f t="shared" si="241"/>
        <v>Medium</v>
      </c>
      <c r="O3858" t="str">
        <f t="shared" si="242"/>
        <v>Low Balance</v>
      </c>
      <c r="P3858" t="str">
        <f t="shared" si="243"/>
        <v>New</v>
      </c>
    </row>
    <row r="3859" spans="1:16" x14ac:dyDescent="0.25">
      <c r="A3859">
        <v>2025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  <c r="M3859" t="str">
        <f t="shared" si="240"/>
        <v>30-45</v>
      </c>
      <c r="N3859" t="str">
        <f t="shared" si="241"/>
        <v>Medium</v>
      </c>
      <c r="O3859" t="str">
        <f t="shared" si="242"/>
        <v>High Balance</v>
      </c>
      <c r="P3859" t="str">
        <f t="shared" si="243"/>
        <v>Mid-term</v>
      </c>
    </row>
    <row r="3860" spans="1:16" x14ac:dyDescent="0.25">
      <c r="A3860">
        <v>2025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  <c r="M3860" t="str">
        <f t="shared" si="240"/>
        <v>30-45</v>
      </c>
      <c r="N3860" t="str">
        <f t="shared" si="241"/>
        <v>Medium</v>
      </c>
      <c r="O3860" t="str">
        <f t="shared" si="242"/>
        <v>Low Balance</v>
      </c>
      <c r="P3860" t="str">
        <f t="shared" si="243"/>
        <v>Long-term</v>
      </c>
    </row>
    <row r="3861" spans="1:16" x14ac:dyDescent="0.25">
      <c r="A3861">
        <v>2025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  <c r="M3861" t="str">
        <f t="shared" si="240"/>
        <v>30-45</v>
      </c>
      <c r="N3861" t="str">
        <f t="shared" si="241"/>
        <v>Medium</v>
      </c>
      <c r="O3861" t="str">
        <f t="shared" si="242"/>
        <v>Low Balance</v>
      </c>
      <c r="P3861" t="str">
        <f t="shared" si="243"/>
        <v>Mid-term</v>
      </c>
    </row>
    <row r="3862" spans="1:16" x14ac:dyDescent="0.25">
      <c r="A3862">
        <v>2025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  <c r="M3862" t="str">
        <f t="shared" si="240"/>
        <v>30-45</v>
      </c>
      <c r="N3862" t="str">
        <f t="shared" si="241"/>
        <v>High</v>
      </c>
      <c r="O3862" t="str">
        <f t="shared" si="242"/>
        <v>High Balance</v>
      </c>
      <c r="P3862" t="str">
        <f t="shared" si="243"/>
        <v>Mid-term</v>
      </c>
    </row>
    <row r="3863" spans="1:16" x14ac:dyDescent="0.25">
      <c r="A3863">
        <v>2025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  <c r="M3863" t="str">
        <f t="shared" si="240"/>
        <v>30-45</v>
      </c>
      <c r="N3863" t="str">
        <f t="shared" si="241"/>
        <v>High</v>
      </c>
      <c r="O3863" t="str">
        <f t="shared" si="242"/>
        <v>Zero Balance</v>
      </c>
      <c r="P3863" t="str">
        <f t="shared" si="243"/>
        <v>New</v>
      </c>
    </row>
    <row r="3864" spans="1:16" x14ac:dyDescent="0.25">
      <c r="A3864">
        <v>2025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  <c r="M3864" t="str">
        <f t="shared" si="240"/>
        <v>30-45</v>
      </c>
      <c r="N3864" t="str">
        <f t="shared" si="241"/>
        <v>Medium</v>
      </c>
      <c r="O3864" t="str">
        <f t="shared" si="242"/>
        <v>Zero Balance</v>
      </c>
      <c r="P3864" t="str">
        <f t="shared" si="243"/>
        <v>New</v>
      </c>
    </row>
    <row r="3865" spans="1:16" x14ac:dyDescent="0.25">
      <c r="A3865">
        <v>2025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  <c r="M3865" t="str">
        <f t="shared" si="240"/>
        <v>&lt;30</v>
      </c>
      <c r="N3865" t="str">
        <f t="shared" si="241"/>
        <v>Medium</v>
      </c>
      <c r="O3865" t="str">
        <f t="shared" si="242"/>
        <v>Zero Balance</v>
      </c>
      <c r="P3865" t="str">
        <f t="shared" si="243"/>
        <v>New</v>
      </c>
    </row>
    <row r="3866" spans="1:16" x14ac:dyDescent="0.25">
      <c r="A3866">
        <v>2025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  <c r="M3866" t="str">
        <f t="shared" si="240"/>
        <v>30-45</v>
      </c>
      <c r="N3866" t="str">
        <f t="shared" si="241"/>
        <v>Medium</v>
      </c>
      <c r="O3866" t="str">
        <f t="shared" si="242"/>
        <v>High Balance</v>
      </c>
      <c r="P3866" t="str">
        <f t="shared" si="243"/>
        <v>Mid-term</v>
      </c>
    </row>
    <row r="3867" spans="1:16" x14ac:dyDescent="0.25">
      <c r="A3867">
        <v>2025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  <c r="M3867" t="str">
        <f t="shared" si="240"/>
        <v>30-45</v>
      </c>
      <c r="N3867" t="str">
        <f t="shared" si="241"/>
        <v>Medium</v>
      </c>
      <c r="O3867" t="str">
        <f t="shared" si="242"/>
        <v>Zero Balance</v>
      </c>
      <c r="P3867" t="str">
        <f t="shared" si="243"/>
        <v>Mid-term</v>
      </c>
    </row>
    <row r="3868" spans="1:16" x14ac:dyDescent="0.25">
      <c r="A3868">
        <v>2025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  <c r="M3868" t="str">
        <f t="shared" si="240"/>
        <v>&lt;30</v>
      </c>
      <c r="N3868" t="str">
        <f t="shared" si="241"/>
        <v>Medium</v>
      </c>
      <c r="O3868" t="str">
        <f t="shared" si="242"/>
        <v>High Balance</v>
      </c>
      <c r="P3868" t="str">
        <f t="shared" si="243"/>
        <v>Mid-term</v>
      </c>
    </row>
    <row r="3869" spans="1:16" x14ac:dyDescent="0.25">
      <c r="A3869">
        <v>2025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  <c r="M3869" t="str">
        <f t="shared" si="240"/>
        <v>30-45</v>
      </c>
      <c r="N3869" t="str">
        <f t="shared" si="241"/>
        <v>Medium</v>
      </c>
      <c r="O3869" t="str">
        <f t="shared" si="242"/>
        <v>Zero Balance</v>
      </c>
      <c r="P3869" t="str">
        <f t="shared" si="243"/>
        <v>New</v>
      </c>
    </row>
    <row r="3870" spans="1:16" x14ac:dyDescent="0.25">
      <c r="A3870">
        <v>2025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  <c r="M3870" t="str">
        <f t="shared" si="240"/>
        <v>30-45</v>
      </c>
      <c r="N3870" t="str">
        <f t="shared" si="241"/>
        <v>High</v>
      </c>
      <c r="O3870" t="str">
        <f t="shared" si="242"/>
        <v>Zero Balance</v>
      </c>
      <c r="P3870" t="str">
        <f t="shared" si="243"/>
        <v>Mid-term</v>
      </c>
    </row>
    <row r="3871" spans="1:16" x14ac:dyDescent="0.25">
      <c r="A3871">
        <v>2025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  <c r="M3871" t="str">
        <f t="shared" si="240"/>
        <v>30-45</v>
      </c>
      <c r="N3871" t="str">
        <f t="shared" si="241"/>
        <v>Medium</v>
      </c>
      <c r="O3871" t="str">
        <f t="shared" si="242"/>
        <v>Zero Balance</v>
      </c>
      <c r="P3871" t="str">
        <f t="shared" si="243"/>
        <v>Mid-term</v>
      </c>
    </row>
    <row r="3872" spans="1:16" x14ac:dyDescent="0.25">
      <c r="A3872">
        <v>2025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  <c r="M3872" t="str">
        <f t="shared" si="240"/>
        <v>30-45</v>
      </c>
      <c r="N3872" t="str">
        <f t="shared" si="241"/>
        <v>Medium</v>
      </c>
      <c r="O3872" t="str">
        <f t="shared" si="242"/>
        <v>Zero Balance</v>
      </c>
      <c r="P3872" t="str">
        <f t="shared" si="243"/>
        <v>Long-term</v>
      </c>
    </row>
    <row r="3873" spans="1:16" x14ac:dyDescent="0.25">
      <c r="A3873">
        <v>2025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  <c r="M3873" t="str">
        <f t="shared" si="240"/>
        <v>&lt;30</v>
      </c>
      <c r="N3873" t="str">
        <f t="shared" si="241"/>
        <v>Medium</v>
      </c>
      <c r="O3873" t="str">
        <f t="shared" si="242"/>
        <v>High Balance</v>
      </c>
      <c r="P3873" t="str">
        <f t="shared" si="243"/>
        <v>Mid-term</v>
      </c>
    </row>
    <row r="3874" spans="1:16" x14ac:dyDescent="0.25">
      <c r="A3874">
        <v>2025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  <c r="M3874" t="str">
        <f t="shared" si="240"/>
        <v>30-45</v>
      </c>
      <c r="N3874" t="str">
        <f t="shared" si="241"/>
        <v>Medium</v>
      </c>
      <c r="O3874" t="str">
        <f t="shared" si="242"/>
        <v>High Balance</v>
      </c>
      <c r="P3874" t="str">
        <f t="shared" si="243"/>
        <v>Mid-term</v>
      </c>
    </row>
    <row r="3875" spans="1:16" x14ac:dyDescent="0.25">
      <c r="A3875">
        <v>2025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  <c r="M3875" t="str">
        <f t="shared" si="240"/>
        <v>30-45</v>
      </c>
      <c r="N3875" t="str">
        <f t="shared" si="241"/>
        <v>Medium</v>
      </c>
      <c r="O3875" t="str">
        <f t="shared" si="242"/>
        <v>Zero Balance</v>
      </c>
      <c r="P3875" t="str">
        <f t="shared" si="243"/>
        <v>Mid-term</v>
      </c>
    </row>
    <row r="3876" spans="1:16" x14ac:dyDescent="0.25">
      <c r="A3876">
        <v>2025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  <c r="M3876" t="str">
        <f t="shared" si="240"/>
        <v>&lt;30</v>
      </c>
      <c r="N3876" t="str">
        <f t="shared" si="241"/>
        <v>High</v>
      </c>
      <c r="O3876" t="str">
        <f t="shared" si="242"/>
        <v>High Balance</v>
      </c>
      <c r="P3876" t="str">
        <f t="shared" si="243"/>
        <v>Mid-term</v>
      </c>
    </row>
    <row r="3877" spans="1:16" x14ac:dyDescent="0.25">
      <c r="A3877">
        <v>2025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  <c r="M3877" t="str">
        <f t="shared" si="240"/>
        <v>30-45</v>
      </c>
      <c r="N3877" t="str">
        <f t="shared" si="241"/>
        <v>High</v>
      </c>
      <c r="O3877" t="str">
        <f t="shared" si="242"/>
        <v>High Balance</v>
      </c>
      <c r="P3877" t="str">
        <f t="shared" si="243"/>
        <v>Long-term</v>
      </c>
    </row>
    <row r="3878" spans="1:16" x14ac:dyDescent="0.25">
      <c r="A3878">
        <v>2025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  <c r="M3878" t="str">
        <f t="shared" si="240"/>
        <v>30-45</v>
      </c>
      <c r="N3878" t="str">
        <f t="shared" si="241"/>
        <v>Medium</v>
      </c>
      <c r="O3878" t="str">
        <f t="shared" si="242"/>
        <v>Low Balance</v>
      </c>
      <c r="P3878" t="str">
        <f t="shared" si="243"/>
        <v>New</v>
      </c>
    </row>
    <row r="3879" spans="1:16" x14ac:dyDescent="0.25">
      <c r="A3879">
        <v>2025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  <c r="M3879" t="str">
        <f t="shared" si="240"/>
        <v>30-45</v>
      </c>
      <c r="N3879" t="str">
        <f t="shared" si="241"/>
        <v>Medium</v>
      </c>
      <c r="O3879" t="str">
        <f t="shared" si="242"/>
        <v>Zero Balance</v>
      </c>
      <c r="P3879" t="str">
        <f t="shared" si="243"/>
        <v>Mid-term</v>
      </c>
    </row>
    <row r="3880" spans="1:16" x14ac:dyDescent="0.25">
      <c r="A3880">
        <v>2025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  <c r="M3880" t="str">
        <f t="shared" si="240"/>
        <v>30-45</v>
      </c>
      <c r="N3880" t="str">
        <f t="shared" si="241"/>
        <v>Medium</v>
      </c>
      <c r="O3880" t="str">
        <f t="shared" si="242"/>
        <v>High Balance</v>
      </c>
      <c r="P3880" t="str">
        <f t="shared" si="243"/>
        <v>Mid-term</v>
      </c>
    </row>
    <row r="3881" spans="1:16" x14ac:dyDescent="0.25">
      <c r="A3881">
        <v>2025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  <c r="M3881" t="str">
        <f t="shared" si="240"/>
        <v>30-45</v>
      </c>
      <c r="N3881" t="str">
        <f t="shared" si="241"/>
        <v>High</v>
      </c>
      <c r="O3881" t="str">
        <f t="shared" si="242"/>
        <v>High Balance</v>
      </c>
      <c r="P3881" t="str">
        <f t="shared" si="243"/>
        <v>Long-term</v>
      </c>
    </row>
    <row r="3882" spans="1:16" x14ac:dyDescent="0.25">
      <c r="A3882">
        <v>2025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  <c r="M3882" t="str">
        <f t="shared" si="240"/>
        <v>60+</v>
      </c>
      <c r="N3882" t="str">
        <f t="shared" si="241"/>
        <v>Medium</v>
      </c>
      <c r="O3882" t="str">
        <f t="shared" si="242"/>
        <v>Zero Balance</v>
      </c>
      <c r="P3882" t="str">
        <f t="shared" si="243"/>
        <v>Long-term</v>
      </c>
    </row>
    <row r="3883" spans="1:16" x14ac:dyDescent="0.25">
      <c r="A3883">
        <v>2025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  <c r="M3883" t="str">
        <f t="shared" si="240"/>
        <v>60+</v>
      </c>
      <c r="N3883" t="str">
        <f t="shared" si="241"/>
        <v>Medium</v>
      </c>
      <c r="O3883" t="str">
        <f t="shared" si="242"/>
        <v>Zero Balance</v>
      </c>
      <c r="P3883" t="str">
        <f t="shared" si="243"/>
        <v>New</v>
      </c>
    </row>
    <row r="3884" spans="1:16" x14ac:dyDescent="0.25">
      <c r="A3884">
        <v>2025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  <c r="M3884" t="str">
        <f t="shared" si="240"/>
        <v>&lt;30</v>
      </c>
      <c r="N3884" t="str">
        <f t="shared" si="241"/>
        <v>Low</v>
      </c>
      <c r="O3884" t="str">
        <f t="shared" si="242"/>
        <v>Zero Balance</v>
      </c>
      <c r="P3884" t="str">
        <f t="shared" si="243"/>
        <v>Mid-term</v>
      </c>
    </row>
    <row r="3885" spans="1:16" x14ac:dyDescent="0.25">
      <c r="A3885">
        <v>2025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  <c r="M3885" t="str">
        <f t="shared" si="240"/>
        <v>30-45</v>
      </c>
      <c r="N3885" t="str">
        <f t="shared" si="241"/>
        <v>Medium</v>
      </c>
      <c r="O3885" t="str">
        <f t="shared" si="242"/>
        <v>Low Balance</v>
      </c>
      <c r="P3885" t="str">
        <f t="shared" si="243"/>
        <v>New</v>
      </c>
    </row>
    <row r="3886" spans="1:16" x14ac:dyDescent="0.25">
      <c r="A3886">
        <v>2025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  <c r="M3886" t="str">
        <f t="shared" si="240"/>
        <v>30-45</v>
      </c>
      <c r="N3886" t="str">
        <f t="shared" si="241"/>
        <v>High</v>
      </c>
      <c r="O3886" t="str">
        <f t="shared" si="242"/>
        <v>Zero Balance</v>
      </c>
      <c r="P3886" t="str">
        <f t="shared" si="243"/>
        <v>Mid-term</v>
      </c>
    </row>
    <row r="3887" spans="1:16" x14ac:dyDescent="0.25">
      <c r="A3887">
        <v>2025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  <c r="M3887" t="str">
        <f t="shared" si="240"/>
        <v>46-60</v>
      </c>
      <c r="N3887" t="str">
        <f t="shared" si="241"/>
        <v>Medium</v>
      </c>
      <c r="O3887" t="str">
        <f t="shared" si="242"/>
        <v>High Balance</v>
      </c>
      <c r="P3887" t="str">
        <f t="shared" si="243"/>
        <v>Mid-term</v>
      </c>
    </row>
    <row r="3888" spans="1:16" x14ac:dyDescent="0.25">
      <c r="A3888">
        <v>2025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  <c r="M3888" t="str">
        <f t="shared" si="240"/>
        <v>30-45</v>
      </c>
      <c r="N3888" t="str">
        <f t="shared" si="241"/>
        <v>High</v>
      </c>
      <c r="O3888" t="str">
        <f t="shared" si="242"/>
        <v>High Balance</v>
      </c>
      <c r="P3888" t="str">
        <f t="shared" si="243"/>
        <v>Long-term</v>
      </c>
    </row>
    <row r="3889" spans="1:16" x14ac:dyDescent="0.25">
      <c r="A3889">
        <v>2025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  <c r="M3889" t="str">
        <f t="shared" si="240"/>
        <v>46-60</v>
      </c>
      <c r="N3889" t="str">
        <f t="shared" si="241"/>
        <v>Medium</v>
      </c>
      <c r="O3889" t="str">
        <f t="shared" si="242"/>
        <v>Zero Balance</v>
      </c>
      <c r="P3889" t="str">
        <f t="shared" si="243"/>
        <v>Mid-term</v>
      </c>
    </row>
    <row r="3890" spans="1:16" x14ac:dyDescent="0.25">
      <c r="A3890">
        <v>2025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  <c r="M3890" t="str">
        <f t="shared" si="240"/>
        <v>60+</v>
      </c>
      <c r="N3890" t="str">
        <f t="shared" si="241"/>
        <v>High</v>
      </c>
      <c r="O3890" t="str">
        <f t="shared" si="242"/>
        <v>Zero Balance</v>
      </c>
      <c r="P3890" t="str">
        <f t="shared" si="243"/>
        <v>New</v>
      </c>
    </row>
    <row r="3891" spans="1:16" x14ac:dyDescent="0.25">
      <c r="A3891">
        <v>2025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  <c r="M3891" t="str">
        <f t="shared" si="240"/>
        <v>30-45</v>
      </c>
      <c r="N3891" t="str">
        <f t="shared" si="241"/>
        <v>Low</v>
      </c>
      <c r="O3891" t="str">
        <f t="shared" si="242"/>
        <v>Zero Balance</v>
      </c>
      <c r="P3891" t="str">
        <f t="shared" si="243"/>
        <v>New</v>
      </c>
    </row>
    <row r="3892" spans="1:16" x14ac:dyDescent="0.25">
      <c r="A3892">
        <v>2025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  <c r="M3892" t="str">
        <f t="shared" si="240"/>
        <v>30-45</v>
      </c>
      <c r="N3892" t="str">
        <f t="shared" si="241"/>
        <v>Medium</v>
      </c>
      <c r="O3892" t="str">
        <f t="shared" si="242"/>
        <v>Low Balance</v>
      </c>
      <c r="P3892" t="str">
        <f t="shared" si="243"/>
        <v>Long-term</v>
      </c>
    </row>
    <row r="3893" spans="1:16" x14ac:dyDescent="0.25">
      <c r="A3893">
        <v>2025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  <c r="M3893" t="str">
        <f t="shared" si="240"/>
        <v>&lt;30</v>
      </c>
      <c r="N3893" t="str">
        <f t="shared" si="241"/>
        <v>High</v>
      </c>
      <c r="O3893" t="str">
        <f t="shared" si="242"/>
        <v>Low Balance</v>
      </c>
      <c r="P3893" t="str">
        <f t="shared" si="243"/>
        <v>Mid-term</v>
      </c>
    </row>
    <row r="3894" spans="1:16" x14ac:dyDescent="0.25">
      <c r="A3894">
        <v>2025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  <c r="M3894" t="str">
        <f t="shared" si="240"/>
        <v>30-45</v>
      </c>
      <c r="N3894" t="str">
        <f t="shared" si="241"/>
        <v>Medium</v>
      </c>
      <c r="O3894" t="str">
        <f t="shared" si="242"/>
        <v>High Balance</v>
      </c>
      <c r="P3894" t="str">
        <f t="shared" si="243"/>
        <v>Mid-term</v>
      </c>
    </row>
    <row r="3895" spans="1:16" x14ac:dyDescent="0.25">
      <c r="A3895">
        <v>2025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  <c r="M3895" t="str">
        <f t="shared" si="240"/>
        <v>30-45</v>
      </c>
      <c r="N3895" t="str">
        <f t="shared" si="241"/>
        <v>Medium</v>
      </c>
      <c r="O3895" t="str">
        <f t="shared" si="242"/>
        <v>Zero Balance</v>
      </c>
      <c r="P3895" t="str">
        <f t="shared" si="243"/>
        <v>Mid-term</v>
      </c>
    </row>
    <row r="3896" spans="1:16" x14ac:dyDescent="0.25">
      <c r="A3896">
        <v>2025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  <c r="M3896" t="str">
        <f t="shared" si="240"/>
        <v>30-45</v>
      </c>
      <c r="N3896" t="str">
        <f t="shared" si="241"/>
        <v>Medium</v>
      </c>
      <c r="O3896" t="str">
        <f t="shared" si="242"/>
        <v>High Balance</v>
      </c>
      <c r="P3896" t="str">
        <f t="shared" si="243"/>
        <v>New</v>
      </c>
    </row>
    <row r="3897" spans="1:16" x14ac:dyDescent="0.25">
      <c r="A3897">
        <v>2025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  <c r="M3897" t="str">
        <f t="shared" si="240"/>
        <v>&lt;30</v>
      </c>
      <c r="N3897" t="str">
        <f t="shared" si="241"/>
        <v>Medium</v>
      </c>
      <c r="O3897" t="str">
        <f t="shared" si="242"/>
        <v>High Balance</v>
      </c>
      <c r="P3897" t="str">
        <f t="shared" si="243"/>
        <v>New</v>
      </c>
    </row>
    <row r="3898" spans="1:16" x14ac:dyDescent="0.25">
      <c r="A3898">
        <v>2025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  <c r="M3898" t="str">
        <f t="shared" si="240"/>
        <v>&lt;30</v>
      </c>
      <c r="N3898" t="str">
        <f t="shared" si="241"/>
        <v>High</v>
      </c>
      <c r="O3898" t="str">
        <f t="shared" si="242"/>
        <v>Zero Balance</v>
      </c>
      <c r="P3898" t="str">
        <f t="shared" si="243"/>
        <v>Long-term</v>
      </c>
    </row>
    <row r="3899" spans="1:16" x14ac:dyDescent="0.25">
      <c r="A3899">
        <v>2025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  <c r="M3899" t="str">
        <f t="shared" si="240"/>
        <v>30-45</v>
      </c>
      <c r="N3899" t="str">
        <f t="shared" si="241"/>
        <v>Medium</v>
      </c>
      <c r="O3899" t="str">
        <f t="shared" si="242"/>
        <v>Low Balance</v>
      </c>
      <c r="P3899" t="str">
        <f t="shared" si="243"/>
        <v>Mid-term</v>
      </c>
    </row>
    <row r="3900" spans="1:16" x14ac:dyDescent="0.25">
      <c r="A3900">
        <v>2025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  <c r="M3900" t="str">
        <f t="shared" si="240"/>
        <v>46-60</v>
      </c>
      <c r="N3900" t="str">
        <f t="shared" si="241"/>
        <v>Medium</v>
      </c>
      <c r="O3900" t="str">
        <f t="shared" si="242"/>
        <v>High Balance</v>
      </c>
      <c r="P3900" t="str">
        <f t="shared" si="243"/>
        <v>New</v>
      </c>
    </row>
    <row r="3901" spans="1:16" x14ac:dyDescent="0.25">
      <c r="A3901">
        <v>2025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  <c r="M3901" t="str">
        <f t="shared" si="240"/>
        <v>30-45</v>
      </c>
      <c r="N3901" t="str">
        <f t="shared" si="241"/>
        <v>High</v>
      </c>
      <c r="O3901" t="str">
        <f t="shared" si="242"/>
        <v>High Balance</v>
      </c>
      <c r="P3901" t="str">
        <f t="shared" si="243"/>
        <v>New</v>
      </c>
    </row>
    <row r="3902" spans="1:16" x14ac:dyDescent="0.25">
      <c r="A3902">
        <v>2025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  <c r="M3902" t="str">
        <f t="shared" si="240"/>
        <v>30-45</v>
      </c>
      <c r="N3902" t="str">
        <f t="shared" si="241"/>
        <v>High</v>
      </c>
      <c r="O3902" t="str">
        <f t="shared" si="242"/>
        <v>Low Balance</v>
      </c>
      <c r="P3902" t="str">
        <f t="shared" si="243"/>
        <v>Long-term</v>
      </c>
    </row>
    <row r="3903" spans="1:16" x14ac:dyDescent="0.25">
      <c r="A3903">
        <v>2025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  <c r="M3903" t="str">
        <f t="shared" si="240"/>
        <v>30-45</v>
      </c>
      <c r="N3903" t="str">
        <f t="shared" si="241"/>
        <v>Medium</v>
      </c>
      <c r="O3903" t="str">
        <f t="shared" si="242"/>
        <v>Zero Balance</v>
      </c>
      <c r="P3903" t="str">
        <f t="shared" si="243"/>
        <v>New</v>
      </c>
    </row>
    <row r="3904" spans="1:16" x14ac:dyDescent="0.25">
      <c r="A3904">
        <v>2025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  <c r="M3904" t="str">
        <f t="shared" si="240"/>
        <v>30-45</v>
      </c>
      <c r="N3904" t="str">
        <f t="shared" si="241"/>
        <v>Medium</v>
      </c>
      <c r="O3904" t="str">
        <f t="shared" si="242"/>
        <v>Low Balance</v>
      </c>
      <c r="P3904" t="str">
        <f t="shared" si="243"/>
        <v>New</v>
      </c>
    </row>
    <row r="3905" spans="1:16" x14ac:dyDescent="0.25">
      <c r="A3905">
        <v>2025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  <c r="M3905" t="str">
        <f t="shared" si="240"/>
        <v>30-45</v>
      </c>
      <c r="N3905" t="str">
        <f t="shared" si="241"/>
        <v>Medium</v>
      </c>
      <c r="O3905" t="str">
        <f t="shared" si="242"/>
        <v>High Balance</v>
      </c>
      <c r="P3905" t="str">
        <f t="shared" si="243"/>
        <v>Long-term</v>
      </c>
    </row>
    <row r="3906" spans="1:16" x14ac:dyDescent="0.25">
      <c r="A3906">
        <v>2025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  <c r="M3906" t="str">
        <f t="shared" si="240"/>
        <v>46-60</v>
      </c>
      <c r="N3906" t="str">
        <f t="shared" si="241"/>
        <v>Medium</v>
      </c>
      <c r="O3906" t="str">
        <f t="shared" si="242"/>
        <v>High Balance</v>
      </c>
      <c r="P3906" t="str">
        <f t="shared" si="243"/>
        <v>Long-term</v>
      </c>
    </row>
    <row r="3907" spans="1:16" x14ac:dyDescent="0.25">
      <c r="A3907">
        <v>2025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  <c r="M3907" t="str">
        <f t="shared" ref="M3907:M3970" si="244">IF(E3907&lt;30,"&lt;30",IF(E3907&lt;=45,"30-45",IF(E3907&lt;=60,"46-60","60+")))</f>
        <v>&lt;30</v>
      </c>
      <c r="N3907" t="str">
        <f t="shared" ref="N3907:N3970" si="245">IF(B3907&lt;500,"Low",IF(B3907&lt;700,"Medium","High"))</f>
        <v>Low</v>
      </c>
      <c r="O3907" t="str">
        <f t="shared" ref="O3907:O3970" si="246">IF(G3907=0,"Zero Balance",IF(G3907&lt;100000,"Low Balance","High Balance"))</f>
        <v>Zero Balance</v>
      </c>
      <c r="P3907" t="str">
        <f t="shared" ref="P3907:P3970" si="247">IF(F3907&lt;=3,"New",IF(F3907&lt;=7,"Mid-term","Long-term"))</f>
        <v>Mid-term</v>
      </c>
    </row>
    <row r="3908" spans="1:16" x14ac:dyDescent="0.25">
      <c r="A3908">
        <v>2025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  <c r="M3908" t="str">
        <f t="shared" si="244"/>
        <v>30-45</v>
      </c>
      <c r="N3908" t="str">
        <f t="shared" si="245"/>
        <v>Medium</v>
      </c>
      <c r="O3908" t="str">
        <f t="shared" si="246"/>
        <v>Low Balance</v>
      </c>
      <c r="P3908" t="str">
        <f t="shared" si="247"/>
        <v>Long-term</v>
      </c>
    </row>
    <row r="3909" spans="1:16" x14ac:dyDescent="0.25">
      <c r="A3909">
        <v>2025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  <c r="M3909" t="str">
        <f t="shared" si="244"/>
        <v>46-60</v>
      </c>
      <c r="N3909" t="str">
        <f t="shared" si="245"/>
        <v>Medium</v>
      </c>
      <c r="O3909" t="str">
        <f t="shared" si="246"/>
        <v>Low Balance</v>
      </c>
      <c r="P3909" t="str">
        <f t="shared" si="247"/>
        <v>Mid-term</v>
      </c>
    </row>
    <row r="3910" spans="1:16" x14ac:dyDescent="0.25">
      <c r="A3910">
        <v>2025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  <c r="M3910" t="str">
        <f t="shared" si="244"/>
        <v>30-45</v>
      </c>
      <c r="N3910" t="str">
        <f t="shared" si="245"/>
        <v>Medium</v>
      </c>
      <c r="O3910" t="str">
        <f t="shared" si="246"/>
        <v>Zero Balance</v>
      </c>
      <c r="P3910" t="str">
        <f t="shared" si="247"/>
        <v>New</v>
      </c>
    </row>
    <row r="3911" spans="1:16" x14ac:dyDescent="0.25">
      <c r="A3911">
        <v>2025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  <c r="M3911" t="str">
        <f t="shared" si="244"/>
        <v>60+</v>
      </c>
      <c r="N3911" t="str">
        <f t="shared" si="245"/>
        <v>Low</v>
      </c>
      <c r="O3911" t="str">
        <f t="shared" si="246"/>
        <v>High Balance</v>
      </c>
      <c r="P3911" t="str">
        <f t="shared" si="247"/>
        <v>Mid-term</v>
      </c>
    </row>
    <row r="3912" spans="1:16" x14ac:dyDescent="0.25">
      <c r="A3912">
        <v>2025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  <c r="M3912" t="str">
        <f t="shared" si="244"/>
        <v>60+</v>
      </c>
      <c r="N3912" t="str">
        <f t="shared" si="245"/>
        <v>Medium</v>
      </c>
      <c r="O3912" t="str">
        <f t="shared" si="246"/>
        <v>Low Balance</v>
      </c>
      <c r="P3912" t="str">
        <f t="shared" si="247"/>
        <v>New</v>
      </c>
    </row>
    <row r="3913" spans="1:16" x14ac:dyDescent="0.25">
      <c r="A3913">
        <v>2025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  <c r="M3913" t="str">
        <f t="shared" si="244"/>
        <v>30-45</v>
      </c>
      <c r="N3913" t="str">
        <f t="shared" si="245"/>
        <v>High</v>
      </c>
      <c r="O3913" t="str">
        <f t="shared" si="246"/>
        <v>Zero Balance</v>
      </c>
      <c r="P3913" t="str">
        <f t="shared" si="247"/>
        <v>Mid-term</v>
      </c>
    </row>
    <row r="3914" spans="1:16" x14ac:dyDescent="0.25">
      <c r="A3914">
        <v>2025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  <c r="M3914" t="str">
        <f t="shared" si="244"/>
        <v>46-60</v>
      </c>
      <c r="N3914" t="str">
        <f t="shared" si="245"/>
        <v>Medium</v>
      </c>
      <c r="O3914" t="str">
        <f t="shared" si="246"/>
        <v>Low Balance</v>
      </c>
      <c r="P3914" t="str">
        <f t="shared" si="247"/>
        <v>New</v>
      </c>
    </row>
    <row r="3915" spans="1:16" x14ac:dyDescent="0.25">
      <c r="A3915">
        <v>2025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  <c r="M3915" t="str">
        <f t="shared" si="244"/>
        <v>46-60</v>
      </c>
      <c r="N3915" t="str">
        <f t="shared" si="245"/>
        <v>Medium</v>
      </c>
      <c r="O3915" t="str">
        <f t="shared" si="246"/>
        <v>High Balance</v>
      </c>
      <c r="P3915" t="str">
        <f t="shared" si="247"/>
        <v>Mid-term</v>
      </c>
    </row>
    <row r="3916" spans="1:16" x14ac:dyDescent="0.25">
      <c r="A3916">
        <v>2025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  <c r="M3916" t="str">
        <f t="shared" si="244"/>
        <v>30-45</v>
      </c>
      <c r="N3916" t="str">
        <f t="shared" si="245"/>
        <v>Medium</v>
      </c>
      <c r="O3916" t="str">
        <f t="shared" si="246"/>
        <v>High Balance</v>
      </c>
      <c r="P3916" t="str">
        <f t="shared" si="247"/>
        <v>New</v>
      </c>
    </row>
    <row r="3917" spans="1:16" x14ac:dyDescent="0.25">
      <c r="A3917">
        <v>2025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  <c r="M3917" t="str">
        <f t="shared" si="244"/>
        <v>30-45</v>
      </c>
      <c r="N3917" t="str">
        <f t="shared" si="245"/>
        <v>Medium</v>
      </c>
      <c r="O3917" t="str">
        <f t="shared" si="246"/>
        <v>High Balance</v>
      </c>
      <c r="P3917" t="str">
        <f t="shared" si="247"/>
        <v>New</v>
      </c>
    </row>
    <row r="3918" spans="1:16" x14ac:dyDescent="0.25">
      <c r="A3918">
        <v>2025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  <c r="M3918" t="str">
        <f t="shared" si="244"/>
        <v>30-45</v>
      </c>
      <c r="N3918" t="str">
        <f t="shared" si="245"/>
        <v>Medium</v>
      </c>
      <c r="O3918" t="str">
        <f t="shared" si="246"/>
        <v>Zero Balance</v>
      </c>
      <c r="P3918" t="str">
        <f t="shared" si="247"/>
        <v>Mid-term</v>
      </c>
    </row>
    <row r="3919" spans="1:16" x14ac:dyDescent="0.25">
      <c r="A3919">
        <v>2025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  <c r="M3919" t="str">
        <f t="shared" si="244"/>
        <v>46-60</v>
      </c>
      <c r="N3919" t="str">
        <f t="shared" si="245"/>
        <v>Medium</v>
      </c>
      <c r="O3919" t="str">
        <f t="shared" si="246"/>
        <v>Low Balance</v>
      </c>
      <c r="P3919" t="str">
        <f t="shared" si="247"/>
        <v>Mid-term</v>
      </c>
    </row>
    <row r="3920" spans="1:16" x14ac:dyDescent="0.25">
      <c r="A3920">
        <v>2025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  <c r="M3920" t="str">
        <f t="shared" si="244"/>
        <v>&lt;30</v>
      </c>
      <c r="N3920" t="str">
        <f t="shared" si="245"/>
        <v>High</v>
      </c>
      <c r="O3920" t="str">
        <f t="shared" si="246"/>
        <v>Zero Balance</v>
      </c>
      <c r="P3920" t="str">
        <f t="shared" si="247"/>
        <v>New</v>
      </c>
    </row>
    <row r="3921" spans="1:16" x14ac:dyDescent="0.25">
      <c r="A3921">
        <v>2025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  <c r="M3921" t="str">
        <f t="shared" si="244"/>
        <v>30-45</v>
      </c>
      <c r="N3921" t="str">
        <f t="shared" si="245"/>
        <v>High</v>
      </c>
      <c r="O3921" t="str">
        <f t="shared" si="246"/>
        <v>Zero Balance</v>
      </c>
      <c r="P3921" t="str">
        <f t="shared" si="247"/>
        <v>Mid-term</v>
      </c>
    </row>
    <row r="3922" spans="1:16" x14ac:dyDescent="0.25">
      <c r="A3922">
        <v>2025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  <c r="M3922" t="str">
        <f t="shared" si="244"/>
        <v>30-45</v>
      </c>
      <c r="N3922" t="str">
        <f t="shared" si="245"/>
        <v>Medium</v>
      </c>
      <c r="O3922" t="str">
        <f t="shared" si="246"/>
        <v>High Balance</v>
      </c>
      <c r="P3922" t="str">
        <f t="shared" si="247"/>
        <v>New</v>
      </c>
    </row>
    <row r="3923" spans="1:16" x14ac:dyDescent="0.25">
      <c r="A3923">
        <v>2025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  <c r="M3923" t="str">
        <f t="shared" si="244"/>
        <v>46-60</v>
      </c>
      <c r="N3923" t="str">
        <f t="shared" si="245"/>
        <v>Medium</v>
      </c>
      <c r="O3923" t="str">
        <f t="shared" si="246"/>
        <v>Zero Balance</v>
      </c>
      <c r="P3923" t="str">
        <f t="shared" si="247"/>
        <v>New</v>
      </c>
    </row>
    <row r="3924" spans="1:16" x14ac:dyDescent="0.25">
      <c r="A3924">
        <v>2025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  <c r="M3924" t="str">
        <f t="shared" si="244"/>
        <v>30-45</v>
      </c>
      <c r="N3924" t="str">
        <f t="shared" si="245"/>
        <v>Medium</v>
      </c>
      <c r="O3924" t="str">
        <f t="shared" si="246"/>
        <v>High Balance</v>
      </c>
      <c r="P3924" t="str">
        <f t="shared" si="247"/>
        <v>New</v>
      </c>
    </row>
    <row r="3925" spans="1:16" x14ac:dyDescent="0.25">
      <c r="A3925">
        <v>2025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  <c r="M3925" t="str">
        <f t="shared" si="244"/>
        <v>30-45</v>
      </c>
      <c r="N3925" t="str">
        <f t="shared" si="245"/>
        <v>High</v>
      </c>
      <c r="O3925" t="str">
        <f t="shared" si="246"/>
        <v>Zero Balance</v>
      </c>
      <c r="P3925" t="str">
        <f t="shared" si="247"/>
        <v>Mid-term</v>
      </c>
    </row>
    <row r="3926" spans="1:16" x14ac:dyDescent="0.25">
      <c r="A3926">
        <v>2025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  <c r="M3926" t="str">
        <f t="shared" si="244"/>
        <v>30-45</v>
      </c>
      <c r="N3926" t="str">
        <f t="shared" si="245"/>
        <v>Medium</v>
      </c>
      <c r="O3926" t="str">
        <f t="shared" si="246"/>
        <v>Zero Balance</v>
      </c>
      <c r="P3926" t="str">
        <f t="shared" si="247"/>
        <v>New</v>
      </c>
    </row>
    <row r="3927" spans="1:16" x14ac:dyDescent="0.25">
      <c r="A3927">
        <v>2025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  <c r="M3927" t="str">
        <f t="shared" si="244"/>
        <v>30-45</v>
      </c>
      <c r="N3927" t="str">
        <f t="shared" si="245"/>
        <v>Medium</v>
      </c>
      <c r="O3927" t="str">
        <f t="shared" si="246"/>
        <v>Zero Balance</v>
      </c>
      <c r="P3927" t="str">
        <f t="shared" si="247"/>
        <v>Mid-term</v>
      </c>
    </row>
    <row r="3928" spans="1:16" x14ac:dyDescent="0.25">
      <c r="A3928">
        <v>2025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  <c r="M3928" t="str">
        <f t="shared" si="244"/>
        <v>&lt;30</v>
      </c>
      <c r="N3928" t="str">
        <f t="shared" si="245"/>
        <v>High</v>
      </c>
      <c r="O3928" t="str">
        <f t="shared" si="246"/>
        <v>Low Balance</v>
      </c>
      <c r="P3928" t="str">
        <f t="shared" si="247"/>
        <v>Mid-term</v>
      </c>
    </row>
    <row r="3929" spans="1:16" x14ac:dyDescent="0.25">
      <c r="A3929">
        <v>2025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  <c r="M3929" t="str">
        <f t="shared" si="244"/>
        <v>60+</v>
      </c>
      <c r="N3929" t="str">
        <f t="shared" si="245"/>
        <v>Medium</v>
      </c>
      <c r="O3929" t="str">
        <f t="shared" si="246"/>
        <v>Zero Balance</v>
      </c>
      <c r="P3929" t="str">
        <f t="shared" si="247"/>
        <v>New</v>
      </c>
    </row>
    <row r="3930" spans="1:16" x14ac:dyDescent="0.25">
      <c r="A3930">
        <v>2025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  <c r="M3930" t="str">
        <f t="shared" si="244"/>
        <v>&lt;30</v>
      </c>
      <c r="N3930" t="str">
        <f t="shared" si="245"/>
        <v>Medium</v>
      </c>
      <c r="O3930" t="str">
        <f t="shared" si="246"/>
        <v>Low Balance</v>
      </c>
      <c r="P3930" t="str">
        <f t="shared" si="247"/>
        <v>Mid-term</v>
      </c>
    </row>
    <row r="3931" spans="1:16" x14ac:dyDescent="0.25">
      <c r="A3931">
        <v>2025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  <c r="M3931" t="str">
        <f t="shared" si="244"/>
        <v>30-45</v>
      </c>
      <c r="N3931" t="str">
        <f t="shared" si="245"/>
        <v>Medium</v>
      </c>
      <c r="O3931" t="str">
        <f t="shared" si="246"/>
        <v>High Balance</v>
      </c>
      <c r="P3931" t="str">
        <f t="shared" si="247"/>
        <v>Mid-term</v>
      </c>
    </row>
    <row r="3932" spans="1:16" x14ac:dyDescent="0.25">
      <c r="A3932">
        <v>2025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  <c r="M3932" t="str">
        <f t="shared" si="244"/>
        <v>46-60</v>
      </c>
      <c r="N3932" t="str">
        <f t="shared" si="245"/>
        <v>Medium</v>
      </c>
      <c r="O3932" t="str">
        <f t="shared" si="246"/>
        <v>High Balance</v>
      </c>
      <c r="P3932" t="str">
        <f t="shared" si="247"/>
        <v>Long-term</v>
      </c>
    </row>
    <row r="3933" spans="1:16" x14ac:dyDescent="0.25">
      <c r="A3933">
        <v>2025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  <c r="M3933" t="str">
        <f t="shared" si="244"/>
        <v>30-45</v>
      </c>
      <c r="N3933" t="str">
        <f t="shared" si="245"/>
        <v>High</v>
      </c>
      <c r="O3933" t="str">
        <f t="shared" si="246"/>
        <v>High Balance</v>
      </c>
      <c r="P3933" t="str">
        <f t="shared" si="247"/>
        <v>Long-term</v>
      </c>
    </row>
    <row r="3934" spans="1:16" x14ac:dyDescent="0.25">
      <c r="A3934">
        <v>2025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  <c r="M3934" t="str">
        <f t="shared" si="244"/>
        <v>&lt;30</v>
      </c>
      <c r="N3934" t="str">
        <f t="shared" si="245"/>
        <v>Medium</v>
      </c>
      <c r="O3934" t="str">
        <f t="shared" si="246"/>
        <v>High Balance</v>
      </c>
      <c r="P3934" t="str">
        <f t="shared" si="247"/>
        <v>Mid-term</v>
      </c>
    </row>
    <row r="3935" spans="1:16" x14ac:dyDescent="0.25">
      <c r="A3935">
        <v>2025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  <c r="M3935" t="str">
        <f t="shared" si="244"/>
        <v>30-45</v>
      </c>
      <c r="N3935" t="str">
        <f t="shared" si="245"/>
        <v>Medium</v>
      </c>
      <c r="O3935" t="str">
        <f t="shared" si="246"/>
        <v>Low Balance</v>
      </c>
      <c r="P3935" t="str">
        <f t="shared" si="247"/>
        <v>Mid-term</v>
      </c>
    </row>
    <row r="3936" spans="1:16" x14ac:dyDescent="0.25">
      <c r="A3936">
        <v>2025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  <c r="M3936" t="str">
        <f t="shared" si="244"/>
        <v>46-60</v>
      </c>
      <c r="N3936" t="str">
        <f t="shared" si="245"/>
        <v>Medium</v>
      </c>
      <c r="O3936" t="str">
        <f t="shared" si="246"/>
        <v>Zero Balance</v>
      </c>
      <c r="P3936" t="str">
        <f t="shared" si="247"/>
        <v>New</v>
      </c>
    </row>
    <row r="3937" spans="1:16" x14ac:dyDescent="0.25">
      <c r="A3937">
        <v>2025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  <c r="M3937" t="str">
        <f t="shared" si="244"/>
        <v>30-45</v>
      </c>
      <c r="N3937" t="str">
        <f t="shared" si="245"/>
        <v>High</v>
      </c>
      <c r="O3937" t="str">
        <f t="shared" si="246"/>
        <v>High Balance</v>
      </c>
      <c r="P3937" t="str">
        <f t="shared" si="247"/>
        <v>New</v>
      </c>
    </row>
    <row r="3938" spans="1:16" x14ac:dyDescent="0.25">
      <c r="A3938">
        <v>2025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  <c r="M3938" t="str">
        <f t="shared" si="244"/>
        <v>30-45</v>
      </c>
      <c r="N3938" t="str">
        <f t="shared" si="245"/>
        <v>High</v>
      </c>
      <c r="O3938" t="str">
        <f t="shared" si="246"/>
        <v>High Balance</v>
      </c>
      <c r="P3938" t="str">
        <f t="shared" si="247"/>
        <v>Mid-term</v>
      </c>
    </row>
    <row r="3939" spans="1:16" x14ac:dyDescent="0.25">
      <c r="A3939">
        <v>2025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  <c r="M3939" t="str">
        <f t="shared" si="244"/>
        <v>&lt;30</v>
      </c>
      <c r="N3939" t="str">
        <f t="shared" si="245"/>
        <v>High</v>
      </c>
      <c r="O3939" t="str">
        <f t="shared" si="246"/>
        <v>Zero Balance</v>
      </c>
      <c r="P3939" t="str">
        <f t="shared" si="247"/>
        <v>New</v>
      </c>
    </row>
    <row r="3940" spans="1:16" x14ac:dyDescent="0.25">
      <c r="A3940">
        <v>2025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  <c r="M3940" t="str">
        <f t="shared" si="244"/>
        <v>30-45</v>
      </c>
      <c r="N3940" t="str">
        <f t="shared" si="245"/>
        <v>Low</v>
      </c>
      <c r="O3940" t="str">
        <f t="shared" si="246"/>
        <v>High Balance</v>
      </c>
      <c r="P3940" t="str">
        <f t="shared" si="247"/>
        <v>New</v>
      </c>
    </row>
    <row r="3941" spans="1:16" x14ac:dyDescent="0.25">
      <c r="A3941">
        <v>2025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  <c r="M3941" t="str">
        <f t="shared" si="244"/>
        <v>&lt;30</v>
      </c>
      <c r="N3941" t="str">
        <f t="shared" si="245"/>
        <v>High</v>
      </c>
      <c r="O3941" t="str">
        <f t="shared" si="246"/>
        <v>Low Balance</v>
      </c>
      <c r="P3941" t="str">
        <f t="shared" si="247"/>
        <v>Long-term</v>
      </c>
    </row>
    <row r="3942" spans="1:16" x14ac:dyDescent="0.25">
      <c r="A3942">
        <v>2025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  <c r="M3942" t="str">
        <f t="shared" si="244"/>
        <v>60+</v>
      </c>
      <c r="N3942" t="str">
        <f t="shared" si="245"/>
        <v>High</v>
      </c>
      <c r="O3942" t="str">
        <f t="shared" si="246"/>
        <v>High Balance</v>
      </c>
      <c r="P3942" t="str">
        <f t="shared" si="247"/>
        <v>Mid-term</v>
      </c>
    </row>
    <row r="3943" spans="1:16" x14ac:dyDescent="0.25">
      <c r="A3943">
        <v>2025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  <c r="M3943" t="str">
        <f t="shared" si="244"/>
        <v>30-45</v>
      </c>
      <c r="N3943" t="str">
        <f t="shared" si="245"/>
        <v>Medium</v>
      </c>
      <c r="O3943" t="str">
        <f t="shared" si="246"/>
        <v>High Balance</v>
      </c>
      <c r="P3943" t="str">
        <f t="shared" si="247"/>
        <v>Long-term</v>
      </c>
    </row>
    <row r="3944" spans="1:16" x14ac:dyDescent="0.25">
      <c r="A3944">
        <v>2025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  <c r="M3944" t="str">
        <f t="shared" si="244"/>
        <v>&lt;30</v>
      </c>
      <c r="N3944" t="str">
        <f t="shared" si="245"/>
        <v>Medium</v>
      </c>
      <c r="O3944" t="str">
        <f t="shared" si="246"/>
        <v>Zero Balance</v>
      </c>
      <c r="P3944" t="str">
        <f t="shared" si="247"/>
        <v>Mid-term</v>
      </c>
    </row>
    <row r="3945" spans="1:16" x14ac:dyDescent="0.25">
      <c r="A3945">
        <v>2025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  <c r="M3945" t="str">
        <f t="shared" si="244"/>
        <v>46-60</v>
      </c>
      <c r="N3945" t="str">
        <f t="shared" si="245"/>
        <v>Medium</v>
      </c>
      <c r="O3945" t="str">
        <f t="shared" si="246"/>
        <v>Zero Balance</v>
      </c>
      <c r="P3945" t="str">
        <f t="shared" si="247"/>
        <v>Mid-term</v>
      </c>
    </row>
    <row r="3946" spans="1:16" x14ac:dyDescent="0.25">
      <c r="A3946">
        <v>2025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  <c r="M3946" t="str">
        <f t="shared" si="244"/>
        <v>30-45</v>
      </c>
      <c r="N3946" t="str">
        <f t="shared" si="245"/>
        <v>Medium</v>
      </c>
      <c r="O3946" t="str">
        <f t="shared" si="246"/>
        <v>High Balance</v>
      </c>
      <c r="P3946" t="str">
        <f t="shared" si="247"/>
        <v>Long-term</v>
      </c>
    </row>
    <row r="3947" spans="1:16" x14ac:dyDescent="0.25">
      <c r="A3947">
        <v>2025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  <c r="M3947" t="str">
        <f t="shared" si="244"/>
        <v>30-45</v>
      </c>
      <c r="N3947" t="str">
        <f t="shared" si="245"/>
        <v>Medium</v>
      </c>
      <c r="O3947" t="str">
        <f t="shared" si="246"/>
        <v>Zero Balance</v>
      </c>
      <c r="P3947" t="str">
        <f t="shared" si="247"/>
        <v>Long-term</v>
      </c>
    </row>
    <row r="3948" spans="1:16" x14ac:dyDescent="0.25">
      <c r="A3948">
        <v>2025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  <c r="M3948" t="str">
        <f t="shared" si="244"/>
        <v>30-45</v>
      </c>
      <c r="N3948" t="str">
        <f t="shared" si="245"/>
        <v>Medium</v>
      </c>
      <c r="O3948" t="str">
        <f t="shared" si="246"/>
        <v>High Balance</v>
      </c>
      <c r="P3948" t="str">
        <f t="shared" si="247"/>
        <v>Mid-term</v>
      </c>
    </row>
    <row r="3949" spans="1:16" x14ac:dyDescent="0.25">
      <c r="A3949">
        <v>2025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  <c r="M3949" t="str">
        <f t="shared" si="244"/>
        <v>60+</v>
      </c>
      <c r="N3949" t="str">
        <f t="shared" si="245"/>
        <v>Medium</v>
      </c>
      <c r="O3949" t="str">
        <f t="shared" si="246"/>
        <v>Low Balance</v>
      </c>
      <c r="P3949" t="str">
        <f t="shared" si="247"/>
        <v>Long-term</v>
      </c>
    </row>
    <row r="3950" spans="1:16" x14ac:dyDescent="0.25">
      <c r="A3950">
        <v>2025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  <c r="M3950" t="str">
        <f t="shared" si="244"/>
        <v>46-60</v>
      </c>
      <c r="N3950" t="str">
        <f t="shared" si="245"/>
        <v>High</v>
      </c>
      <c r="O3950" t="str">
        <f t="shared" si="246"/>
        <v>High Balance</v>
      </c>
      <c r="P3950" t="str">
        <f t="shared" si="247"/>
        <v>Long-term</v>
      </c>
    </row>
    <row r="3951" spans="1:16" x14ac:dyDescent="0.25">
      <c r="A3951">
        <v>2025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  <c r="M3951" t="str">
        <f t="shared" si="244"/>
        <v>30-45</v>
      </c>
      <c r="N3951" t="str">
        <f t="shared" si="245"/>
        <v>Medium</v>
      </c>
      <c r="O3951" t="str">
        <f t="shared" si="246"/>
        <v>Low Balance</v>
      </c>
      <c r="P3951" t="str">
        <f t="shared" si="247"/>
        <v>Mid-term</v>
      </c>
    </row>
    <row r="3952" spans="1:16" x14ac:dyDescent="0.25">
      <c r="A3952">
        <v>2025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  <c r="M3952" t="str">
        <f t="shared" si="244"/>
        <v>&lt;30</v>
      </c>
      <c r="N3952" t="str">
        <f t="shared" si="245"/>
        <v>High</v>
      </c>
      <c r="O3952" t="str">
        <f t="shared" si="246"/>
        <v>Zero Balance</v>
      </c>
      <c r="P3952" t="str">
        <f t="shared" si="247"/>
        <v>Mid-term</v>
      </c>
    </row>
    <row r="3953" spans="1:16" x14ac:dyDescent="0.25">
      <c r="A3953">
        <v>2025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  <c r="M3953" t="str">
        <f t="shared" si="244"/>
        <v>46-60</v>
      </c>
      <c r="N3953" t="str">
        <f t="shared" si="245"/>
        <v>High</v>
      </c>
      <c r="O3953" t="str">
        <f t="shared" si="246"/>
        <v>High Balance</v>
      </c>
      <c r="P3953" t="str">
        <f t="shared" si="247"/>
        <v>Long-term</v>
      </c>
    </row>
    <row r="3954" spans="1:16" x14ac:dyDescent="0.25">
      <c r="A3954">
        <v>2025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  <c r="M3954" t="str">
        <f t="shared" si="244"/>
        <v>30-45</v>
      </c>
      <c r="N3954" t="str">
        <f t="shared" si="245"/>
        <v>Medium</v>
      </c>
      <c r="O3954" t="str">
        <f t="shared" si="246"/>
        <v>High Balance</v>
      </c>
      <c r="P3954" t="str">
        <f t="shared" si="247"/>
        <v>Mid-term</v>
      </c>
    </row>
    <row r="3955" spans="1:16" x14ac:dyDescent="0.25">
      <c r="A3955">
        <v>2025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  <c r="M3955" t="str">
        <f t="shared" si="244"/>
        <v>30-45</v>
      </c>
      <c r="N3955" t="str">
        <f t="shared" si="245"/>
        <v>Medium</v>
      </c>
      <c r="O3955" t="str">
        <f t="shared" si="246"/>
        <v>High Balance</v>
      </c>
      <c r="P3955" t="str">
        <f t="shared" si="247"/>
        <v>New</v>
      </c>
    </row>
    <row r="3956" spans="1:16" x14ac:dyDescent="0.25">
      <c r="A3956">
        <v>2025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  <c r="M3956" t="str">
        <f t="shared" si="244"/>
        <v>30-45</v>
      </c>
      <c r="N3956" t="str">
        <f t="shared" si="245"/>
        <v>High</v>
      </c>
      <c r="O3956" t="str">
        <f t="shared" si="246"/>
        <v>High Balance</v>
      </c>
      <c r="P3956" t="str">
        <f t="shared" si="247"/>
        <v>Long-term</v>
      </c>
    </row>
    <row r="3957" spans="1:16" x14ac:dyDescent="0.25">
      <c r="A3957">
        <v>2025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  <c r="M3957" t="str">
        <f t="shared" si="244"/>
        <v>30-45</v>
      </c>
      <c r="N3957" t="str">
        <f t="shared" si="245"/>
        <v>Medium</v>
      </c>
      <c r="O3957" t="str">
        <f t="shared" si="246"/>
        <v>Zero Balance</v>
      </c>
      <c r="P3957" t="str">
        <f t="shared" si="247"/>
        <v>New</v>
      </c>
    </row>
    <row r="3958" spans="1:16" x14ac:dyDescent="0.25">
      <c r="A3958">
        <v>2025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  <c r="M3958" t="str">
        <f t="shared" si="244"/>
        <v>46-60</v>
      </c>
      <c r="N3958" t="str">
        <f t="shared" si="245"/>
        <v>Medium</v>
      </c>
      <c r="O3958" t="str">
        <f t="shared" si="246"/>
        <v>Low Balance</v>
      </c>
      <c r="P3958" t="str">
        <f t="shared" si="247"/>
        <v>New</v>
      </c>
    </row>
    <row r="3959" spans="1:16" x14ac:dyDescent="0.25">
      <c r="A3959">
        <v>2025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  <c r="M3959" t="str">
        <f t="shared" si="244"/>
        <v>30-45</v>
      </c>
      <c r="N3959" t="str">
        <f t="shared" si="245"/>
        <v>Medium</v>
      </c>
      <c r="O3959" t="str">
        <f t="shared" si="246"/>
        <v>High Balance</v>
      </c>
      <c r="P3959" t="str">
        <f t="shared" si="247"/>
        <v>Mid-term</v>
      </c>
    </row>
    <row r="3960" spans="1:16" x14ac:dyDescent="0.25">
      <c r="A3960">
        <v>2025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  <c r="M3960" t="str">
        <f t="shared" si="244"/>
        <v>30-45</v>
      </c>
      <c r="N3960" t="str">
        <f t="shared" si="245"/>
        <v>Medium</v>
      </c>
      <c r="O3960" t="str">
        <f t="shared" si="246"/>
        <v>Zero Balance</v>
      </c>
      <c r="P3960" t="str">
        <f t="shared" si="247"/>
        <v>Mid-term</v>
      </c>
    </row>
    <row r="3961" spans="1:16" x14ac:dyDescent="0.25">
      <c r="A3961">
        <v>2025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  <c r="M3961" t="str">
        <f t="shared" si="244"/>
        <v>46-60</v>
      </c>
      <c r="N3961" t="str">
        <f t="shared" si="245"/>
        <v>Medium</v>
      </c>
      <c r="O3961" t="str">
        <f t="shared" si="246"/>
        <v>High Balance</v>
      </c>
      <c r="P3961" t="str">
        <f t="shared" si="247"/>
        <v>Mid-term</v>
      </c>
    </row>
    <row r="3962" spans="1:16" x14ac:dyDescent="0.25">
      <c r="A3962">
        <v>2025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  <c r="M3962" t="str">
        <f t="shared" si="244"/>
        <v>46-60</v>
      </c>
      <c r="N3962" t="str">
        <f t="shared" si="245"/>
        <v>Medium</v>
      </c>
      <c r="O3962" t="str">
        <f t="shared" si="246"/>
        <v>High Balance</v>
      </c>
      <c r="P3962" t="str">
        <f t="shared" si="247"/>
        <v>New</v>
      </c>
    </row>
    <row r="3963" spans="1:16" x14ac:dyDescent="0.25">
      <c r="A3963">
        <v>2025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  <c r="M3963" t="str">
        <f t="shared" si="244"/>
        <v>&lt;30</v>
      </c>
      <c r="N3963" t="str">
        <f t="shared" si="245"/>
        <v>High</v>
      </c>
      <c r="O3963" t="str">
        <f t="shared" si="246"/>
        <v>Low Balance</v>
      </c>
      <c r="P3963" t="str">
        <f t="shared" si="247"/>
        <v>Long-term</v>
      </c>
    </row>
    <row r="3964" spans="1:16" x14ac:dyDescent="0.25">
      <c r="A3964">
        <v>2025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  <c r="M3964" t="str">
        <f t="shared" si="244"/>
        <v>30-45</v>
      </c>
      <c r="N3964" t="str">
        <f t="shared" si="245"/>
        <v>High</v>
      </c>
      <c r="O3964" t="str">
        <f t="shared" si="246"/>
        <v>High Balance</v>
      </c>
      <c r="P3964" t="str">
        <f t="shared" si="247"/>
        <v>New</v>
      </c>
    </row>
    <row r="3965" spans="1:16" x14ac:dyDescent="0.25">
      <c r="A3965">
        <v>2025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  <c r="M3965" t="str">
        <f t="shared" si="244"/>
        <v>30-45</v>
      </c>
      <c r="N3965" t="str">
        <f t="shared" si="245"/>
        <v>Medium</v>
      </c>
      <c r="O3965" t="str">
        <f t="shared" si="246"/>
        <v>Zero Balance</v>
      </c>
      <c r="P3965" t="str">
        <f t="shared" si="247"/>
        <v>Long-term</v>
      </c>
    </row>
    <row r="3966" spans="1:16" x14ac:dyDescent="0.25">
      <c r="A3966">
        <v>2025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  <c r="M3966" t="str">
        <f t="shared" si="244"/>
        <v>30-45</v>
      </c>
      <c r="N3966" t="str">
        <f t="shared" si="245"/>
        <v>Low</v>
      </c>
      <c r="O3966" t="str">
        <f t="shared" si="246"/>
        <v>Zero Balance</v>
      </c>
      <c r="P3966" t="str">
        <f t="shared" si="247"/>
        <v>Mid-term</v>
      </c>
    </row>
    <row r="3967" spans="1:16" x14ac:dyDescent="0.25">
      <c r="A3967">
        <v>2025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  <c r="M3967" t="str">
        <f t="shared" si="244"/>
        <v>&lt;30</v>
      </c>
      <c r="N3967" t="str">
        <f t="shared" si="245"/>
        <v>High</v>
      </c>
      <c r="O3967" t="str">
        <f t="shared" si="246"/>
        <v>Low Balance</v>
      </c>
      <c r="P3967" t="str">
        <f t="shared" si="247"/>
        <v>Long-term</v>
      </c>
    </row>
    <row r="3968" spans="1:16" x14ac:dyDescent="0.25">
      <c r="A3968">
        <v>2025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  <c r="M3968" t="str">
        <f t="shared" si="244"/>
        <v>30-45</v>
      </c>
      <c r="N3968" t="str">
        <f t="shared" si="245"/>
        <v>High</v>
      </c>
      <c r="O3968" t="str">
        <f t="shared" si="246"/>
        <v>Zero Balance</v>
      </c>
      <c r="P3968" t="str">
        <f t="shared" si="247"/>
        <v>Mid-term</v>
      </c>
    </row>
    <row r="3969" spans="1:16" x14ac:dyDescent="0.25">
      <c r="A3969">
        <v>2025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  <c r="M3969" t="str">
        <f t="shared" si="244"/>
        <v>30-45</v>
      </c>
      <c r="N3969" t="str">
        <f t="shared" si="245"/>
        <v>Medium</v>
      </c>
      <c r="O3969" t="str">
        <f t="shared" si="246"/>
        <v>Zero Balance</v>
      </c>
      <c r="P3969" t="str">
        <f t="shared" si="247"/>
        <v>Long-term</v>
      </c>
    </row>
    <row r="3970" spans="1:16" x14ac:dyDescent="0.25">
      <c r="A3970">
        <v>2025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  <c r="M3970" t="str">
        <f t="shared" si="244"/>
        <v>30-45</v>
      </c>
      <c r="N3970" t="str">
        <f t="shared" si="245"/>
        <v>Medium</v>
      </c>
      <c r="O3970" t="str">
        <f t="shared" si="246"/>
        <v>Low Balance</v>
      </c>
      <c r="P3970" t="str">
        <f t="shared" si="247"/>
        <v>Mid-term</v>
      </c>
    </row>
    <row r="3971" spans="1:16" x14ac:dyDescent="0.25">
      <c r="A3971">
        <v>2025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  <c r="M3971" t="str">
        <f t="shared" ref="M3971:M4034" si="248">IF(E3971&lt;30,"&lt;30",IF(E3971&lt;=45,"30-45",IF(E3971&lt;=60,"46-60","60+")))</f>
        <v>&lt;30</v>
      </c>
      <c r="N3971" t="str">
        <f t="shared" ref="N3971:N4034" si="249">IF(B3971&lt;500,"Low",IF(B3971&lt;700,"Medium","High"))</f>
        <v>Medium</v>
      </c>
      <c r="O3971" t="str">
        <f t="shared" ref="O3971:O4034" si="250">IF(G3971=0,"Zero Balance",IF(G3971&lt;100000,"Low Balance","High Balance"))</f>
        <v>High Balance</v>
      </c>
      <c r="P3971" t="str">
        <f t="shared" ref="P3971:P4034" si="251">IF(F3971&lt;=3,"New",IF(F3971&lt;=7,"Mid-term","Long-term"))</f>
        <v>New</v>
      </c>
    </row>
    <row r="3972" spans="1:16" x14ac:dyDescent="0.25">
      <c r="A3972">
        <v>2025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  <c r="M3972" t="str">
        <f t="shared" si="248"/>
        <v>30-45</v>
      </c>
      <c r="N3972" t="str">
        <f t="shared" si="249"/>
        <v>Medium</v>
      </c>
      <c r="O3972" t="str">
        <f t="shared" si="250"/>
        <v>Zero Balance</v>
      </c>
      <c r="P3972" t="str">
        <f t="shared" si="251"/>
        <v>Mid-term</v>
      </c>
    </row>
    <row r="3973" spans="1:16" x14ac:dyDescent="0.25">
      <c r="A3973">
        <v>2025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  <c r="M3973" t="str">
        <f t="shared" si="248"/>
        <v>30-45</v>
      </c>
      <c r="N3973" t="str">
        <f t="shared" si="249"/>
        <v>Medium</v>
      </c>
      <c r="O3973" t="str">
        <f t="shared" si="250"/>
        <v>Low Balance</v>
      </c>
      <c r="P3973" t="str">
        <f t="shared" si="251"/>
        <v>Mid-term</v>
      </c>
    </row>
    <row r="3974" spans="1:16" x14ac:dyDescent="0.25">
      <c r="A3974">
        <v>2025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  <c r="M3974" t="str">
        <f t="shared" si="248"/>
        <v>&lt;30</v>
      </c>
      <c r="N3974" t="str">
        <f t="shared" si="249"/>
        <v>Medium</v>
      </c>
      <c r="O3974" t="str">
        <f t="shared" si="250"/>
        <v>Low Balance</v>
      </c>
      <c r="P3974" t="str">
        <f t="shared" si="251"/>
        <v>Mid-term</v>
      </c>
    </row>
    <row r="3975" spans="1:16" x14ac:dyDescent="0.25">
      <c r="A3975">
        <v>2025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  <c r="M3975" t="str">
        <f t="shared" si="248"/>
        <v>30-45</v>
      </c>
      <c r="N3975" t="str">
        <f t="shared" si="249"/>
        <v>High</v>
      </c>
      <c r="O3975" t="str">
        <f t="shared" si="250"/>
        <v>High Balance</v>
      </c>
      <c r="P3975" t="str">
        <f t="shared" si="251"/>
        <v>New</v>
      </c>
    </row>
    <row r="3976" spans="1:16" x14ac:dyDescent="0.25">
      <c r="A3976">
        <v>2025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  <c r="M3976" t="str">
        <f t="shared" si="248"/>
        <v>&lt;30</v>
      </c>
      <c r="N3976" t="str">
        <f t="shared" si="249"/>
        <v>High</v>
      </c>
      <c r="O3976" t="str">
        <f t="shared" si="250"/>
        <v>Zero Balance</v>
      </c>
      <c r="P3976" t="str">
        <f t="shared" si="251"/>
        <v>Long-term</v>
      </c>
    </row>
    <row r="3977" spans="1:16" x14ac:dyDescent="0.25">
      <c r="A3977">
        <v>2025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  <c r="M3977" t="str">
        <f t="shared" si="248"/>
        <v>46-60</v>
      </c>
      <c r="N3977" t="str">
        <f t="shared" si="249"/>
        <v>Medium</v>
      </c>
      <c r="O3977" t="str">
        <f t="shared" si="250"/>
        <v>Zero Balance</v>
      </c>
      <c r="P3977" t="str">
        <f t="shared" si="251"/>
        <v>New</v>
      </c>
    </row>
    <row r="3978" spans="1:16" x14ac:dyDescent="0.25">
      <c r="A3978">
        <v>2025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  <c r="M3978" t="str">
        <f t="shared" si="248"/>
        <v>&lt;30</v>
      </c>
      <c r="N3978" t="str">
        <f t="shared" si="249"/>
        <v>Medium</v>
      </c>
      <c r="O3978" t="str">
        <f t="shared" si="250"/>
        <v>High Balance</v>
      </c>
      <c r="P3978" t="str">
        <f t="shared" si="251"/>
        <v>Mid-term</v>
      </c>
    </row>
    <row r="3979" spans="1:16" x14ac:dyDescent="0.25">
      <c r="A3979">
        <v>2025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  <c r="M3979" t="str">
        <f t="shared" si="248"/>
        <v>&lt;30</v>
      </c>
      <c r="N3979" t="str">
        <f t="shared" si="249"/>
        <v>Medium</v>
      </c>
      <c r="O3979" t="str">
        <f t="shared" si="250"/>
        <v>Zero Balance</v>
      </c>
      <c r="P3979" t="str">
        <f t="shared" si="251"/>
        <v>Long-term</v>
      </c>
    </row>
    <row r="3980" spans="1:16" x14ac:dyDescent="0.25">
      <c r="A3980">
        <v>2025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  <c r="M3980" t="str">
        <f t="shared" si="248"/>
        <v>30-45</v>
      </c>
      <c r="N3980" t="str">
        <f t="shared" si="249"/>
        <v>High</v>
      </c>
      <c r="O3980" t="str">
        <f t="shared" si="250"/>
        <v>Low Balance</v>
      </c>
      <c r="P3980" t="str">
        <f t="shared" si="251"/>
        <v>Mid-term</v>
      </c>
    </row>
    <row r="3981" spans="1:16" x14ac:dyDescent="0.25">
      <c r="A3981">
        <v>2025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  <c r="M3981" t="str">
        <f t="shared" si="248"/>
        <v>30-45</v>
      </c>
      <c r="N3981" t="str">
        <f t="shared" si="249"/>
        <v>Medium</v>
      </c>
      <c r="O3981" t="str">
        <f t="shared" si="250"/>
        <v>Zero Balance</v>
      </c>
      <c r="P3981" t="str">
        <f t="shared" si="251"/>
        <v>Mid-term</v>
      </c>
    </row>
    <row r="3982" spans="1:16" x14ac:dyDescent="0.25">
      <c r="A3982">
        <v>2025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  <c r="M3982" t="str">
        <f t="shared" si="248"/>
        <v>60+</v>
      </c>
      <c r="N3982" t="str">
        <f t="shared" si="249"/>
        <v>Medium</v>
      </c>
      <c r="O3982" t="str">
        <f t="shared" si="250"/>
        <v>Zero Balance</v>
      </c>
      <c r="P3982" t="str">
        <f t="shared" si="251"/>
        <v>New</v>
      </c>
    </row>
    <row r="3983" spans="1:16" x14ac:dyDescent="0.25">
      <c r="A3983">
        <v>2025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  <c r="M3983" t="str">
        <f t="shared" si="248"/>
        <v>&lt;30</v>
      </c>
      <c r="N3983" t="str">
        <f t="shared" si="249"/>
        <v>Medium</v>
      </c>
      <c r="O3983" t="str">
        <f t="shared" si="250"/>
        <v>Zero Balance</v>
      </c>
      <c r="P3983" t="str">
        <f t="shared" si="251"/>
        <v>New</v>
      </c>
    </row>
    <row r="3984" spans="1:16" x14ac:dyDescent="0.25">
      <c r="A3984">
        <v>2025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  <c r="M3984" t="str">
        <f t="shared" si="248"/>
        <v>46-60</v>
      </c>
      <c r="N3984" t="str">
        <f t="shared" si="249"/>
        <v>Medium</v>
      </c>
      <c r="O3984" t="str">
        <f t="shared" si="250"/>
        <v>Zero Balance</v>
      </c>
      <c r="P3984" t="str">
        <f t="shared" si="251"/>
        <v>Mid-term</v>
      </c>
    </row>
    <row r="3985" spans="1:16" x14ac:dyDescent="0.25">
      <c r="A3985">
        <v>2025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  <c r="M3985" t="str">
        <f t="shared" si="248"/>
        <v>30-45</v>
      </c>
      <c r="N3985" t="str">
        <f t="shared" si="249"/>
        <v>Medium</v>
      </c>
      <c r="O3985" t="str">
        <f t="shared" si="250"/>
        <v>Zero Balance</v>
      </c>
      <c r="P3985" t="str">
        <f t="shared" si="251"/>
        <v>New</v>
      </c>
    </row>
    <row r="3986" spans="1:16" x14ac:dyDescent="0.25">
      <c r="A3986">
        <v>2025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  <c r="M3986" t="str">
        <f t="shared" si="248"/>
        <v>30-45</v>
      </c>
      <c r="N3986" t="str">
        <f t="shared" si="249"/>
        <v>High</v>
      </c>
      <c r="O3986" t="str">
        <f t="shared" si="250"/>
        <v>Zero Balance</v>
      </c>
      <c r="P3986" t="str">
        <f t="shared" si="251"/>
        <v>Long-term</v>
      </c>
    </row>
    <row r="3987" spans="1:16" x14ac:dyDescent="0.25">
      <c r="A3987">
        <v>2025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  <c r="M3987" t="str">
        <f t="shared" si="248"/>
        <v>&lt;30</v>
      </c>
      <c r="N3987" t="str">
        <f t="shared" si="249"/>
        <v>Medium</v>
      </c>
      <c r="O3987" t="str">
        <f t="shared" si="250"/>
        <v>Zero Balance</v>
      </c>
      <c r="P3987" t="str">
        <f t="shared" si="251"/>
        <v>Mid-term</v>
      </c>
    </row>
    <row r="3988" spans="1:16" x14ac:dyDescent="0.25">
      <c r="A3988">
        <v>2025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  <c r="M3988" t="str">
        <f t="shared" si="248"/>
        <v>30-45</v>
      </c>
      <c r="N3988" t="str">
        <f t="shared" si="249"/>
        <v>High</v>
      </c>
      <c r="O3988" t="str">
        <f t="shared" si="250"/>
        <v>Zero Balance</v>
      </c>
      <c r="P3988" t="str">
        <f t="shared" si="251"/>
        <v>Long-term</v>
      </c>
    </row>
    <row r="3989" spans="1:16" x14ac:dyDescent="0.25">
      <c r="A3989">
        <v>2025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  <c r="M3989" t="str">
        <f t="shared" si="248"/>
        <v>30-45</v>
      </c>
      <c r="N3989" t="str">
        <f t="shared" si="249"/>
        <v>Medium</v>
      </c>
      <c r="O3989" t="str">
        <f t="shared" si="250"/>
        <v>High Balance</v>
      </c>
      <c r="P3989" t="str">
        <f t="shared" si="251"/>
        <v>Mid-term</v>
      </c>
    </row>
    <row r="3990" spans="1:16" x14ac:dyDescent="0.25">
      <c r="A3990">
        <v>2025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  <c r="M3990" t="str">
        <f t="shared" si="248"/>
        <v>30-45</v>
      </c>
      <c r="N3990" t="str">
        <f t="shared" si="249"/>
        <v>Medium</v>
      </c>
      <c r="O3990" t="str">
        <f t="shared" si="250"/>
        <v>High Balance</v>
      </c>
      <c r="P3990" t="str">
        <f t="shared" si="251"/>
        <v>Long-term</v>
      </c>
    </row>
    <row r="3991" spans="1:16" x14ac:dyDescent="0.25">
      <c r="A3991">
        <v>2025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  <c r="M3991" t="str">
        <f t="shared" si="248"/>
        <v>30-45</v>
      </c>
      <c r="N3991" t="str">
        <f t="shared" si="249"/>
        <v>Medium</v>
      </c>
      <c r="O3991" t="str">
        <f t="shared" si="250"/>
        <v>High Balance</v>
      </c>
      <c r="P3991" t="str">
        <f t="shared" si="251"/>
        <v>Mid-term</v>
      </c>
    </row>
    <row r="3992" spans="1:16" x14ac:dyDescent="0.25">
      <c r="A3992">
        <v>2025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  <c r="M3992" t="str">
        <f t="shared" si="248"/>
        <v>30-45</v>
      </c>
      <c r="N3992" t="str">
        <f t="shared" si="249"/>
        <v>High</v>
      </c>
      <c r="O3992" t="str">
        <f t="shared" si="250"/>
        <v>Low Balance</v>
      </c>
      <c r="P3992" t="str">
        <f t="shared" si="251"/>
        <v>Long-term</v>
      </c>
    </row>
    <row r="3993" spans="1:16" x14ac:dyDescent="0.25">
      <c r="A3993">
        <v>2025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  <c r="M3993" t="str">
        <f t="shared" si="248"/>
        <v>46-60</v>
      </c>
      <c r="N3993" t="str">
        <f t="shared" si="249"/>
        <v>Low</v>
      </c>
      <c r="O3993" t="str">
        <f t="shared" si="250"/>
        <v>Low Balance</v>
      </c>
      <c r="P3993" t="str">
        <f t="shared" si="251"/>
        <v>Mid-term</v>
      </c>
    </row>
    <row r="3994" spans="1:16" x14ac:dyDescent="0.25">
      <c r="A3994">
        <v>2025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  <c r="M3994" t="str">
        <f t="shared" si="248"/>
        <v>30-45</v>
      </c>
      <c r="N3994" t="str">
        <f t="shared" si="249"/>
        <v>High</v>
      </c>
      <c r="O3994" t="str">
        <f t="shared" si="250"/>
        <v>Low Balance</v>
      </c>
      <c r="P3994" t="str">
        <f t="shared" si="251"/>
        <v>New</v>
      </c>
    </row>
    <row r="3995" spans="1:16" x14ac:dyDescent="0.25">
      <c r="A3995">
        <v>2025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  <c r="M3995" t="str">
        <f t="shared" si="248"/>
        <v>30-45</v>
      </c>
      <c r="N3995" t="str">
        <f t="shared" si="249"/>
        <v>Medium</v>
      </c>
      <c r="O3995" t="str">
        <f t="shared" si="250"/>
        <v>High Balance</v>
      </c>
      <c r="P3995" t="str">
        <f t="shared" si="251"/>
        <v>New</v>
      </c>
    </row>
    <row r="3996" spans="1:16" x14ac:dyDescent="0.25">
      <c r="A3996">
        <v>2025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  <c r="M3996" t="str">
        <f t="shared" si="248"/>
        <v>60+</v>
      </c>
      <c r="N3996" t="str">
        <f t="shared" si="249"/>
        <v>High</v>
      </c>
      <c r="O3996" t="str">
        <f t="shared" si="250"/>
        <v>Zero Balance</v>
      </c>
      <c r="P3996" t="str">
        <f t="shared" si="251"/>
        <v>Long-term</v>
      </c>
    </row>
    <row r="3997" spans="1:16" x14ac:dyDescent="0.25">
      <c r="A3997">
        <v>2025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  <c r="M3997" t="str">
        <f t="shared" si="248"/>
        <v>30-45</v>
      </c>
      <c r="N3997" t="str">
        <f t="shared" si="249"/>
        <v>High</v>
      </c>
      <c r="O3997" t="str">
        <f t="shared" si="250"/>
        <v>High Balance</v>
      </c>
      <c r="P3997" t="str">
        <f t="shared" si="251"/>
        <v>Mid-term</v>
      </c>
    </row>
    <row r="3998" spans="1:16" x14ac:dyDescent="0.25">
      <c r="A3998">
        <v>2025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  <c r="M3998" t="str">
        <f t="shared" si="248"/>
        <v>30-45</v>
      </c>
      <c r="N3998" t="str">
        <f t="shared" si="249"/>
        <v>Medium</v>
      </c>
      <c r="O3998" t="str">
        <f t="shared" si="250"/>
        <v>Zero Balance</v>
      </c>
      <c r="P3998" t="str">
        <f t="shared" si="251"/>
        <v>Mid-term</v>
      </c>
    </row>
    <row r="3999" spans="1:16" x14ac:dyDescent="0.25">
      <c r="A3999">
        <v>2025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  <c r="M3999" t="str">
        <f t="shared" si="248"/>
        <v>30-45</v>
      </c>
      <c r="N3999" t="str">
        <f t="shared" si="249"/>
        <v>Medium</v>
      </c>
      <c r="O3999" t="str">
        <f t="shared" si="250"/>
        <v>Low Balance</v>
      </c>
      <c r="P3999" t="str">
        <f t="shared" si="251"/>
        <v>Long-term</v>
      </c>
    </row>
    <row r="4000" spans="1:16" x14ac:dyDescent="0.25">
      <c r="A4000">
        <v>2025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  <c r="M4000" t="str">
        <f t="shared" si="248"/>
        <v>46-60</v>
      </c>
      <c r="N4000" t="str">
        <f t="shared" si="249"/>
        <v>Medium</v>
      </c>
      <c r="O4000" t="str">
        <f t="shared" si="250"/>
        <v>High Balance</v>
      </c>
      <c r="P4000" t="str">
        <f t="shared" si="251"/>
        <v>Mid-term</v>
      </c>
    </row>
    <row r="4001" spans="1:16" x14ac:dyDescent="0.25">
      <c r="A4001">
        <v>2025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  <c r="M4001" t="str">
        <f t="shared" si="248"/>
        <v>&lt;30</v>
      </c>
      <c r="N4001" t="str">
        <f t="shared" si="249"/>
        <v>Medium</v>
      </c>
      <c r="O4001" t="str">
        <f t="shared" si="250"/>
        <v>High Balance</v>
      </c>
      <c r="P4001" t="str">
        <f t="shared" si="251"/>
        <v>New</v>
      </c>
    </row>
    <row r="4002" spans="1:16" x14ac:dyDescent="0.25">
      <c r="A4002">
        <v>2025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  <c r="M4002" t="str">
        <f t="shared" si="248"/>
        <v>30-45</v>
      </c>
      <c r="N4002" t="str">
        <f t="shared" si="249"/>
        <v>Medium</v>
      </c>
      <c r="O4002" t="str">
        <f t="shared" si="250"/>
        <v>Zero Balance</v>
      </c>
      <c r="P4002" t="str">
        <f t="shared" si="251"/>
        <v>Mid-term</v>
      </c>
    </row>
    <row r="4003" spans="1:16" x14ac:dyDescent="0.25">
      <c r="A4003">
        <v>2025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  <c r="M4003" t="str">
        <f t="shared" si="248"/>
        <v>46-60</v>
      </c>
      <c r="N4003" t="str">
        <f t="shared" si="249"/>
        <v>Medium</v>
      </c>
      <c r="O4003" t="str">
        <f t="shared" si="250"/>
        <v>High Balance</v>
      </c>
      <c r="P4003" t="str">
        <f t="shared" si="251"/>
        <v>Mid-term</v>
      </c>
    </row>
    <row r="4004" spans="1:16" x14ac:dyDescent="0.25">
      <c r="A4004">
        <v>2025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  <c r="M4004" t="str">
        <f t="shared" si="248"/>
        <v>&lt;30</v>
      </c>
      <c r="N4004" t="str">
        <f t="shared" si="249"/>
        <v>Medium</v>
      </c>
      <c r="O4004" t="str">
        <f t="shared" si="250"/>
        <v>High Balance</v>
      </c>
      <c r="P4004" t="str">
        <f t="shared" si="251"/>
        <v>Long-term</v>
      </c>
    </row>
    <row r="4005" spans="1:16" x14ac:dyDescent="0.25">
      <c r="A4005">
        <v>2025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  <c r="M4005" t="str">
        <f t="shared" si="248"/>
        <v>&lt;30</v>
      </c>
      <c r="N4005" t="str">
        <f t="shared" si="249"/>
        <v>High</v>
      </c>
      <c r="O4005" t="str">
        <f t="shared" si="250"/>
        <v>High Balance</v>
      </c>
      <c r="P4005" t="str">
        <f t="shared" si="251"/>
        <v>New</v>
      </c>
    </row>
    <row r="4006" spans="1:16" x14ac:dyDescent="0.25">
      <c r="A4006">
        <v>2025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  <c r="M4006" t="str">
        <f t="shared" si="248"/>
        <v>30-45</v>
      </c>
      <c r="N4006" t="str">
        <f t="shared" si="249"/>
        <v>Medium</v>
      </c>
      <c r="O4006" t="str">
        <f t="shared" si="250"/>
        <v>Zero Balance</v>
      </c>
      <c r="P4006" t="str">
        <f t="shared" si="251"/>
        <v>Mid-term</v>
      </c>
    </row>
    <row r="4007" spans="1:16" x14ac:dyDescent="0.25">
      <c r="A4007">
        <v>2025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  <c r="M4007" t="str">
        <f t="shared" si="248"/>
        <v>46-60</v>
      </c>
      <c r="N4007" t="str">
        <f t="shared" si="249"/>
        <v>Medium</v>
      </c>
      <c r="O4007" t="str">
        <f t="shared" si="250"/>
        <v>Zero Balance</v>
      </c>
      <c r="P4007" t="str">
        <f t="shared" si="251"/>
        <v>New</v>
      </c>
    </row>
    <row r="4008" spans="1:16" x14ac:dyDescent="0.25">
      <c r="A4008">
        <v>2025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  <c r="M4008" t="str">
        <f t="shared" si="248"/>
        <v>30-45</v>
      </c>
      <c r="N4008" t="str">
        <f t="shared" si="249"/>
        <v>Medium</v>
      </c>
      <c r="O4008" t="str">
        <f t="shared" si="250"/>
        <v>Low Balance</v>
      </c>
      <c r="P4008" t="str">
        <f t="shared" si="251"/>
        <v>Mid-term</v>
      </c>
    </row>
    <row r="4009" spans="1:16" x14ac:dyDescent="0.25">
      <c r="A4009">
        <v>2025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  <c r="M4009" t="str">
        <f t="shared" si="248"/>
        <v>30-45</v>
      </c>
      <c r="N4009" t="str">
        <f t="shared" si="249"/>
        <v>Medium</v>
      </c>
      <c r="O4009" t="str">
        <f t="shared" si="250"/>
        <v>High Balance</v>
      </c>
      <c r="P4009" t="str">
        <f t="shared" si="251"/>
        <v>Mid-term</v>
      </c>
    </row>
    <row r="4010" spans="1:16" x14ac:dyDescent="0.25">
      <c r="A4010">
        <v>2025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  <c r="M4010" t="str">
        <f t="shared" si="248"/>
        <v>30-45</v>
      </c>
      <c r="N4010" t="str">
        <f t="shared" si="249"/>
        <v>High</v>
      </c>
      <c r="O4010" t="str">
        <f t="shared" si="250"/>
        <v>High Balance</v>
      </c>
      <c r="P4010" t="str">
        <f t="shared" si="251"/>
        <v>New</v>
      </c>
    </row>
    <row r="4011" spans="1:16" x14ac:dyDescent="0.25">
      <c r="A4011">
        <v>2025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  <c r="M4011" t="str">
        <f t="shared" si="248"/>
        <v>30-45</v>
      </c>
      <c r="N4011" t="str">
        <f t="shared" si="249"/>
        <v>Low</v>
      </c>
      <c r="O4011" t="str">
        <f t="shared" si="250"/>
        <v>Low Balance</v>
      </c>
      <c r="P4011" t="str">
        <f t="shared" si="251"/>
        <v>New</v>
      </c>
    </row>
    <row r="4012" spans="1:16" x14ac:dyDescent="0.25">
      <c r="A4012">
        <v>2025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  <c r="M4012" t="str">
        <f t="shared" si="248"/>
        <v>60+</v>
      </c>
      <c r="N4012" t="str">
        <f t="shared" si="249"/>
        <v>Medium</v>
      </c>
      <c r="O4012" t="str">
        <f t="shared" si="250"/>
        <v>Zero Balance</v>
      </c>
      <c r="P4012" t="str">
        <f t="shared" si="251"/>
        <v>Long-term</v>
      </c>
    </row>
    <row r="4013" spans="1:16" x14ac:dyDescent="0.25">
      <c r="A4013">
        <v>2025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  <c r="M4013" t="str">
        <f t="shared" si="248"/>
        <v>30-45</v>
      </c>
      <c r="N4013" t="str">
        <f t="shared" si="249"/>
        <v>Medium</v>
      </c>
      <c r="O4013" t="str">
        <f t="shared" si="250"/>
        <v>High Balance</v>
      </c>
      <c r="P4013" t="str">
        <f t="shared" si="251"/>
        <v>Mid-term</v>
      </c>
    </row>
    <row r="4014" spans="1:16" x14ac:dyDescent="0.25">
      <c r="A4014">
        <v>2025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  <c r="M4014" t="str">
        <f t="shared" si="248"/>
        <v>46-60</v>
      </c>
      <c r="N4014" t="str">
        <f t="shared" si="249"/>
        <v>Medium</v>
      </c>
      <c r="O4014" t="str">
        <f t="shared" si="250"/>
        <v>Zero Balance</v>
      </c>
      <c r="P4014" t="str">
        <f t="shared" si="251"/>
        <v>Mid-term</v>
      </c>
    </row>
    <row r="4015" spans="1:16" x14ac:dyDescent="0.25">
      <c r="A4015">
        <v>2025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  <c r="M4015" t="str">
        <f t="shared" si="248"/>
        <v>46-60</v>
      </c>
      <c r="N4015" t="str">
        <f t="shared" si="249"/>
        <v>High</v>
      </c>
      <c r="O4015" t="str">
        <f t="shared" si="250"/>
        <v>High Balance</v>
      </c>
      <c r="P4015" t="str">
        <f t="shared" si="251"/>
        <v>New</v>
      </c>
    </row>
    <row r="4016" spans="1:16" x14ac:dyDescent="0.25">
      <c r="A4016">
        <v>2025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  <c r="M4016" t="str">
        <f t="shared" si="248"/>
        <v>46-60</v>
      </c>
      <c r="N4016" t="str">
        <f t="shared" si="249"/>
        <v>Medium</v>
      </c>
      <c r="O4016" t="str">
        <f t="shared" si="250"/>
        <v>High Balance</v>
      </c>
      <c r="P4016" t="str">
        <f t="shared" si="251"/>
        <v>New</v>
      </c>
    </row>
    <row r="4017" spans="1:16" x14ac:dyDescent="0.25">
      <c r="A4017">
        <v>2025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  <c r="M4017" t="str">
        <f t="shared" si="248"/>
        <v>30-45</v>
      </c>
      <c r="N4017" t="str">
        <f t="shared" si="249"/>
        <v>High</v>
      </c>
      <c r="O4017" t="str">
        <f t="shared" si="250"/>
        <v>High Balance</v>
      </c>
      <c r="P4017" t="str">
        <f t="shared" si="251"/>
        <v>New</v>
      </c>
    </row>
    <row r="4018" spans="1:16" x14ac:dyDescent="0.25">
      <c r="A4018">
        <v>2025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  <c r="M4018" t="str">
        <f t="shared" si="248"/>
        <v>30-45</v>
      </c>
      <c r="N4018" t="str">
        <f t="shared" si="249"/>
        <v>Low</v>
      </c>
      <c r="O4018" t="str">
        <f t="shared" si="250"/>
        <v>High Balance</v>
      </c>
      <c r="P4018" t="str">
        <f t="shared" si="251"/>
        <v>Mid-term</v>
      </c>
    </row>
    <row r="4019" spans="1:16" x14ac:dyDescent="0.25">
      <c r="A4019">
        <v>2025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  <c r="M4019" t="str">
        <f t="shared" si="248"/>
        <v>46-60</v>
      </c>
      <c r="N4019" t="str">
        <f t="shared" si="249"/>
        <v>High</v>
      </c>
      <c r="O4019" t="str">
        <f t="shared" si="250"/>
        <v>High Balance</v>
      </c>
      <c r="P4019" t="str">
        <f t="shared" si="251"/>
        <v>Long-term</v>
      </c>
    </row>
    <row r="4020" spans="1:16" x14ac:dyDescent="0.25">
      <c r="A4020">
        <v>2025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  <c r="M4020" t="str">
        <f t="shared" si="248"/>
        <v>30-45</v>
      </c>
      <c r="N4020" t="str">
        <f t="shared" si="249"/>
        <v>High</v>
      </c>
      <c r="O4020" t="str">
        <f t="shared" si="250"/>
        <v>High Balance</v>
      </c>
      <c r="P4020" t="str">
        <f t="shared" si="251"/>
        <v>New</v>
      </c>
    </row>
    <row r="4021" spans="1:16" x14ac:dyDescent="0.25">
      <c r="A4021">
        <v>2025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  <c r="M4021" t="str">
        <f t="shared" si="248"/>
        <v>30-45</v>
      </c>
      <c r="N4021" t="str">
        <f t="shared" si="249"/>
        <v>Medium</v>
      </c>
      <c r="O4021" t="str">
        <f t="shared" si="250"/>
        <v>High Balance</v>
      </c>
      <c r="P4021" t="str">
        <f t="shared" si="251"/>
        <v>New</v>
      </c>
    </row>
    <row r="4022" spans="1:16" x14ac:dyDescent="0.25">
      <c r="A4022">
        <v>2025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  <c r="M4022" t="str">
        <f t="shared" si="248"/>
        <v>30-45</v>
      </c>
      <c r="N4022" t="str">
        <f t="shared" si="249"/>
        <v>High</v>
      </c>
      <c r="O4022" t="str">
        <f t="shared" si="250"/>
        <v>High Balance</v>
      </c>
      <c r="P4022" t="str">
        <f t="shared" si="251"/>
        <v>Mid-term</v>
      </c>
    </row>
    <row r="4023" spans="1:16" x14ac:dyDescent="0.25">
      <c r="A4023">
        <v>2025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  <c r="M4023" t="str">
        <f t="shared" si="248"/>
        <v>46-60</v>
      </c>
      <c r="N4023" t="str">
        <f t="shared" si="249"/>
        <v>High</v>
      </c>
      <c r="O4023" t="str">
        <f t="shared" si="250"/>
        <v>High Balance</v>
      </c>
      <c r="P4023" t="str">
        <f t="shared" si="251"/>
        <v>Mid-term</v>
      </c>
    </row>
    <row r="4024" spans="1:16" x14ac:dyDescent="0.25">
      <c r="A4024">
        <v>2025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  <c r="M4024" t="str">
        <f t="shared" si="248"/>
        <v>30-45</v>
      </c>
      <c r="N4024" t="str">
        <f t="shared" si="249"/>
        <v>Medium</v>
      </c>
      <c r="O4024" t="str">
        <f t="shared" si="250"/>
        <v>High Balance</v>
      </c>
      <c r="P4024" t="str">
        <f t="shared" si="251"/>
        <v>New</v>
      </c>
    </row>
    <row r="4025" spans="1:16" x14ac:dyDescent="0.25">
      <c r="A4025">
        <v>2025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  <c r="M4025" t="str">
        <f t="shared" si="248"/>
        <v>30-45</v>
      </c>
      <c r="N4025" t="str">
        <f t="shared" si="249"/>
        <v>Medium</v>
      </c>
      <c r="O4025" t="str">
        <f t="shared" si="250"/>
        <v>Low Balance</v>
      </c>
      <c r="P4025" t="str">
        <f t="shared" si="251"/>
        <v>Long-term</v>
      </c>
    </row>
    <row r="4026" spans="1:16" x14ac:dyDescent="0.25">
      <c r="A4026">
        <v>2025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  <c r="M4026" t="str">
        <f t="shared" si="248"/>
        <v>&lt;30</v>
      </c>
      <c r="N4026" t="str">
        <f t="shared" si="249"/>
        <v>Medium</v>
      </c>
      <c r="O4026" t="str">
        <f t="shared" si="250"/>
        <v>High Balance</v>
      </c>
      <c r="P4026" t="str">
        <f t="shared" si="251"/>
        <v>Mid-term</v>
      </c>
    </row>
    <row r="4027" spans="1:16" x14ac:dyDescent="0.25">
      <c r="A4027">
        <v>2025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  <c r="M4027" t="str">
        <f t="shared" si="248"/>
        <v>60+</v>
      </c>
      <c r="N4027" t="str">
        <f t="shared" si="249"/>
        <v>Medium</v>
      </c>
      <c r="O4027" t="str">
        <f t="shared" si="250"/>
        <v>High Balance</v>
      </c>
      <c r="P4027" t="str">
        <f t="shared" si="251"/>
        <v>Long-term</v>
      </c>
    </row>
    <row r="4028" spans="1:16" x14ac:dyDescent="0.25">
      <c r="A4028">
        <v>2025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  <c r="M4028" t="str">
        <f t="shared" si="248"/>
        <v>46-60</v>
      </c>
      <c r="N4028" t="str">
        <f t="shared" si="249"/>
        <v>High</v>
      </c>
      <c r="O4028" t="str">
        <f t="shared" si="250"/>
        <v>High Balance</v>
      </c>
      <c r="P4028" t="str">
        <f t="shared" si="251"/>
        <v>Long-term</v>
      </c>
    </row>
    <row r="4029" spans="1:16" x14ac:dyDescent="0.25">
      <c r="A4029">
        <v>2025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  <c r="M4029" t="str">
        <f t="shared" si="248"/>
        <v>30-45</v>
      </c>
      <c r="N4029" t="str">
        <f t="shared" si="249"/>
        <v>Medium</v>
      </c>
      <c r="O4029" t="str">
        <f t="shared" si="250"/>
        <v>High Balance</v>
      </c>
      <c r="P4029" t="str">
        <f t="shared" si="251"/>
        <v>Mid-term</v>
      </c>
    </row>
    <row r="4030" spans="1:16" x14ac:dyDescent="0.25">
      <c r="A4030">
        <v>2025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  <c r="M4030" t="str">
        <f t="shared" si="248"/>
        <v>30-45</v>
      </c>
      <c r="N4030" t="str">
        <f t="shared" si="249"/>
        <v>Low</v>
      </c>
      <c r="O4030" t="str">
        <f t="shared" si="250"/>
        <v>High Balance</v>
      </c>
      <c r="P4030" t="str">
        <f t="shared" si="251"/>
        <v>Long-term</v>
      </c>
    </row>
    <row r="4031" spans="1:16" x14ac:dyDescent="0.25">
      <c r="A4031">
        <v>2025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  <c r="M4031" t="str">
        <f t="shared" si="248"/>
        <v>&lt;30</v>
      </c>
      <c r="N4031" t="str">
        <f t="shared" si="249"/>
        <v>Medium</v>
      </c>
      <c r="O4031" t="str">
        <f t="shared" si="250"/>
        <v>Low Balance</v>
      </c>
      <c r="P4031" t="str">
        <f t="shared" si="251"/>
        <v>Mid-term</v>
      </c>
    </row>
    <row r="4032" spans="1:16" x14ac:dyDescent="0.25">
      <c r="A4032">
        <v>2025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  <c r="M4032" t="str">
        <f t="shared" si="248"/>
        <v>30-45</v>
      </c>
      <c r="N4032" t="str">
        <f t="shared" si="249"/>
        <v>Medium</v>
      </c>
      <c r="O4032" t="str">
        <f t="shared" si="250"/>
        <v>Zero Balance</v>
      </c>
      <c r="P4032" t="str">
        <f t="shared" si="251"/>
        <v>Mid-term</v>
      </c>
    </row>
    <row r="4033" spans="1:16" x14ac:dyDescent="0.25">
      <c r="A4033">
        <v>2025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  <c r="M4033" t="str">
        <f t="shared" si="248"/>
        <v>30-45</v>
      </c>
      <c r="N4033" t="str">
        <f t="shared" si="249"/>
        <v>Medium</v>
      </c>
      <c r="O4033" t="str">
        <f t="shared" si="250"/>
        <v>High Balance</v>
      </c>
      <c r="P4033" t="str">
        <f t="shared" si="251"/>
        <v>Mid-term</v>
      </c>
    </row>
    <row r="4034" spans="1:16" x14ac:dyDescent="0.25">
      <c r="A4034">
        <v>2025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  <c r="M4034" t="str">
        <f t="shared" si="248"/>
        <v>30-45</v>
      </c>
      <c r="N4034" t="str">
        <f t="shared" si="249"/>
        <v>Low</v>
      </c>
      <c r="O4034" t="str">
        <f t="shared" si="250"/>
        <v>Zero Balance</v>
      </c>
      <c r="P4034" t="str">
        <f t="shared" si="251"/>
        <v>Long-term</v>
      </c>
    </row>
    <row r="4035" spans="1:16" x14ac:dyDescent="0.25">
      <c r="A4035">
        <v>2025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  <c r="M4035" t="str">
        <f t="shared" ref="M4035:M4098" si="252">IF(E4035&lt;30,"&lt;30",IF(E4035&lt;=45,"30-45",IF(E4035&lt;=60,"46-60","60+")))</f>
        <v>46-60</v>
      </c>
      <c r="N4035" t="str">
        <f t="shared" ref="N4035:N4098" si="253">IF(B4035&lt;500,"Low",IF(B4035&lt;700,"Medium","High"))</f>
        <v>Medium</v>
      </c>
      <c r="O4035" t="str">
        <f t="shared" ref="O4035:O4098" si="254">IF(G4035=0,"Zero Balance",IF(G4035&lt;100000,"Low Balance","High Balance"))</f>
        <v>High Balance</v>
      </c>
      <c r="P4035" t="str">
        <f t="shared" ref="P4035:P4098" si="255">IF(F4035&lt;=3,"New",IF(F4035&lt;=7,"Mid-term","Long-term"))</f>
        <v>Mid-term</v>
      </c>
    </row>
    <row r="4036" spans="1:16" x14ac:dyDescent="0.25">
      <c r="A4036">
        <v>2025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  <c r="M4036" t="str">
        <f t="shared" si="252"/>
        <v>30-45</v>
      </c>
      <c r="N4036" t="str">
        <f t="shared" si="253"/>
        <v>Medium</v>
      </c>
      <c r="O4036" t="str">
        <f t="shared" si="254"/>
        <v>Low Balance</v>
      </c>
      <c r="P4036" t="str">
        <f t="shared" si="255"/>
        <v>Mid-term</v>
      </c>
    </row>
    <row r="4037" spans="1:16" x14ac:dyDescent="0.25">
      <c r="A4037">
        <v>2025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  <c r="M4037" t="str">
        <f t="shared" si="252"/>
        <v>30-45</v>
      </c>
      <c r="N4037" t="str">
        <f t="shared" si="253"/>
        <v>High</v>
      </c>
      <c r="O4037" t="str">
        <f t="shared" si="254"/>
        <v>Zero Balance</v>
      </c>
      <c r="P4037" t="str">
        <f t="shared" si="255"/>
        <v>New</v>
      </c>
    </row>
    <row r="4038" spans="1:16" x14ac:dyDescent="0.25">
      <c r="A4038">
        <v>2025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  <c r="M4038" t="str">
        <f t="shared" si="252"/>
        <v>30-45</v>
      </c>
      <c r="N4038" t="str">
        <f t="shared" si="253"/>
        <v>Medium</v>
      </c>
      <c r="O4038" t="str">
        <f t="shared" si="254"/>
        <v>High Balance</v>
      </c>
      <c r="P4038" t="str">
        <f t="shared" si="255"/>
        <v>New</v>
      </c>
    </row>
    <row r="4039" spans="1:16" x14ac:dyDescent="0.25">
      <c r="A4039">
        <v>2025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  <c r="M4039" t="str">
        <f t="shared" si="252"/>
        <v>46-60</v>
      </c>
      <c r="N4039" t="str">
        <f t="shared" si="253"/>
        <v>High</v>
      </c>
      <c r="O4039" t="str">
        <f t="shared" si="254"/>
        <v>Zero Balance</v>
      </c>
      <c r="P4039" t="str">
        <f t="shared" si="255"/>
        <v>Mid-term</v>
      </c>
    </row>
    <row r="4040" spans="1:16" x14ac:dyDescent="0.25">
      <c r="A4040">
        <v>2025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  <c r="M4040" t="str">
        <f t="shared" si="252"/>
        <v>30-45</v>
      </c>
      <c r="N4040" t="str">
        <f t="shared" si="253"/>
        <v>Low</v>
      </c>
      <c r="O4040" t="str">
        <f t="shared" si="254"/>
        <v>Zero Balance</v>
      </c>
      <c r="P4040" t="str">
        <f t="shared" si="255"/>
        <v>Mid-term</v>
      </c>
    </row>
    <row r="4041" spans="1:16" x14ac:dyDescent="0.25">
      <c r="A4041">
        <v>2025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  <c r="M4041" t="str">
        <f t="shared" si="252"/>
        <v>&lt;30</v>
      </c>
      <c r="N4041" t="str">
        <f t="shared" si="253"/>
        <v>Low</v>
      </c>
      <c r="O4041" t="str">
        <f t="shared" si="254"/>
        <v>High Balance</v>
      </c>
      <c r="P4041" t="str">
        <f t="shared" si="255"/>
        <v>New</v>
      </c>
    </row>
    <row r="4042" spans="1:16" x14ac:dyDescent="0.25">
      <c r="A4042">
        <v>2025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  <c r="M4042" t="str">
        <f t="shared" si="252"/>
        <v>30-45</v>
      </c>
      <c r="N4042" t="str">
        <f t="shared" si="253"/>
        <v>High</v>
      </c>
      <c r="O4042" t="str">
        <f t="shared" si="254"/>
        <v>High Balance</v>
      </c>
      <c r="P4042" t="str">
        <f t="shared" si="255"/>
        <v>Long-term</v>
      </c>
    </row>
    <row r="4043" spans="1:16" x14ac:dyDescent="0.25">
      <c r="A4043">
        <v>2025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  <c r="M4043" t="str">
        <f t="shared" si="252"/>
        <v>30-45</v>
      </c>
      <c r="N4043" t="str">
        <f t="shared" si="253"/>
        <v>Medium</v>
      </c>
      <c r="O4043" t="str">
        <f t="shared" si="254"/>
        <v>Low Balance</v>
      </c>
      <c r="P4043" t="str">
        <f t="shared" si="255"/>
        <v>New</v>
      </c>
    </row>
    <row r="4044" spans="1:16" x14ac:dyDescent="0.25">
      <c r="A4044">
        <v>2025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  <c r="M4044" t="str">
        <f t="shared" si="252"/>
        <v>30-45</v>
      </c>
      <c r="N4044" t="str">
        <f t="shared" si="253"/>
        <v>High</v>
      </c>
      <c r="O4044" t="str">
        <f t="shared" si="254"/>
        <v>High Balance</v>
      </c>
      <c r="P4044" t="str">
        <f t="shared" si="255"/>
        <v>Mid-term</v>
      </c>
    </row>
    <row r="4045" spans="1:16" x14ac:dyDescent="0.25">
      <c r="A4045">
        <v>2025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  <c r="M4045" t="str">
        <f t="shared" si="252"/>
        <v>30-45</v>
      </c>
      <c r="N4045" t="str">
        <f t="shared" si="253"/>
        <v>Medium</v>
      </c>
      <c r="O4045" t="str">
        <f t="shared" si="254"/>
        <v>Zero Balance</v>
      </c>
      <c r="P4045" t="str">
        <f t="shared" si="255"/>
        <v>New</v>
      </c>
    </row>
    <row r="4046" spans="1:16" x14ac:dyDescent="0.25">
      <c r="A4046">
        <v>2025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  <c r="M4046" t="str">
        <f t="shared" si="252"/>
        <v>30-45</v>
      </c>
      <c r="N4046" t="str">
        <f t="shared" si="253"/>
        <v>Medium</v>
      </c>
      <c r="O4046" t="str">
        <f t="shared" si="254"/>
        <v>Zero Balance</v>
      </c>
      <c r="P4046" t="str">
        <f t="shared" si="255"/>
        <v>Long-term</v>
      </c>
    </row>
    <row r="4047" spans="1:16" x14ac:dyDescent="0.25">
      <c r="A4047">
        <v>2025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  <c r="M4047" t="str">
        <f t="shared" si="252"/>
        <v>30-45</v>
      </c>
      <c r="N4047" t="str">
        <f t="shared" si="253"/>
        <v>Medium</v>
      </c>
      <c r="O4047" t="str">
        <f t="shared" si="254"/>
        <v>Zero Balance</v>
      </c>
      <c r="P4047" t="str">
        <f t="shared" si="255"/>
        <v>Mid-term</v>
      </c>
    </row>
    <row r="4048" spans="1:16" x14ac:dyDescent="0.25">
      <c r="A4048">
        <v>2025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  <c r="M4048" t="str">
        <f t="shared" si="252"/>
        <v>30-45</v>
      </c>
      <c r="N4048" t="str">
        <f t="shared" si="253"/>
        <v>Medium</v>
      </c>
      <c r="O4048" t="str">
        <f t="shared" si="254"/>
        <v>Zero Balance</v>
      </c>
      <c r="P4048" t="str">
        <f t="shared" si="255"/>
        <v>Long-term</v>
      </c>
    </row>
    <row r="4049" spans="1:16" x14ac:dyDescent="0.25">
      <c r="A4049">
        <v>2025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  <c r="M4049" t="str">
        <f t="shared" si="252"/>
        <v>&lt;30</v>
      </c>
      <c r="N4049" t="str">
        <f t="shared" si="253"/>
        <v>High</v>
      </c>
      <c r="O4049" t="str">
        <f t="shared" si="254"/>
        <v>High Balance</v>
      </c>
      <c r="P4049" t="str">
        <f t="shared" si="255"/>
        <v>New</v>
      </c>
    </row>
    <row r="4050" spans="1:16" x14ac:dyDescent="0.25">
      <c r="A4050">
        <v>2025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  <c r="M4050" t="str">
        <f t="shared" si="252"/>
        <v>60+</v>
      </c>
      <c r="N4050" t="str">
        <f t="shared" si="253"/>
        <v>Medium</v>
      </c>
      <c r="O4050" t="str">
        <f t="shared" si="254"/>
        <v>Zero Balance</v>
      </c>
      <c r="P4050" t="str">
        <f t="shared" si="255"/>
        <v>Mid-term</v>
      </c>
    </row>
    <row r="4051" spans="1:16" x14ac:dyDescent="0.25">
      <c r="A4051">
        <v>2025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  <c r="M4051" t="str">
        <f t="shared" si="252"/>
        <v>30-45</v>
      </c>
      <c r="N4051" t="str">
        <f t="shared" si="253"/>
        <v>Medium</v>
      </c>
      <c r="O4051" t="str">
        <f t="shared" si="254"/>
        <v>Zero Balance</v>
      </c>
      <c r="P4051" t="str">
        <f t="shared" si="255"/>
        <v>Mid-term</v>
      </c>
    </row>
    <row r="4052" spans="1:16" x14ac:dyDescent="0.25">
      <c r="A4052">
        <v>2025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  <c r="M4052" t="str">
        <f t="shared" si="252"/>
        <v>30-45</v>
      </c>
      <c r="N4052" t="str">
        <f t="shared" si="253"/>
        <v>High</v>
      </c>
      <c r="O4052" t="str">
        <f t="shared" si="254"/>
        <v>High Balance</v>
      </c>
      <c r="P4052" t="str">
        <f t="shared" si="255"/>
        <v>Long-term</v>
      </c>
    </row>
    <row r="4053" spans="1:16" x14ac:dyDescent="0.25">
      <c r="A4053">
        <v>2025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  <c r="M4053" t="str">
        <f t="shared" si="252"/>
        <v>60+</v>
      </c>
      <c r="N4053" t="str">
        <f t="shared" si="253"/>
        <v>High</v>
      </c>
      <c r="O4053" t="str">
        <f t="shared" si="254"/>
        <v>High Balance</v>
      </c>
      <c r="P4053" t="str">
        <f t="shared" si="255"/>
        <v>Long-term</v>
      </c>
    </row>
    <row r="4054" spans="1:16" x14ac:dyDescent="0.25">
      <c r="A4054">
        <v>2025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  <c r="M4054" t="str">
        <f t="shared" si="252"/>
        <v>30-45</v>
      </c>
      <c r="N4054" t="str">
        <f t="shared" si="253"/>
        <v>Medium</v>
      </c>
      <c r="O4054" t="str">
        <f t="shared" si="254"/>
        <v>High Balance</v>
      </c>
      <c r="P4054" t="str">
        <f t="shared" si="255"/>
        <v>Long-term</v>
      </c>
    </row>
    <row r="4055" spans="1:16" x14ac:dyDescent="0.25">
      <c r="A4055">
        <v>2025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  <c r="M4055" t="str">
        <f t="shared" si="252"/>
        <v>46-60</v>
      </c>
      <c r="N4055" t="str">
        <f t="shared" si="253"/>
        <v>Medium</v>
      </c>
      <c r="O4055" t="str">
        <f t="shared" si="254"/>
        <v>Zero Balance</v>
      </c>
      <c r="P4055" t="str">
        <f t="shared" si="255"/>
        <v>Mid-term</v>
      </c>
    </row>
    <row r="4056" spans="1:16" x14ac:dyDescent="0.25">
      <c r="A4056">
        <v>2025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  <c r="M4056" t="str">
        <f t="shared" si="252"/>
        <v>46-60</v>
      </c>
      <c r="N4056" t="str">
        <f t="shared" si="253"/>
        <v>Medium</v>
      </c>
      <c r="O4056" t="str">
        <f t="shared" si="254"/>
        <v>High Balance</v>
      </c>
      <c r="P4056" t="str">
        <f t="shared" si="255"/>
        <v>New</v>
      </c>
    </row>
    <row r="4057" spans="1:16" x14ac:dyDescent="0.25">
      <c r="A4057">
        <v>2025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  <c r="M4057" t="str">
        <f t="shared" si="252"/>
        <v>46-60</v>
      </c>
      <c r="N4057" t="str">
        <f t="shared" si="253"/>
        <v>Low</v>
      </c>
      <c r="O4057" t="str">
        <f t="shared" si="254"/>
        <v>High Balance</v>
      </c>
      <c r="P4057" t="str">
        <f t="shared" si="255"/>
        <v>Mid-term</v>
      </c>
    </row>
    <row r="4058" spans="1:16" x14ac:dyDescent="0.25">
      <c r="A4058">
        <v>2025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  <c r="M4058" t="str">
        <f t="shared" si="252"/>
        <v>&lt;30</v>
      </c>
      <c r="N4058" t="str">
        <f t="shared" si="253"/>
        <v>Medium</v>
      </c>
      <c r="O4058" t="str">
        <f t="shared" si="254"/>
        <v>High Balance</v>
      </c>
      <c r="P4058" t="str">
        <f t="shared" si="255"/>
        <v>New</v>
      </c>
    </row>
    <row r="4059" spans="1:16" x14ac:dyDescent="0.25">
      <c r="A4059">
        <v>2025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  <c r="M4059" t="str">
        <f t="shared" si="252"/>
        <v>&lt;30</v>
      </c>
      <c r="N4059" t="str">
        <f t="shared" si="253"/>
        <v>Medium</v>
      </c>
      <c r="O4059" t="str">
        <f t="shared" si="254"/>
        <v>High Balance</v>
      </c>
      <c r="P4059" t="str">
        <f t="shared" si="255"/>
        <v>Mid-term</v>
      </c>
    </row>
    <row r="4060" spans="1:16" x14ac:dyDescent="0.25">
      <c r="A4060">
        <v>2025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  <c r="M4060" t="str">
        <f t="shared" si="252"/>
        <v>30-45</v>
      </c>
      <c r="N4060" t="str">
        <f t="shared" si="253"/>
        <v>Medium</v>
      </c>
      <c r="O4060" t="str">
        <f t="shared" si="254"/>
        <v>High Balance</v>
      </c>
      <c r="P4060" t="str">
        <f t="shared" si="255"/>
        <v>Long-term</v>
      </c>
    </row>
    <row r="4061" spans="1:16" x14ac:dyDescent="0.25">
      <c r="A4061">
        <v>2025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  <c r="M4061" t="str">
        <f t="shared" si="252"/>
        <v>30-45</v>
      </c>
      <c r="N4061" t="str">
        <f t="shared" si="253"/>
        <v>Medium</v>
      </c>
      <c r="O4061" t="str">
        <f t="shared" si="254"/>
        <v>High Balance</v>
      </c>
      <c r="P4061" t="str">
        <f t="shared" si="255"/>
        <v>Long-term</v>
      </c>
    </row>
    <row r="4062" spans="1:16" x14ac:dyDescent="0.25">
      <c r="A4062">
        <v>2025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  <c r="M4062" t="str">
        <f t="shared" si="252"/>
        <v>&lt;30</v>
      </c>
      <c r="N4062" t="str">
        <f t="shared" si="253"/>
        <v>Medium</v>
      </c>
      <c r="O4062" t="str">
        <f t="shared" si="254"/>
        <v>Zero Balance</v>
      </c>
      <c r="P4062" t="str">
        <f t="shared" si="255"/>
        <v>Mid-term</v>
      </c>
    </row>
    <row r="4063" spans="1:16" x14ac:dyDescent="0.25">
      <c r="A4063">
        <v>2025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  <c r="M4063" t="str">
        <f t="shared" si="252"/>
        <v>30-45</v>
      </c>
      <c r="N4063" t="str">
        <f t="shared" si="253"/>
        <v>Medium</v>
      </c>
      <c r="O4063" t="str">
        <f t="shared" si="254"/>
        <v>Zero Balance</v>
      </c>
      <c r="P4063" t="str">
        <f t="shared" si="255"/>
        <v>Mid-term</v>
      </c>
    </row>
    <row r="4064" spans="1:16" x14ac:dyDescent="0.25">
      <c r="A4064">
        <v>2025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  <c r="M4064" t="str">
        <f t="shared" si="252"/>
        <v>30-45</v>
      </c>
      <c r="N4064" t="str">
        <f t="shared" si="253"/>
        <v>Medium</v>
      </c>
      <c r="O4064" t="str">
        <f t="shared" si="254"/>
        <v>Low Balance</v>
      </c>
      <c r="P4064" t="str">
        <f t="shared" si="255"/>
        <v>Long-term</v>
      </c>
    </row>
    <row r="4065" spans="1:16" x14ac:dyDescent="0.25">
      <c r="A4065">
        <v>2025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  <c r="M4065" t="str">
        <f t="shared" si="252"/>
        <v>46-60</v>
      </c>
      <c r="N4065" t="str">
        <f t="shared" si="253"/>
        <v>Medium</v>
      </c>
      <c r="O4065" t="str">
        <f t="shared" si="254"/>
        <v>Zero Balance</v>
      </c>
      <c r="P4065" t="str">
        <f t="shared" si="255"/>
        <v>Mid-term</v>
      </c>
    </row>
    <row r="4066" spans="1:16" x14ac:dyDescent="0.25">
      <c r="A4066">
        <v>2025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  <c r="M4066" t="str">
        <f t="shared" si="252"/>
        <v>30-45</v>
      </c>
      <c r="N4066" t="str">
        <f t="shared" si="253"/>
        <v>Medium</v>
      </c>
      <c r="O4066" t="str">
        <f t="shared" si="254"/>
        <v>High Balance</v>
      </c>
      <c r="P4066" t="str">
        <f t="shared" si="255"/>
        <v>Long-term</v>
      </c>
    </row>
    <row r="4067" spans="1:16" x14ac:dyDescent="0.25">
      <c r="A4067">
        <v>2025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  <c r="M4067" t="str">
        <f t="shared" si="252"/>
        <v>30-45</v>
      </c>
      <c r="N4067" t="str">
        <f t="shared" si="253"/>
        <v>Medium</v>
      </c>
      <c r="O4067" t="str">
        <f t="shared" si="254"/>
        <v>Zero Balance</v>
      </c>
      <c r="P4067" t="str">
        <f t="shared" si="255"/>
        <v>New</v>
      </c>
    </row>
    <row r="4068" spans="1:16" x14ac:dyDescent="0.25">
      <c r="A4068">
        <v>2025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  <c r="M4068" t="str">
        <f t="shared" si="252"/>
        <v>30-45</v>
      </c>
      <c r="N4068" t="str">
        <f t="shared" si="253"/>
        <v>High</v>
      </c>
      <c r="O4068" t="str">
        <f t="shared" si="254"/>
        <v>Zero Balance</v>
      </c>
      <c r="P4068" t="str">
        <f t="shared" si="255"/>
        <v>New</v>
      </c>
    </row>
    <row r="4069" spans="1:16" x14ac:dyDescent="0.25">
      <c r="A4069">
        <v>2025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  <c r="M4069" t="str">
        <f t="shared" si="252"/>
        <v>30-45</v>
      </c>
      <c r="N4069" t="str">
        <f t="shared" si="253"/>
        <v>Medium</v>
      </c>
      <c r="O4069" t="str">
        <f t="shared" si="254"/>
        <v>Low Balance</v>
      </c>
      <c r="P4069" t="str">
        <f t="shared" si="255"/>
        <v>Mid-term</v>
      </c>
    </row>
    <row r="4070" spans="1:16" x14ac:dyDescent="0.25">
      <c r="A4070">
        <v>2025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  <c r="M4070" t="str">
        <f t="shared" si="252"/>
        <v>&lt;30</v>
      </c>
      <c r="N4070" t="str">
        <f t="shared" si="253"/>
        <v>Medium</v>
      </c>
      <c r="O4070" t="str">
        <f t="shared" si="254"/>
        <v>Zero Balance</v>
      </c>
      <c r="P4070" t="str">
        <f t="shared" si="255"/>
        <v>New</v>
      </c>
    </row>
    <row r="4071" spans="1:16" x14ac:dyDescent="0.25">
      <c r="A4071">
        <v>2025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  <c r="M4071" t="str">
        <f t="shared" si="252"/>
        <v>30-45</v>
      </c>
      <c r="N4071" t="str">
        <f t="shared" si="253"/>
        <v>Medium</v>
      </c>
      <c r="O4071" t="str">
        <f t="shared" si="254"/>
        <v>High Balance</v>
      </c>
      <c r="P4071" t="str">
        <f t="shared" si="255"/>
        <v>New</v>
      </c>
    </row>
    <row r="4072" spans="1:16" x14ac:dyDescent="0.25">
      <c r="A4072">
        <v>2025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  <c r="M4072" t="str">
        <f t="shared" si="252"/>
        <v>46-60</v>
      </c>
      <c r="N4072" t="str">
        <f t="shared" si="253"/>
        <v>Medium</v>
      </c>
      <c r="O4072" t="str">
        <f t="shared" si="254"/>
        <v>High Balance</v>
      </c>
      <c r="P4072" t="str">
        <f t="shared" si="255"/>
        <v>New</v>
      </c>
    </row>
    <row r="4073" spans="1:16" x14ac:dyDescent="0.25">
      <c r="A4073">
        <v>2025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  <c r="M4073" t="str">
        <f t="shared" si="252"/>
        <v>46-60</v>
      </c>
      <c r="N4073" t="str">
        <f t="shared" si="253"/>
        <v>High</v>
      </c>
      <c r="O4073" t="str">
        <f t="shared" si="254"/>
        <v>High Balance</v>
      </c>
      <c r="P4073" t="str">
        <f t="shared" si="255"/>
        <v>Mid-term</v>
      </c>
    </row>
    <row r="4074" spans="1:16" x14ac:dyDescent="0.25">
      <c r="A4074">
        <v>2025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  <c r="M4074" t="str">
        <f t="shared" si="252"/>
        <v>30-45</v>
      </c>
      <c r="N4074" t="str">
        <f t="shared" si="253"/>
        <v>High</v>
      </c>
      <c r="O4074" t="str">
        <f t="shared" si="254"/>
        <v>High Balance</v>
      </c>
      <c r="P4074" t="str">
        <f t="shared" si="255"/>
        <v>Long-term</v>
      </c>
    </row>
    <row r="4075" spans="1:16" x14ac:dyDescent="0.25">
      <c r="A4075">
        <v>2025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  <c r="M4075" t="str">
        <f t="shared" si="252"/>
        <v>30-45</v>
      </c>
      <c r="N4075" t="str">
        <f t="shared" si="253"/>
        <v>Medium</v>
      </c>
      <c r="O4075" t="str">
        <f t="shared" si="254"/>
        <v>Low Balance</v>
      </c>
      <c r="P4075" t="str">
        <f t="shared" si="255"/>
        <v>New</v>
      </c>
    </row>
    <row r="4076" spans="1:16" x14ac:dyDescent="0.25">
      <c r="A4076">
        <v>2025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  <c r="M4076" t="str">
        <f t="shared" si="252"/>
        <v>30-45</v>
      </c>
      <c r="N4076" t="str">
        <f t="shared" si="253"/>
        <v>High</v>
      </c>
      <c r="O4076" t="str">
        <f t="shared" si="254"/>
        <v>High Balance</v>
      </c>
      <c r="P4076" t="str">
        <f t="shared" si="255"/>
        <v>New</v>
      </c>
    </row>
    <row r="4077" spans="1:16" x14ac:dyDescent="0.25">
      <c r="A4077">
        <v>2025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  <c r="M4077" t="str">
        <f t="shared" si="252"/>
        <v>30-45</v>
      </c>
      <c r="N4077" t="str">
        <f t="shared" si="253"/>
        <v>High</v>
      </c>
      <c r="O4077" t="str">
        <f t="shared" si="254"/>
        <v>Low Balance</v>
      </c>
      <c r="P4077" t="str">
        <f t="shared" si="255"/>
        <v>Mid-term</v>
      </c>
    </row>
    <row r="4078" spans="1:16" x14ac:dyDescent="0.25">
      <c r="A4078">
        <v>2025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  <c r="M4078" t="str">
        <f t="shared" si="252"/>
        <v>46-60</v>
      </c>
      <c r="N4078" t="str">
        <f t="shared" si="253"/>
        <v>Medium</v>
      </c>
      <c r="O4078" t="str">
        <f t="shared" si="254"/>
        <v>Zero Balance</v>
      </c>
      <c r="P4078" t="str">
        <f t="shared" si="255"/>
        <v>New</v>
      </c>
    </row>
    <row r="4079" spans="1:16" x14ac:dyDescent="0.25">
      <c r="A4079">
        <v>2025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  <c r="M4079" t="str">
        <f t="shared" si="252"/>
        <v>30-45</v>
      </c>
      <c r="N4079" t="str">
        <f t="shared" si="253"/>
        <v>High</v>
      </c>
      <c r="O4079" t="str">
        <f t="shared" si="254"/>
        <v>Zero Balance</v>
      </c>
      <c r="P4079" t="str">
        <f t="shared" si="255"/>
        <v>New</v>
      </c>
    </row>
    <row r="4080" spans="1:16" x14ac:dyDescent="0.25">
      <c r="A4080">
        <v>2025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  <c r="M4080" t="str">
        <f t="shared" si="252"/>
        <v>46-60</v>
      </c>
      <c r="N4080" t="str">
        <f t="shared" si="253"/>
        <v>Medium</v>
      </c>
      <c r="O4080" t="str">
        <f t="shared" si="254"/>
        <v>Zero Balance</v>
      </c>
      <c r="P4080" t="str">
        <f t="shared" si="255"/>
        <v>New</v>
      </c>
    </row>
    <row r="4081" spans="1:16" x14ac:dyDescent="0.25">
      <c r="A4081">
        <v>2025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  <c r="M4081" t="str">
        <f t="shared" si="252"/>
        <v>30-45</v>
      </c>
      <c r="N4081" t="str">
        <f t="shared" si="253"/>
        <v>Medium</v>
      </c>
      <c r="O4081" t="str">
        <f t="shared" si="254"/>
        <v>High Balance</v>
      </c>
      <c r="P4081" t="str">
        <f t="shared" si="255"/>
        <v>Mid-term</v>
      </c>
    </row>
    <row r="4082" spans="1:16" x14ac:dyDescent="0.25">
      <c r="A4082">
        <v>2025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  <c r="M4082" t="str">
        <f t="shared" si="252"/>
        <v>30-45</v>
      </c>
      <c r="N4082" t="str">
        <f t="shared" si="253"/>
        <v>High</v>
      </c>
      <c r="O4082" t="str">
        <f t="shared" si="254"/>
        <v>High Balance</v>
      </c>
      <c r="P4082" t="str">
        <f t="shared" si="255"/>
        <v>New</v>
      </c>
    </row>
    <row r="4083" spans="1:16" x14ac:dyDescent="0.25">
      <c r="A4083">
        <v>2025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  <c r="M4083" t="str">
        <f t="shared" si="252"/>
        <v>30-45</v>
      </c>
      <c r="N4083" t="str">
        <f t="shared" si="253"/>
        <v>High</v>
      </c>
      <c r="O4083" t="str">
        <f t="shared" si="254"/>
        <v>Zero Balance</v>
      </c>
      <c r="P4083" t="str">
        <f t="shared" si="255"/>
        <v>Mid-term</v>
      </c>
    </row>
    <row r="4084" spans="1:16" x14ac:dyDescent="0.25">
      <c r="A4084">
        <v>2025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  <c r="M4084" t="str">
        <f t="shared" si="252"/>
        <v>&lt;30</v>
      </c>
      <c r="N4084" t="str">
        <f t="shared" si="253"/>
        <v>High</v>
      </c>
      <c r="O4084" t="str">
        <f t="shared" si="254"/>
        <v>High Balance</v>
      </c>
      <c r="P4084" t="str">
        <f t="shared" si="255"/>
        <v>Mid-term</v>
      </c>
    </row>
    <row r="4085" spans="1:16" x14ac:dyDescent="0.25">
      <c r="A4085">
        <v>2025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  <c r="M4085" t="str">
        <f t="shared" si="252"/>
        <v>30-45</v>
      </c>
      <c r="N4085" t="str">
        <f t="shared" si="253"/>
        <v>High</v>
      </c>
      <c r="O4085" t="str">
        <f t="shared" si="254"/>
        <v>High Balance</v>
      </c>
      <c r="P4085" t="str">
        <f t="shared" si="255"/>
        <v>Mid-term</v>
      </c>
    </row>
    <row r="4086" spans="1:16" x14ac:dyDescent="0.25">
      <c r="A4086">
        <v>2025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  <c r="M4086" t="str">
        <f t="shared" si="252"/>
        <v>30-45</v>
      </c>
      <c r="N4086" t="str">
        <f t="shared" si="253"/>
        <v>Medium</v>
      </c>
      <c r="O4086" t="str">
        <f t="shared" si="254"/>
        <v>Zero Balance</v>
      </c>
      <c r="P4086" t="str">
        <f t="shared" si="255"/>
        <v>Mid-term</v>
      </c>
    </row>
    <row r="4087" spans="1:16" x14ac:dyDescent="0.25">
      <c r="A4087">
        <v>2025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  <c r="M4087" t="str">
        <f t="shared" si="252"/>
        <v>30-45</v>
      </c>
      <c r="N4087" t="str">
        <f t="shared" si="253"/>
        <v>Medium</v>
      </c>
      <c r="O4087" t="str">
        <f t="shared" si="254"/>
        <v>High Balance</v>
      </c>
      <c r="P4087" t="str">
        <f t="shared" si="255"/>
        <v>Mid-term</v>
      </c>
    </row>
    <row r="4088" spans="1:16" x14ac:dyDescent="0.25">
      <c r="A4088">
        <v>2025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  <c r="M4088" t="str">
        <f t="shared" si="252"/>
        <v>30-45</v>
      </c>
      <c r="N4088" t="str">
        <f t="shared" si="253"/>
        <v>High</v>
      </c>
      <c r="O4088" t="str">
        <f t="shared" si="254"/>
        <v>Low Balance</v>
      </c>
      <c r="P4088" t="str">
        <f t="shared" si="255"/>
        <v>Mid-term</v>
      </c>
    </row>
    <row r="4089" spans="1:16" x14ac:dyDescent="0.25">
      <c r="A4089">
        <v>2025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  <c r="M4089" t="str">
        <f t="shared" si="252"/>
        <v>46-60</v>
      </c>
      <c r="N4089" t="str">
        <f t="shared" si="253"/>
        <v>Medium</v>
      </c>
      <c r="O4089" t="str">
        <f t="shared" si="254"/>
        <v>Zero Balance</v>
      </c>
      <c r="P4089" t="str">
        <f t="shared" si="255"/>
        <v>New</v>
      </c>
    </row>
    <row r="4090" spans="1:16" x14ac:dyDescent="0.25">
      <c r="A4090">
        <v>2025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  <c r="M4090" t="str">
        <f t="shared" si="252"/>
        <v>30-45</v>
      </c>
      <c r="N4090" t="str">
        <f t="shared" si="253"/>
        <v>High</v>
      </c>
      <c r="O4090" t="str">
        <f t="shared" si="254"/>
        <v>High Balance</v>
      </c>
      <c r="P4090" t="str">
        <f t="shared" si="255"/>
        <v>New</v>
      </c>
    </row>
    <row r="4091" spans="1:16" x14ac:dyDescent="0.25">
      <c r="A4091">
        <v>2025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  <c r="M4091" t="str">
        <f t="shared" si="252"/>
        <v>46-60</v>
      </c>
      <c r="N4091" t="str">
        <f t="shared" si="253"/>
        <v>Medium</v>
      </c>
      <c r="O4091" t="str">
        <f t="shared" si="254"/>
        <v>Zero Balance</v>
      </c>
      <c r="P4091" t="str">
        <f t="shared" si="255"/>
        <v>Mid-term</v>
      </c>
    </row>
    <row r="4092" spans="1:16" x14ac:dyDescent="0.25">
      <c r="A4092">
        <v>2025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  <c r="M4092" t="str">
        <f t="shared" si="252"/>
        <v>30-45</v>
      </c>
      <c r="N4092" t="str">
        <f t="shared" si="253"/>
        <v>Medium</v>
      </c>
      <c r="O4092" t="str">
        <f t="shared" si="254"/>
        <v>Zero Balance</v>
      </c>
      <c r="P4092" t="str">
        <f t="shared" si="255"/>
        <v>Long-term</v>
      </c>
    </row>
    <row r="4093" spans="1:16" x14ac:dyDescent="0.25">
      <c r="A4093">
        <v>2025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  <c r="M4093" t="str">
        <f t="shared" si="252"/>
        <v>30-45</v>
      </c>
      <c r="N4093" t="str">
        <f t="shared" si="253"/>
        <v>Medium</v>
      </c>
      <c r="O4093" t="str">
        <f t="shared" si="254"/>
        <v>High Balance</v>
      </c>
      <c r="P4093" t="str">
        <f t="shared" si="255"/>
        <v>New</v>
      </c>
    </row>
    <row r="4094" spans="1:16" x14ac:dyDescent="0.25">
      <c r="A4094">
        <v>2025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  <c r="M4094" t="str">
        <f t="shared" si="252"/>
        <v>30-45</v>
      </c>
      <c r="N4094" t="str">
        <f t="shared" si="253"/>
        <v>Medium</v>
      </c>
      <c r="O4094" t="str">
        <f t="shared" si="254"/>
        <v>Zero Balance</v>
      </c>
      <c r="P4094" t="str">
        <f t="shared" si="255"/>
        <v>Mid-term</v>
      </c>
    </row>
    <row r="4095" spans="1:16" x14ac:dyDescent="0.25">
      <c r="A4095">
        <v>2025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  <c r="M4095" t="str">
        <f t="shared" si="252"/>
        <v>46-60</v>
      </c>
      <c r="N4095" t="str">
        <f t="shared" si="253"/>
        <v>High</v>
      </c>
      <c r="O4095" t="str">
        <f t="shared" si="254"/>
        <v>Low Balance</v>
      </c>
      <c r="P4095" t="str">
        <f t="shared" si="255"/>
        <v>New</v>
      </c>
    </row>
    <row r="4096" spans="1:16" x14ac:dyDescent="0.25">
      <c r="A4096">
        <v>2025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  <c r="M4096" t="str">
        <f t="shared" si="252"/>
        <v>&lt;30</v>
      </c>
      <c r="N4096" t="str">
        <f t="shared" si="253"/>
        <v>Medium</v>
      </c>
      <c r="O4096" t="str">
        <f t="shared" si="254"/>
        <v>Zero Balance</v>
      </c>
      <c r="P4096" t="str">
        <f t="shared" si="255"/>
        <v>Long-term</v>
      </c>
    </row>
    <row r="4097" spans="1:16" x14ac:dyDescent="0.25">
      <c r="A4097">
        <v>2025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  <c r="M4097" t="str">
        <f t="shared" si="252"/>
        <v>60+</v>
      </c>
      <c r="N4097" t="str">
        <f t="shared" si="253"/>
        <v>High</v>
      </c>
      <c r="O4097" t="str">
        <f t="shared" si="254"/>
        <v>High Balance</v>
      </c>
      <c r="P4097" t="str">
        <f t="shared" si="255"/>
        <v>Mid-term</v>
      </c>
    </row>
    <row r="4098" spans="1:16" x14ac:dyDescent="0.25">
      <c r="A4098">
        <v>2025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  <c r="M4098" t="str">
        <f t="shared" si="252"/>
        <v>30-45</v>
      </c>
      <c r="N4098" t="str">
        <f t="shared" si="253"/>
        <v>High</v>
      </c>
      <c r="O4098" t="str">
        <f t="shared" si="254"/>
        <v>Low Balance</v>
      </c>
      <c r="P4098" t="str">
        <f t="shared" si="255"/>
        <v>Long-term</v>
      </c>
    </row>
    <row r="4099" spans="1:16" x14ac:dyDescent="0.25">
      <c r="A4099">
        <v>2025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  <c r="M4099" t="str">
        <f t="shared" ref="M4099:M4162" si="256">IF(E4099&lt;30,"&lt;30",IF(E4099&lt;=45,"30-45",IF(E4099&lt;=60,"46-60","60+")))</f>
        <v>&lt;30</v>
      </c>
      <c r="N4099" t="str">
        <f t="shared" ref="N4099:N4162" si="257">IF(B4099&lt;500,"Low",IF(B4099&lt;700,"Medium","High"))</f>
        <v>Medium</v>
      </c>
      <c r="O4099" t="str">
        <f t="shared" ref="O4099:O4162" si="258">IF(G4099=0,"Zero Balance",IF(G4099&lt;100000,"Low Balance","High Balance"))</f>
        <v>Zero Balance</v>
      </c>
      <c r="P4099" t="str">
        <f t="shared" ref="P4099:P4162" si="259">IF(F4099&lt;=3,"New",IF(F4099&lt;=7,"Mid-term","Long-term"))</f>
        <v>Mid-term</v>
      </c>
    </row>
    <row r="4100" spans="1:16" x14ac:dyDescent="0.25">
      <c r="A4100">
        <v>2025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  <c r="M4100" t="str">
        <f t="shared" si="256"/>
        <v>30-45</v>
      </c>
      <c r="N4100" t="str">
        <f t="shared" si="257"/>
        <v>Medium</v>
      </c>
      <c r="O4100" t="str">
        <f t="shared" si="258"/>
        <v>Zero Balance</v>
      </c>
      <c r="P4100" t="str">
        <f t="shared" si="259"/>
        <v>Mid-term</v>
      </c>
    </row>
    <row r="4101" spans="1:16" x14ac:dyDescent="0.25">
      <c r="A4101">
        <v>2025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  <c r="M4101" t="str">
        <f t="shared" si="256"/>
        <v>30-45</v>
      </c>
      <c r="N4101" t="str">
        <f t="shared" si="257"/>
        <v>Medium</v>
      </c>
      <c r="O4101" t="str">
        <f t="shared" si="258"/>
        <v>High Balance</v>
      </c>
      <c r="P4101" t="str">
        <f t="shared" si="259"/>
        <v>Long-term</v>
      </c>
    </row>
    <row r="4102" spans="1:16" x14ac:dyDescent="0.25">
      <c r="A4102">
        <v>2025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  <c r="M4102" t="str">
        <f t="shared" si="256"/>
        <v>30-45</v>
      </c>
      <c r="N4102" t="str">
        <f t="shared" si="257"/>
        <v>Medium</v>
      </c>
      <c r="O4102" t="str">
        <f t="shared" si="258"/>
        <v>High Balance</v>
      </c>
      <c r="P4102" t="str">
        <f t="shared" si="259"/>
        <v>Long-term</v>
      </c>
    </row>
    <row r="4103" spans="1:16" x14ac:dyDescent="0.25">
      <c r="A4103">
        <v>2025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  <c r="M4103" t="str">
        <f t="shared" si="256"/>
        <v>46-60</v>
      </c>
      <c r="N4103" t="str">
        <f t="shared" si="257"/>
        <v>Medium</v>
      </c>
      <c r="O4103" t="str">
        <f t="shared" si="258"/>
        <v>Zero Balance</v>
      </c>
      <c r="P4103" t="str">
        <f t="shared" si="259"/>
        <v>Mid-term</v>
      </c>
    </row>
    <row r="4104" spans="1:16" x14ac:dyDescent="0.25">
      <c r="A4104">
        <v>2025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  <c r="M4104" t="str">
        <f t="shared" si="256"/>
        <v>30-45</v>
      </c>
      <c r="N4104" t="str">
        <f t="shared" si="257"/>
        <v>Medium</v>
      </c>
      <c r="O4104" t="str">
        <f t="shared" si="258"/>
        <v>Zero Balance</v>
      </c>
      <c r="P4104" t="str">
        <f t="shared" si="259"/>
        <v>New</v>
      </c>
    </row>
    <row r="4105" spans="1:16" x14ac:dyDescent="0.25">
      <c r="A4105">
        <v>2025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  <c r="M4105" t="str">
        <f t="shared" si="256"/>
        <v>30-45</v>
      </c>
      <c r="N4105" t="str">
        <f t="shared" si="257"/>
        <v>Medium</v>
      </c>
      <c r="O4105" t="str">
        <f t="shared" si="258"/>
        <v>High Balance</v>
      </c>
      <c r="P4105" t="str">
        <f t="shared" si="259"/>
        <v>New</v>
      </c>
    </row>
    <row r="4106" spans="1:16" x14ac:dyDescent="0.25">
      <c r="A4106">
        <v>2025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  <c r="M4106" t="str">
        <f t="shared" si="256"/>
        <v>46-60</v>
      </c>
      <c r="N4106" t="str">
        <f t="shared" si="257"/>
        <v>High</v>
      </c>
      <c r="O4106" t="str">
        <f t="shared" si="258"/>
        <v>Zero Balance</v>
      </c>
      <c r="P4106" t="str">
        <f t="shared" si="259"/>
        <v>Mid-term</v>
      </c>
    </row>
    <row r="4107" spans="1:16" x14ac:dyDescent="0.25">
      <c r="A4107">
        <v>2025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  <c r="M4107" t="str">
        <f t="shared" si="256"/>
        <v>&lt;30</v>
      </c>
      <c r="N4107" t="str">
        <f t="shared" si="257"/>
        <v>High</v>
      </c>
      <c r="O4107" t="str">
        <f t="shared" si="258"/>
        <v>Zero Balance</v>
      </c>
      <c r="P4107" t="str">
        <f t="shared" si="259"/>
        <v>Mid-term</v>
      </c>
    </row>
    <row r="4108" spans="1:16" x14ac:dyDescent="0.25">
      <c r="A4108">
        <v>2025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  <c r="M4108" t="str">
        <f t="shared" si="256"/>
        <v>30-45</v>
      </c>
      <c r="N4108" t="str">
        <f t="shared" si="257"/>
        <v>Medium</v>
      </c>
      <c r="O4108" t="str">
        <f t="shared" si="258"/>
        <v>High Balance</v>
      </c>
      <c r="P4108" t="str">
        <f t="shared" si="259"/>
        <v>Long-term</v>
      </c>
    </row>
    <row r="4109" spans="1:16" x14ac:dyDescent="0.25">
      <c r="A4109">
        <v>2025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  <c r="M4109" t="str">
        <f t="shared" si="256"/>
        <v>30-45</v>
      </c>
      <c r="N4109" t="str">
        <f t="shared" si="257"/>
        <v>Medium</v>
      </c>
      <c r="O4109" t="str">
        <f t="shared" si="258"/>
        <v>Low Balance</v>
      </c>
      <c r="P4109" t="str">
        <f t="shared" si="259"/>
        <v>New</v>
      </c>
    </row>
    <row r="4110" spans="1:16" x14ac:dyDescent="0.25">
      <c r="A4110">
        <v>2025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  <c r="M4110" t="str">
        <f t="shared" si="256"/>
        <v>30-45</v>
      </c>
      <c r="N4110" t="str">
        <f t="shared" si="257"/>
        <v>High</v>
      </c>
      <c r="O4110" t="str">
        <f t="shared" si="258"/>
        <v>High Balance</v>
      </c>
      <c r="P4110" t="str">
        <f t="shared" si="259"/>
        <v>Long-term</v>
      </c>
    </row>
    <row r="4111" spans="1:16" x14ac:dyDescent="0.25">
      <c r="A4111">
        <v>2025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  <c r="M4111" t="str">
        <f t="shared" si="256"/>
        <v>&lt;30</v>
      </c>
      <c r="N4111" t="str">
        <f t="shared" si="257"/>
        <v>High</v>
      </c>
      <c r="O4111" t="str">
        <f t="shared" si="258"/>
        <v>High Balance</v>
      </c>
      <c r="P4111" t="str">
        <f t="shared" si="259"/>
        <v>New</v>
      </c>
    </row>
    <row r="4112" spans="1:16" x14ac:dyDescent="0.25">
      <c r="A4112">
        <v>2025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  <c r="M4112" t="str">
        <f t="shared" si="256"/>
        <v>30-45</v>
      </c>
      <c r="N4112" t="str">
        <f t="shared" si="257"/>
        <v>Medium</v>
      </c>
      <c r="O4112" t="str">
        <f t="shared" si="258"/>
        <v>Zero Balance</v>
      </c>
      <c r="P4112" t="str">
        <f t="shared" si="259"/>
        <v>Mid-term</v>
      </c>
    </row>
    <row r="4113" spans="1:16" x14ac:dyDescent="0.25">
      <c r="A4113">
        <v>2025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  <c r="M4113" t="str">
        <f t="shared" si="256"/>
        <v>30-45</v>
      </c>
      <c r="N4113" t="str">
        <f t="shared" si="257"/>
        <v>Medium</v>
      </c>
      <c r="O4113" t="str">
        <f t="shared" si="258"/>
        <v>Zero Balance</v>
      </c>
      <c r="P4113" t="str">
        <f t="shared" si="259"/>
        <v>New</v>
      </c>
    </row>
    <row r="4114" spans="1:16" x14ac:dyDescent="0.25">
      <c r="A4114">
        <v>2025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  <c r="M4114" t="str">
        <f t="shared" si="256"/>
        <v>30-45</v>
      </c>
      <c r="N4114" t="str">
        <f t="shared" si="257"/>
        <v>High</v>
      </c>
      <c r="O4114" t="str">
        <f t="shared" si="258"/>
        <v>Zero Balance</v>
      </c>
      <c r="P4114" t="str">
        <f t="shared" si="259"/>
        <v>Long-term</v>
      </c>
    </row>
    <row r="4115" spans="1:16" x14ac:dyDescent="0.25">
      <c r="A4115">
        <v>2025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  <c r="M4115" t="str">
        <f t="shared" si="256"/>
        <v>30-45</v>
      </c>
      <c r="N4115" t="str">
        <f t="shared" si="257"/>
        <v>Medium</v>
      </c>
      <c r="O4115" t="str">
        <f t="shared" si="258"/>
        <v>Zero Balance</v>
      </c>
      <c r="P4115" t="str">
        <f t="shared" si="259"/>
        <v>Mid-term</v>
      </c>
    </row>
    <row r="4116" spans="1:16" x14ac:dyDescent="0.25">
      <c r="A4116">
        <v>2025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  <c r="M4116" t="str">
        <f t="shared" si="256"/>
        <v>46-60</v>
      </c>
      <c r="N4116" t="str">
        <f t="shared" si="257"/>
        <v>Medium</v>
      </c>
      <c r="O4116" t="str">
        <f t="shared" si="258"/>
        <v>High Balance</v>
      </c>
      <c r="P4116" t="str">
        <f t="shared" si="259"/>
        <v>New</v>
      </c>
    </row>
    <row r="4117" spans="1:16" x14ac:dyDescent="0.25">
      <c r="A4117">
        <v>2025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  <c r="M4117" t="str">
        <f t="shared" si="256"/>
        <v>&lt;30</v>
      </c>
      <c r="N4117" t="str">
        <f t="shared" si="257"/>
        <v>Medium</v>
      </c>
      <c r="O4117" t="str">
        <f t="shared" si="258"/>
        <v>High Balance</v>
      </c>
      <c r="P4117" t="str">
        <f t="shared" si="259"/>
        <v>Mid-term</v>
      </c>
    </row>
    <row r="4118" spans="1:16" x14ac:dyDescent="0.25">
      <c r="A4118">
        <v>2025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  <c r="M4118" t="str">
        <f t="shared" si="256"/>
        <v>30-45</v>
      </c>
      <c r="N4118" t="str">
        <f t="shared" si="257"/>
        <v>Medium</v>
      </c>
      <c r="O4118" t="str">
        <f t="shared" si="258"/>
        <v>Zero Balance</v>
      </c>
      <c r="P4118" t="str">
        <f t="shared" si="259"/>
        <v>New</v>
      </c>
    </row>
    <row r="4119" spans="1:16" x14ac:dyDescent="0.25">
      <c r="A4119">
        <v>2025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  <c r="M4119" t="str">
        <f t="shared" si="256"/>
        <v>30-45</v>
      </c>
      <c r="N4119" t="str">
        <f t="shared" si="257"/>
        <v>Medium</v>
      </c>
      <c r="O4119" t="str">
        <f t="shared" si="258"/>
        <v>Zero Balance</v>
      </c>
      <c r="P4119" t="str">
        <f t="shared" si="259"/>
        <v>Mid-term</v>
      </c>
    </row>
    <row r="4120" spans="1:16" x14ac:dyDescent="0.25">
      <c r="A4120">
        <v>2025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  <c r="M4120" t="str">
        <f t="shared" si="256"/>
        <v>&lt;30</v>
      </c>
      <c r="N4120" t="str">
        <f t="shared" si="257"/>
        <v>Medium</v>
      </c>
      <c r="O4120" t="str">
        <f t="shared" si="258"/>
        <v>Zero Balance</v>
      </c>
      <c r="P4120" t="str">
        <f t="shared" si="259"/>
        <v>Long-term</v>
      </c>
    </row>
    <row r="4121" spans="1:16" x14ac:dyDescent="0.25">
      <c r="A4121">
        <v>2025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  <c r="M4121" t="str">
        <f t="shared" si="256"/>
        <v>30-45</v>
      </c>
      <c r="N4121" t="str">
        <f t="shared" si="257"/>
        <v>Medium</v>
      </c>
      <c r="O4121" t="str">
        <f t="shared" si="258"/>
        <v>Zero Balance</v>
      </c>
      <c r="P4121" t="str">
        <f t="shared" si="259"/>
        <v>Mid-term</v>
      </c>
    </row>
    <row r="4122" spans="1:16" x14ac:dyDescent="0.25">
      <c r="A4122">
        <v>2025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  <c r="M4122" t="str">
        <f t="shared" si="256"/>
        <v>&lt;30</v>
      </c>
      <c r="N4122" t="str">
        <f t="shared" si="257"/>
        <v>Medium</v>
      </c>
      <c r="O4122" t="str">
        <f t="shared" si="258"/>
        <v>High Balance</v>
      </c>
      <c r="P4122" t="str">
        <f t="shared" si="259"/>
        <v>New</v>
      </c>
    </row>
    <row r="4123" spans="1:16" x14ac:dyDescent="0.25">
      <c r="A4123">
        <v>2025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  <c r="M4123" t="str">
        <f t="shared" si="256"/>
        <v>30-45</v>
      </c>
      <c r="N4123" t="str">
        <f t="shared" si="257"/>
        <v>Medium</v>
      </c>
      <c r="O4123" t="str">
        <f t="shared" si="258"/>
        <v>Zero Balance</v>
      </c>
      <c r="P4123" t="str">
        <f t="shared" si="259"/>
        <v>Mid-term</v>
      </c>
    </row>
    <row r="4124" spans="1:16" x14ac:dyDescent="0.25">
      <c r="A4124">
        <v>2025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  <c r="M4124" t="str">
        <f t="shared" si="256"/>
        <v>46-60</v>
      </c>
      <c r="N4124" t="str">
        <f t="shared" si="257"/>
        <v>Medium</v>
      </c>
      <c r="O4124" t="str">
        <f t="shared" si="258"/>
        <v>High Balance</v>
      </c>
      <c r="P4124" t="str">
        <f t="shared" si="259"/>
        <v>Long-term</v>
      </c>
    </row>
    <row r="4125" spans="1:16" x14ac:dyDescent="0.25">
      <c r="A4125">
        <v>2025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  <c r="M4125" t="str">
        <f t="shared" si="256"/>
        <v>30-45</v>
      </c>
      <c r="N4125" t="str">
        <f t="shared" si="257"/>
        <v>Medium</v>
      </c>
      <c r="O4125" t="str">
        <f t="shared" si="258"/>
        <v>High Balance</v>
      </c>
      <c r="P4125" t="str">
        <f t="shared" si="259"/>
        <v>New</v>
      </c>
    </row>
    <row r="4126" spans="1:16" x14ac:dyDescent="0.25">
      <c r="A4126">
        <v>2025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  <c r="M4126" t="str">
        <f t="shared" si="256"/>
        <v>&lt;30</v>
      </c>
      <c r="N4126" t="str">
        <f t="shared" si="257"/>
        <v>Medium</v>
      </c>
      <c r="O4126" t="str">
        <f t="shared" si="258"/>
        <v>High Balance</v>
      </c>
      <c r="P4126" t="str">
        <f t="shared" si="259"/>
        <v>Mid-term</v>
      </c>
    </row>
    <row r="4127" spans="1:16" x14ac:dyDescent="0.25">
      <c r="A4127">
        <v>2025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  <c r="M4127" t="str">
        <f t="shared" si="256"/>
        <v>46-60</v>
      </c>
      <c r="N4127" t="str">
        <f t="shared" si="257"/>
        <v>Medium</v>
      </c>
      <c r="O4127" t="str">
        <f t="shared" si="258"/>
        <v>Zero Balance</v>
      </c>
      <c r="P4127" t="str">
        <f t="shared" si="259"/>
        <v>Long-term</v>
      </c>
    </row>
    <row r="4128" spans="1:16" x14ac:dyDescent="0.25">
      <c r="A4128">
        <v>2025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  <c r="M4128" t="str">
        <f t="shared" si="256"/>
        <v>30-45</v>
      </c>
      <c r="N4128" t="str">
        <f t="shared" si="257"/>
        <v>Medium</v>
      </c>
      <c r="O4128" t="str">
        <f t="shared" si="258"/>
        <v>Zero Balance</v>
      </c>
      <c r="P4128" t="str">
        <f t="shared" si="259"/>
        <v>Long-term</v>
      </c>
    </row>
    <row r="4129" spans="1:16" x14ac:dyDescent="0.25">
      <c r="A4129">
        <v>2025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  <c r="M4129" t="str">
        <f t="shared" si="256"/>
        <v>46-60</v>
      </c>
      <c r="N4129" t="str">
        <f t="shared" si="257"/>
        <v>High</v>
      </c>
      <c r="O4129" t="str">
        <f t="shared" si="258"/>
        <v>Zero Balance</v>
      </c>
      <c r="P4129" t="str">
        <f t="shared" si="259"/>
        <v>Long-term</v>
      </c>
    </row>
    <row r="4130" spans="1:16" x14ac:dyDescent="0.25">
      <c r="A4130">
        <v>2025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  <c r="M4130" t="str">
        <f t="shared" si="256"/>
        <v>30-45</v>
      </c>
      <c r="N4130" t="str">
        <f t="shared" si="257"/>
        <v>Medium</v>
      </c>
      <c r="O4130" t="str">
        <f t="shared" si="258"/>
        <v>High Balance</v>
      </c>
      <c r="P4130" t="str">
        <f t="shared" si="259"/>
        <v>Mid-term</v>
      </c>
    </row>
    <row r="4131" spans="1:16" x14ac:dyDescent="0.25">
      <c r="A4131">
        <v>2025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  <c r="M4131" t="str">
        <f t="shared" si="256"/>
        <v>46-60</v>
      </c>
      <c r="N4131" t="str">
        <f t="shared" si="257"/>
        <v>Medium</v>
      </c>
      <c r="O4131" t="str">
        <f t="shared" si="258"/>
        <v>Zero Balance</v>
      </c>
      <c r="P4131" t="str">
        <f t="shared" si="259"/>
        <v>Mid-term</v>
      </c>
    </row>
    <row r="4132" spans="1:16" x14ac:dyDescent="0.25">
      <c r="A4132">
        <v>2025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  <c r="M4132" t="str">
        <f t="shared" si="256"/>
        <v>30-45</v>
      </c>
      <c r="N4132" t="str">
        <f t="shared" si="257"/>
        <v>Medium</v>
      </c>
      <c r="O4132" t="str">
        <f t="shared" si="258"/>
        <v>High Balance</v>
      </c>
      <c r="P4132" t="str">
        <f t="shared" si="259"/>
        <v>New</v>
      </c>
    </row>
    <row r="4133" spans="1:16" x14ac:dyDescent="0.25">
      <c r="A4133">
        <v>2025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  <c r="M4133" t="str">
        <f t="shared" si="256"/>
        <v>46-60</v>
      </c>
      <c r="N4133" t="str">
        <f t="shared" si="257"/>
        <v>Medium</v>
      </c>
      <c r="O4133" t="str">
        <f t="shared" si="258"/>
        <v>Low Balance</v>
      </c>
      <c r="P4133" t="str">
        <f t="shared" si="259"/>
        <v>Long-term</v>
      </c>
    </row>
    <row r="4134" spans="1:16" x14ac:dyDescent="0.25">
      <c r="A4134">
        <v>2025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  <c r="M4134" t="str">
        <f t="shared" si="256"/>
        <v>&lt;30</v>
      </c>
      <c r="N4134" t="str">
        <f t="shared" si="257"/>
        <v>Medium</v>
      </c>
      <c r="O4134" t="str">
        <f t="shared" si="258"/>
        <v>Low Balance</v>
      </c>
      <c r="P4134" t="str">
        <f t="shared" si="259"/>
        <v>Mid-term</v>
      </c>
    </row>
    <row r="4135" spans="1:16" x14ac:dyDescent="0.25">
      <c r="A4135">
        <v>2025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  <c r="M4135" t="str">
        <f t="shared" si="256"/>
        <v>30-45</v>
      </c>
      <c r="N4135" t="str">
        <f t="shared" si="257"/>
        <v>High</v>
      </c>
      <c r="O4135" t="str">
        <f t="shared" si="258"/>
        <v>Zero Balance</v>
      </c>
      <c r="P4135" t="str">
        <f t="shared" si="259"/>
        <v>New</v>
      </c>
    </row>
    <row r="4136" spans="1:16" x14ac:dyDescent="0.25">
      <c r="A4136">
        <v>2025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  <c r="M4136" t="str">
        <f t="shared" si="256"/>
        <v>30-45</v>
      </c>
      <c r="N4136" t="str">
        <f t="shared" si="257"/>
        <v>Medium</v>
      </c>
      <c r="O4136" t="str">
        <f t="shared" si="258"/>
        <v>High Balance</v>
      </c>
      <c r="P4136" t="str">
        <f t="shared" si="259"/>
        <v>Mid-term</v>
      </c>
    </row>
    <row r="4137" spans="1:16" x14ac:dyDescent="0.25">
      <c r="A4137">
        <v>2025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  <c r="M4137" t="str">
        <f t="shared" si="256"/>
        <v>&lt;30</v>
      </c>
      <c r="N4137" t="str">
        <f t="shared" si="257"/>
        <v>High</v>
      </c>
      <c r="O4137" t="str">
        <f t="shared" si="258"/>
        <v>Low Balance</v>
      </c>
      <c r="P4137" t="str">
        <f t="shared" si="259"/>
        <v>New</v>
      </c>
    </row>
    <row r="4138" spans="1:16" x14ac:dyDescent="0.25">
      <c r="A4138">
        <v>2025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  <c r="M4138" t="str">
        <f t="shared" si="256"/>
        <v>30-45</v>
      </c>
      <c r="N4138" t="str">
        <f t="shared" si="257"/>
        <v>Medium</v>
      </c>
      <c r="O4138" t="str">
        <f t="shared" si="258"/>
        <v>Zero Balance</v>
      </c>
      <c r="P4138" t="str">
        <f t="shared" si="259"/>
        <v>New</v>
      </c>
    </row>
    <row r="4139" spans="1:16" x14ac:dyDescent="0.25">
      <c r="A4139">
        <v>2025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  <c r="M4139" t="str">
        <f t="shared" si="256"/>
        <v>46-60</v>
      </c>
      <c r="N4139" t="str">
        <f t="shared" si="257"/>
        <v>High</v>
      </c>
      <c r="O4139" t="str">
        <f t="shared" si="258"/>
        <v>High Balance</v>
      </c>
      <c r="P4139" t="str">
        <f t="shared" si="259"/>
        <v>New</v>
      </c>
    </row>
    <row r="4140" spans="1:16" x14ac:dyDescent="0.25">
      <c r="A4140">
        <v>2025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  <c r="M4140" t="str">
        <f t="shared" si="256"/>
        <v>30-45</v>
      </c>
      <c r="N4140" t="str">
        <f t="shared" si="257"/>
        <v>High</v>
      </c>
      <c r="O4140" t="str">
        <f t="shared" si="258"/>
        <v>High Balance</v>
      </c>
      <c r="P4140" t="str">
        <f t="shared" si="259"/>
        <v>Long-term</v>
      </c>
    </row>
    <row r="4141" spans="1:16" x14ac:dyDescent="0.25">
      <c r="A4141">
        <v>2025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  <c r="M4141" t="str">
        <f t="shared" si="256"/>
        <v>30-45</v>
      </c>
      <c r="N4141" t="str">
        <f t="shared" si="257"/>
        <v>Medium</v>
      </c>
      <c r="O4141" t="str">
        <f t="shared" si="258"/>
        <v>High Balance</v>
      </c>
      <c r="P4141" t="str">
        <f t="shared" si="259"/>
        <v>Mid-term</v>
      </c>
    </row>
    <row r="4142" spans="1:16" x14ac:dyDescent="0.25">
      <c r="A4142">
        <v>2025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  <c r="M4142" t="str">
        <f t="shared" si="256"/>
        <v>30-45</v>
      </c>
      <c r="N4142" t="str">
        <f t="shared" si="257"/>
        <v>High</v>
      </c>
      <c r="O4142" t="str">
        <f t="shared" si="258"/>
        <v>High Balance</v>
      </c>
      <c r="P4142" t="str">
        <f t="shared" si="259"/>
        <v>Mid-term</v>
      </c>
    </row>
    <row r="4143" spans="1:16" x14ac:dyDescent="0.25">
      <c r="A4143">
        <v>2025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  <c r="M4143" t="str">
        <f t="shared" si="256"/>
        <v>30-45</v>
      </c>
      <c r="N4143" t="str">
        <f t="shared" si="257"/>
        <v>High</v>
      </c>
      <c r="O4143" t="str">
        <f t="shared" si="258"/>
        <v>High Balance</v>
      </c>
      <c r="P4143" t="str">
        <f t="shared" si="259"/>
        <v>New</v>
      </c>
    </row>
    <row r="4144" spans="1:16" x14ac:dyDescent="0.25">
      <c r="A4144">
        <v>2025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  <c r="M4144" t="str">
        <f t="shared" si="256"/>
        <v>60+</v>
      </c>
      <c r="N4144" t="str">
        <f t="shared" si="257"/>
        <v>Medium</v>
      </c>
      <c r="O4144" t="str">
        <f t="shared" si="258"/>
        <v>Zero Balance</v>
      </c>
      <c r="P4144" t="str">
        <f t="shared" si="259"/>
        <v>Mid-term</v>
      </c>
    </row>
    <row r="4145" spans="1:16" x14ac:dyDescent="0.25">
      <c r="A4145">
        <v>2025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  <c r="M4145" t="str">
        <f t="shared" si="256"/>
        <v>30-45</v>
      </c>
      <c r="N4145" t="str">
        <f t="shared" si="257"/>
        <v>Medium</v>
      </c>
      <c r="O4145" t="str">
        <f t="shared" si="258"/>
        <v>High Balance</v>
      </c>
      <c r="P4145" t="str">
        <f t="shared" si="259"/>
        <v>New</v>
      </c>
    </row>
    <row r="4146" spans="1:16" x14ac:dyDescent="0.25">
      <c r="A4146">
        <v>2025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  <c r="M4146" t="str">
        <f t="shared" si="256"/>
        <v>30-45</v>
      </c>
      <c r="N4146" t="str">
        <f t="shared" si="257"/>
        <v>Medium</v>
      </c>
      <c r="O4146" t="str">
        <f t="shared" si="258"/>
        <v>Low Balance</v>
      </c>
      <c r="P4146" t="str">
        <f t="shared" si="259"/>
        <v>Long-term</v>
      </c>
    </row>
    <row r="4147" spans="1:16" x14ac:dyDescent="0.25">
      <c r="A4147">
        <v>2025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  <c r="M4147" t="str">
        <f t="shared" si="256"/>
        <v>30-45</v>
      </c>
      <c r="N4147" t="str">
        <f t="shared" si="257"/>
        <v>Medium</v>
      </c>
      <c r="O4147" t="str">
        <f t="shared" si="258"/>
        <v>High Balance</v>
      </c>
      <c r="P4147" t="str">
        <f t="shared" si="259"/>
        <v>New</v>
      </c>
    </row>
    <row r="4148" spans="1:16" x14ac:dyDescent="0.25">
      <c r="A4148">
        <v>2025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  <c r="M4148" t="str">
        <f t="shared" si="256"/>
        <v>&lt;30</v>
      </c>
      <c r="N4148" t="str">
        <f t="shared" si="257"/>
        <v>Medium</v>
      </c>
      <c r="O4148" t="str">
        <f t="shared" si="258"/>
        <v>Zero Balance</v>
      </c>
      <c r="P4148" t="str">
        <f t="shared" si="259"/>
        <v>New</v>
      </c>
    </row>
    <row r="4149" spans="1:16" x14ac:dyDescent="0.25">
      <c r="A4149">
        <v>2025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  <c r="M4149" t="str">
        <f t="shared" si="256"/>
        <v>60+</v>
      </c>
      <c r="N4149" t="str">
        <f t="shared" si="257"/>
        <v>High</v>
      </c>
      <c r="O4149" t="str">
        <f t="shared" si="258"/>
        <v>High Balance</v>
      </c>
      <c r="P4149" t="str">
        <f t="shared" si="259"/>
        <v>Mid-term</v>
      </c>
    </row>
    <row r="4150" spans="1:16" x14ac:dyDescent="0.25">
      <c r="A4150">
        <v>2025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  <c r="M4150" t="str">
        <f t="shared" si="256"/>
        <v>30-45</v>
      </c>
      <c r="N4150" t="str">
        <f t="shared" si="257"/>
        <v>Medium</v>
      </c>
      <c r="O4150" t="str">
        <f t="shared" si="258"/>
        <v>Zero Balance</v>
      </c>
      <c r="P4150" t="str">
        <f t="shared" si="259"/>
        <v>Mid-term</v>
      </c>
    </row>
    <row r="4151" spans="1:16" x14ac:dyDescent="0.25">
      <c r="A4151">
        <v>2025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  <c r="M4151" t="str">
        <f t="shared" si="256"/>
        <v>30-45</v>
      </c>
      <c r="N4151" t="str">
        <f t="shared" si="257"/>
        <v>Medium</v>
      </c>
      <c r="O4151" t="str">
        <f t="shared" si="258"/>
        <v>High Balance</v>
      </c>
      <c r="P4151" t="str">
        <f t="shared" si="259"/>
        <v>New</v>
      </c>
    </row>
    <row r="4152" spans="1:16" x14ac:dyDescent="0.25">
      <c r="A4152">
        <v>2025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  <c r="M4152" t="str">
        <f t="shared" si="256"/>
        <v>30-45</v>
      </c>
      <c r="N4152" t="str">
        <f t="shared" si="257"/>
        <v>High</v>
      </c>
      <c r="O4152" t="str">
        <f t="shared" si="258"/>
        <v>High Balance</v>
      </c>
      <c r="P4152" t="str">
        <f t="shared" si="259"/>
        <v>Mid-term</v>
      </c>
    </row>
    <row r="4153" spans="1:16" x14ac:dyDescent="0.25">
      <c r="A4153">
        <v>2025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  <c r="M4153" t="str">
        <f t="shared" si="256"/>
        <v>30-45</v>
      </c>
      <c r="N4153" t="str">
        <f t="shared" si="257"/>
        <v>Medium</v>
      </c>
      <c r="O4153" t="str">
        <f t="shared" si="258"/>
        <v>High Balance</v>
      </c>
      <c r="P4153" t="str">
        <f t="shared" si="259"/>
        <v>Mid-term</v>
      </c>
    </row>
    <row r="4154" spans="1:16" x14ac:dyDescent="0.25">
      <c r="A4154">
        <v>2025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  <c r="M4154" t="str">
        <f t="shared" si="256"/>
        <v>30-45</v>
      </c>
      <c r="N4154" t="str">
        <f t="shared" si="257"/>
        <v>High</v>
      </c>
      <c r="O4154" t="str">
        <f t="shared" si="258"/>
        <v>High Balance</v>
      </c>
      <c r="P4154" t="str">
        <f t="shared" si="259"/>
        <v>Long-term</v>
      </c>
    </row>
    <row r="4155" spans="1:16" x14ac:dyDescent="0.25">
      <c r="A4155">
        <v>2025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  <c r="M4155" t="str">
        <f t="shared" si="256"/>
        <v>46-60</v>
      </c>
      <c r="N4155" t="str">
        <f t="shared" si="257"/>
        <v>Medium</v>
      </c>
      <c r="O4155" t="str">
        <f t="shared" si="258"/>
        <v>Low Balance</v>
      </c>
      <c r="P4155" t="str">
        <f t="shared" si="259"/>
        <v>Long-term</v>
      </c>
    </row>
    <row r="4156" spans="1:16" x14ac:dyDescent="0.25">
      <c r="A4156">
        <v>2025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  <c r="M4156" t="str">
        <f t="shared" si="256"/>
        <v>30-45</v>
      </c>
      <c r="N4156" t="str">
        <f t="shared" si="257"/>
        <v>High</v>
      </c>
      <c r="O4156" t="str">
        <f t="shared" si="258"/>
        <v>Zero Balance</v>
      </c>
      <c r="P4156" t="str">
        <f t="shared" si="259"/>
        <v>New</v>
      </c>
    </row>
    <row r="4157" spans="1:16" x14ac:dyDescent="0.25">
      <c r="A4157">
        <v>2025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  <c r="M4157" t="str">
        <f t="shared" si="256"/>
        <v>30-45</v>
      </c>
      <c r="N4157" t="str">
        <f t="shared" si="257"/>
        <v>Medium</v>
      </c>
      <c r="O4157" t="str">
        <f t="shared" si="258"/>
        <v>Low Balance</v>
      </c>
      <c r="P4157" t="str">
        <f t="shared" si="259"/>
        <v>Long-term</v>
      </c>
    </row>
    <row r="4158" spans="1:16" x14ac:dyDescent="0.25">
      <c r="A4158">
        <v>2025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  <c r="M4158" t="str">
        <f t="shared" si="256"/>
        <v>30-45</v>
      </c>
      <c r="N4158" t="str">
        <f t="shared" si="257"/>
        <v>Medium</v>
      </c>
      <c r="O4158" t="str">
        <f t="shared" si="258"/>
        <v>High Balance</v>
      </c>
      <c r="P4158" t="str">
        <f t="shared" si="259"/>
        <v>Long-term</v>
      </c>
    </row>
    <row r="4159" spans="1:16" x14ac:dyDescent="0.25">
      <c r="A4159">
        <v>2025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  <c r="M4159" t="str">
        <f t="shared" si="256"/>
        <v>60+</v>
      </c>
      <c r="N4159" t="str">
        <f t="shared" si="257"/>
        <v>High</v>
      </c>
      <c r="O4159" t="str">
        <f t="shared" si="258"/>
        <v>Zero Balance</v>
      </c>
      <c r="P4159" t="str">
        <f t="shared" si="259"/>
        <v>Mid-term</v>
      </c>
    </row>
    <row r="4160" spans="1:16" x14ac:dyDescent="0.25">
      <c r="A4160">
        <v>2025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  <c r="M4160" t="str">
        <f t="shared" si="256"/>
        <v>30-45</v>
      </c>
      <c r="N4160" t="str">
        <f t="shared" si="257"/>
        <v>High</v>
      </c>
      <c r="O4160" t="str">
        <f t="shared" si="258"/>
        <v>High Balance</v>
      </c>
      <c r="P4160" t="str">
        <f t="shared" si="259"/>
        <v>New</v>
      </c>
    </row>
    <row r="4161" spans="1:16" x14ac:dyDescent="0.25">
      <c r="A4161">
        <v>2025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  <c r="M4161" t="str">
        <f t="shared" si="256"/>
        <v>&lt;30</v>
      </c>
      <c r="N4161" t="str">
        <f t="shared" si="257"/>
        <v>High</v>
      </c>
      <c r="O4161" t="str">
        <f t="shared" si="258"/>
        <v>High Balance</v>
      </c>
      <c r="P4161" t="str">
        <f t="shared" si="259"/>
        <v>New</v>
      </c>
    </row>
    <row r="4162" spans="1:16" x14ac:dyDescent="0.25">
      <c r="A4162">
        <v>2025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  <c r="M4162" t="str">
        <f t="shared" si="256"/>
        <v>30-45</v>
      </c>
      <c r="N4162" t="str">
        <f t="shared" si="257"/>
        <v>Medium</v>
      </c>
      <c r="O4162" t="str">
        <f t="shared" si="258"/>
        <v>High Balance</v>
      </c>
      <c r="P4162" t="str">
        <f t="shared" si="259"/>
        <v>Mid-term</v>
      </c>
    </row>
    <row r="4163" spans="1:16" x14ac:dyDescent="0.25">
      <c r="A4163">
        <v>2025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  <c r="M4163" t="str">
        <f t="shared" ref="M4163:M4226" si="260">IF(E4163&lt;30,"&lt;30",IF(E4163&lt;=45,"30-45",IF(E4163&lt;=60,"46-60","60+")))</f>
        <v>30-45</v>
      </c>
      <c r="N4163" t="str">
        <f t="shared" ref="N4163:N4226" si="261">IF(B4163&lt;500,"Low",IF(B4163&lt;700,"Medium","High"))</f>
        <v>High</v>
      </c>
      <c r="O4163" t="str">
        <f t="shared" ref="O4163:O4226" si="262">IF(G4163=0,"Zero Balance",IF(G4163&lt;100000,"Low Balance","High Balance"))</f>
        <v>High Balance</v>
      </c>
      <c r="P4163" t="str">
        <f t="shared" ref="P4163:P4226" si="263">IF(F4163&lt;=3,"New",IF(F4163&lt;=7,"Mid-term","Long-term"))</f>
        <v>Mid-term</v>
      </c>
    </row>
    <row r="4164" spans="1:16" x14ac:dyDescent="0.25">
      <c r="A4164">
        <v>2025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  <c r="M4164" t="str">
        <f t="shared" si="260"/>
        <v>60+</v>
      </c>
      <c r="N4164" t="str">
        <f t="shared" si="261"/>
        <v>Medium</v>
      </c>
      <c r="O4164" t="str">
        <f t="shared" si="262"/>
        <v>Zero Balance</v>
      </c>
      <c r="P4164" t="str">
        <f t="shared" si="263"/>
        <v>Mid-term</v>
      </c>
    </row>
    <row r="4165" spans="1:16" x14ac:dyDescent="0.25">
      <c r="A4165">
        <v>2025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  <c r="M4165" t="str">
        <f t="shared" si="260"/>
        <v>30-45</v>
      </c>
      <c r="N4165" t="str">
        <f t="shared" si="261"/>
        <v>Medium</v>
      </c>
      <c r="O4165" t="str">
        <f t="shared" si="262"/>
        <v>Zero Balance</v>
      </c>
      <c r="P4165" t="str">
        <f t="shared" si="263"/>
        <v>Mid-term</v>
      </c>
    </row>
    <row r="4166" spans="1:16" x14ac:dyDescent="0.25">
      <c r="A4166">
        <v>2025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  <c r="M4166" t="str">
        <f t="shared" si="260"/>
        <v>30-45</v>
      </c>
      <c r="N4166" t="str">
        <f t="shared" si="261"/>
        <v>Medium</v>
      </c>
      <c r="O4166" t="str">
        <f t="shared" si="262"/>
        <v>Low Balance</v>
      </c>
      <c r="P4166" t="str">
        <f t="shared" si="263"/>
        <v>New</v>
      </c>
    </row>
    <row r="4167" spans="1:16" x14ac:dyDescent="0.25">
      <c r="A4167">
        <v>2025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  <c r="M4167" t="str">
        <f t="shared" si="260"/>
        <v>46-60</v>
      </c>
      <c r="N4167" t="str">
        <f t="shared" si="261"/>
        <v>High</v>
      </c>
      <c r="O4167" t="str">
        <f t="shared" si="262"/>
        <v>Zero Balance</v>
      </c>
      <c r="P4167" t="str">
        <f t="shared" si="263"/>
        <v>Mid-term</v>
      </c>
    </row>
    <row r="4168" spans="1:16" x14ac:dyDescent="0.25">
      <c r="A4168">
        <v>2025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  <c r="M4168" t="str">
        <f t="shared" si="260"/>
        <v>30-45</v>
      </c>
      <c r="N4168" t="str">
        <f t="shared" si="261"/>
        <v>High</v>
      </c>
      <c r="O4168" t="str">
        <f t="shared" si="262"/>
        <v>High Balance</v>
      </c>
      <c r="P4168" t="str">
        <f t="shared" si="263"/>
        <v>Mid-term</v>
      </c>
    </row>
    <row r="4169" spans="1:16" x14ac:dyDescent="0.25">
      <c r="A4169">
        <v>2025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  <c r="M4169" t="str">
        <f t="shared" si="260"/>
        <v>30-45</v>
      </c>
      <c r="N4169" t="str">
        <f t="shared" si="261"/>
        <v>High</v>
      </c>
      <c r="O4169" t="str">
        <f t="shared" si="262"/>
        <v>High Balance</v>
      </c>
      <c r="P4169" t="str">
        <f t="shared" si="263"/>
        <v>Long-term</v>
      </c>
    </row>
    <row r="4170" spans="1:16" x14ac:dyDescent="0.25">
      <c r="A4170">
        <v>2025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  <c r="M4170" t="str">
        <f t="shared" si="260"/>
        <v>30-45</v>
      </c>
      <c r="N4170" t="str">
        <f t="shared" si="261"/>
        <v>Medium</v>
      </c>
      <c r="O4170" t="str">
        <f t="shared" si="262"/>
        <v>Zero Balance</v>
      </c>
      <c r="P4170" t="str">
        <f t="shared" si="263"/>
        <v>Long-term</v>
      </c>
    </row>
    <row r="4171" spans="1:16" x14ac:dyDescent="0.25">
      <c r="A4171">
        <v>2025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  <c r="M4171" t="str">
        <f t="shared" si="260"/>
        <v>30-45</v>
      </c>
      <c r="N4171" t="str">
        <f t="shared" si="261"/>
        <v>Medium</v>
      </c>
      <c r="O4171" t="str">
        <f t="shared" si="262"/>
        <v>Zero Balance</v>
      </c>
      <c r="P4171" t="str">
        <f t="shared" si="263"/>
        <v>Long-term</v>
      </c>
    </row>
    <row r="4172" spans="1:16" x14ac:dyDescent="0.25">
      <c r="A4172">
        <v>2025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  <c r="M4172" t="str">
        <f t="shared" si="260"/>
        <v>60+</v>
      </c>
      <c r="N4172" t="str">
        <f t="shared" si="261"/>
        <v>Medium</v>
      </c>
      <c r="O4172" t="str">
        <f t="shared" si="262"/>
        <v>Low Balance</v>
      </c>
      <c r="P4172" t="str">
        <f t="shared" si="263"/>
        <v>New</v>
      </c>
    </row>
    <row r="4173" spans="1:16" x14ac:dyDescent="0.25">
      <c r="A4173">
        <v>2025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  <c r="M4173" t="str">
        <f t="shared" si="260"/>
        <v>&lt;30</v>
      </c>
      <c r="N4173" t="str">
        <f t="shared" si="261"/>
        <v>Medium</v>
      </c>
      <c r="O4173" t="str">
        <f t="shared" si="262"/>
        <v>Zero Balance</v>
      </c>
      <c r="P4173" t="str">
        <f t="shared" si="263"/>
        <v>Mid-term</v>
      </c>
    </row>
    <row r="4174" spans="1:16" x14ac:dyDescent="0.25">
      <c r="A4174">
        <v>2025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  <c r="M4174" t="str">
        <f t="shared" si="260"/>
        <v>30-45</v>
      </c>
      <c r="N4174" t="str">
        <f t="shared" si="261"/>
        <v>Medium</v>
      </c>
      <c r="O4174" t="str">
        <f t="shared" si="262"/>
        <v>Zero Balance</v>
      </c>
      <c r="P4174" t="str">
        <f t="shared" si="263"/>
        <v>New</v>
      </c>
    </row>
    <row r="4175" spans="1:16" x14ac:dyDescent="0.25">
      <c r="A4175">
        <v>2025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  <c r="M4175" t="str">
        <f t="shared" si="260"/>
        <v>&lt;30</v>
      </c>
      <c r="N4175" t="str">
        <f t="shared" si="261"/>
        <v>High</v>
      </c>
      <c r="O4175" t="str">
        <f t="shared" si="262"/>
        <v>High Balance</v>
      </c>
      <c r="P4175" t="str">
        <f t="shared" si="263"/>
        <v>New</v>
      </c>
    </row>
    <row r="4176" spans="1:16" x14ac:dyDescent="0.25">
      <c r="A4176">
        <v>2025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  <c r="M4176" t="str">
        <f t="shared" si="260"/>
        <v>46-60</v>
      </c>
      <c r="N4176" t="str">
        <f t="shared" si="261"/>
        <v>Medium</v>
      </c>
      <c r="O4176" t="str">
        <f t="shared" si="262"/>
        <v>Zero Balance</v>
      </c>
      <c r="P4176" t="str">
        <f t="shared" si="263"/>
        <v>Mid-term</v>
      </c>
    </row>
    <row r="4177" spans="1:16" x14ac:dyDescent="0.25">
      <c r="A4177">
        <v>2025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  <c r="M4177" t="str">
        <f t="shared" si="260"/>
        <v>30-45</v>
      </c>
      <c r="N4177" t="str">
        <f t="shared" si="261"/>
        <v>High</v>
      </c>
      <c r="O4177" t="str">
        <f t="shared" si="262"/>
        <v>Zero Balance</v>
      </c>
      <c r="P4177" t="str">
        <f t="shared" si="263"/>
        <v>New</v>
      </c>
    </row>
    <row r="4178" spans="1:16" x14ac:dyDescent="0.25">
      <c r="A4178">
        <v>2025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  <c r="M4178" t="str">
        <f t="shared" si="260"/>
        <v>30-45</v>
      </c>
      <c r="N4178" t="str">
        <f t="shared" si="261"/>
        <v>High</v>
      </c>
      <c r="O4178" t="str">
        <f t="shared" si="262"/>
        <v>High Balance</v>
      </c>
      <c r="P4178" t="str">
        <f t="shared" si="263"/>
        <v>Long-term</v>
      </c>
    </row>
    <row r="4179" spans="1:16" x14ac:dyDescent="0.25">
      <c r="A4179">
        <v>2025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  <c r="M4179" t="str">
        <f t="shared" si="260"/>
        <v>30-45</v>
      </c>
      <c r="N4179" t="str">
        <f t="shared" si="261"/>
        <v>High</v>
      </c>
      <c r="O4179" t="str">
        <f t="shared" si="262"/>
        <v>Zero Balance</v>
      </c>
      <c r="P4179" t="str">
        <f t="shared" si="263"/>
        <v>Mid-term</v>
      </c>
    </row>
    <row r="4180" spans="1:16" x14ac:dyDescent="0.25">
      <c r="A4180">
        <v>2025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  <c r="M4180" t="str">
        <f t="shared" si="260"/>
        <v>30-45</v>
      </c>
      <c r="N4180" t="str">
        <f t="shared" si="261"/>
        <v>Medium</v>
      </c>
      <c r="O4180" t="str">
        <f t="shared" si="262"/>
        <v>Zero Balance</v>
      </c>
      <c r="P4180" t="str">
        <f t="shared" si="263"/>
        <v>New</v>
      </c>
    </row>
    <row r="4181" spans="1:16" x14ac:dyDescent="0.25">
      <c r="A4181">
        <v>2025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  <c r="M4181" t="str">
        <f t="shared" si="260"/>
        <v>30-45</v>
      </c>
      <c r="N4181" t="str">
        <f t="shared" si="261"/>
        <v>High</v>
      </c>
      <c r="O4181" t="str">
        <f t="shared" si="262"/>
        <v>Zero Balance</v>
      </c>
      <c r="P4181" t="str">
        <f t="shared" si="263"/>
        <v>New</v>
      </c>
    </row>
    <row r="4182" spans="1:16" x14ac:dyDescent="0.25">
      <c r="A4182">
        <v>2025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  <c r="M4182" t="str">
        <f t="shared" si="260"/>
        <v>30-45</v>
      </c>
      <c r="N4182" t="str">
        <f t="shared" si="261"/>
        <v>Medium</v>
      </c>
      <c r="O4182" t="str">
        <f t="shared" si="262"/>
        <v>High Balance</v>
      </c>
      <c r="P4182" t="str">
        <f t="shared" si="263"/>
        <v>Long-term</v>
      </c>
    </row>
    <row r="4183" spans="1:16" x14ac:dyDescent="0.25">
      <c r="A4183">
        <v>2025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  <c r="M4183" t="str">
        <f t="shared" si="260"/>
        <v>&lt;30</v>
      </c>
      <c r="N4183" t="str">
        <f t="shared" si="261"/>
        <v>Medium</v>
      </c>
      <c r="O4183" t="str">
        <f t="shared" si="262"/>
        <v>High Balance</v>
      </c>
      <c r="P4183" t="str">
        <f t="shared" si="263"/>
        <v>Mid-term</v>
      </c>
    </row>
    <row r="4184" spans="1:16" x14ac:dyDescent="0.25">
      <c r="A4184">
        <v>2025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  <c r="M4184" t="str">
        <f t="shared" si="260"/>
        <v>46-60</v>
      </c>
      <c r="N4184" t="str">
        <f t="shared" si="261"/>
        <v>Medium</v>
      </c>
      <c r="O4184" t="str">
        <f t="shared" si="262"/>
        <v>High Balance</v>
      </c>
      <c r="P4184" t="str">
        <f t="shared" si="263"/>
        <v>Mid-term</v>
      </c>
    </row>
    <row r="4185" spans="1:16" x14ac:dyDescent="0.25">
      <c r="A4185">
        <v>2025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  <c r="M4185" t="str">
        <f t="shared" si="260"/>
        <v>&lt;30</v>
      </c>
      <c r="N4185" t="str">
        <f t="shared" si="261"/>
        <v>Low</v>
      </c>
      <c r="O4185" t="str">
        <f t="shared" si="262"/>
        <v>Zero Balance</v>
      </c>
      <c r="P4185" t="str">
        <f t="shared" si="263"/>
        <v>New</v>
      </c>
    </row>
    <row r="4186" spans="1:16" x14ac:dyDescent="0.25">
      <c r="A4186">
        <v>2025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  <c r="M4186" t="str">
        <f t="shared" si="260"/>
        <v>46-60</v>
      </c>
      <c r="N4186" t="str">
        <f t="shared" si="261"/>
        <v>Medium</v>
      </c>
      <c r="O4186" t="str">
        <f t="shared" si="262"/>
        <v>High Balance</v>
      </c>
      <c r="P4186" t="str">
        <f t="shared" si="263"/>
        <v>Long-term</v>
      </c>
    </row>
    <row r="4187" spans="1:16" x14ac:dyDescent="0.25">
      <c r="A4187">
        <v>2025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  <c r="M4187" t="str">
        <f t="shared" si="260"/>
        <v>30-45</v>
      </c>
      <c r="N4187" t="str">
        <f t="shared" si="261"/>
        <v>Medium</v>
      </c>
      <c r="O4187" t="str">
        <f t="shared" si="262"/>
        <v>Zero Balance</v>
      </c>
      <c r="P4187" t="str">
        <f t="shared" si="263"/>
        <v>Long-term</v>
      </c>
    </row>
    <row r="4188" spans="1:16" x14ac:dyDescent="0.25">
      <c r="A4188">
        <v>2025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  <c r="M4188" t="str">
        <f t="shared" si="260"/>
        <v>&lt;30</v>
      </c>
      <c r="N4188" t="str">
        <f t="shared" si="261"/>
        <v>High</v>
      </c>
      <c r="O4188" t="str">
        <f t="shared" si="262"/>
        <v>High Balance</v>
      </c>
      <c r="P4188" t="str">
        <f t="shared" si="263"/>
        <v>Mid-term</v>
      </c>
    </row>
    <row r="4189" spans="1:16" x14ac:dyDescent="0.25">
      <c r="A4189">
        <v>2025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  <c r="M4189" t="str">
        <f t="shared" si="260"/>
        <v>30-45</v>
      </c>
      <c r="N4189" t="str">
        <f t="shared" si="261"/>
        <v>Medium</v>
      </c>
      <c r="O4189" t="str">
        <f t="shared" si="262"/>
        <v>High Balance</v>
      </c>
      <c r="P4189" t="str">
        <f t="shared" si="263"/>
        <v>Mid-term</v>
      </c>
    </row>
    <row r="4190" spans="1:16" x14ac:dyDescent="0.25">
      <c r="A4190">
        <v>2025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  <c r="M4190" t="str">
        <f t="shared" si="260"/>
        <v>46-60</v>
      </c>
      <c r="N4190" t="str">
        <f t="shared" si="261"/>
        <v>Medium</v>
      </c>
      <c r="O4190" t="str">
        <f t="shared" si="262"/>
        <v>High Balance</v>
      </c>
      <c r="P4190" t="str">
        <f t="shared" si="263"/>
        <v>Long-term</v>
      </c>
    </row>
    <row r="4191" spans="1:16" x14ac:dyDescent="0.25">
      <c r="A4191">
        <v>2025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  <c r="M4191" t="str">
        <f t="shared" si="260"/>
        <v>30-45</v>
      </c>
      <c r="N4191" t="str">
        <f t="shared" si="261"/>
        <v>Medium</v>
      </c>
      <c r="O4191" t="str">
        <f t="shared" si="262"/>
        <v>High Balance</v>
      </c>
      <c r="P4191" t="str">
        <f t="shared" si="263"/>
        <v>Mid-term</v>
      </c>
    </row>
    <row r="4192" spans="1:16" x14ac:dyDescent="0.25">
      <c r="A4192">
        <v>2025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  <c r="M4192" t="str">
        <f t="shared" si="260"/>
        <v>30-45</v>
      </c>
      <c r="N4192" t="str">
        <f t="shared" si="261"/>
        <v>High</v>
      </c>
      <c r="O4192" t="str">
        <f t="shared" si="262"/>
        <v>High Balance</v>
      </c>
      <c r="P4192" t="str">
        <f t="shared" si="263"/>
        <v>New</v>
      </c>
    </row>
    <row r="4193" spans="1:16" x14ac:dyDescent="0.25">
      <c r="A4193">
        <v>2025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  <c r="M4193" t="str">
        <f t="shared" si="260"/>
        <v>30-45</v>
      </c>
      <c r="N4193" t="str">
        <f t="shared" si="261"/>
        <v>Medium</v>
      </c>
      <c r="O4193" t="str">
        <f t="shared" si="262"/>
        <v>Low Balance</v>
      </c>
      <c r="P4193" t="str">
        <f t="shared" si="263"/>
        <v>New</v>
      </c>
    </row>
    <row r="4194" spans="1:16" x14ac:dyDescent="0.25">
      <c r="A4194">
        <v>2025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  <c r="M4194" t="str">
        <f t="shared" si="260"/>
        <v>46-60</v>
      </c>
      <c r="N4194" t="str">
        <f t="shared" si="261"/>
        <v>Medium</v>
      </c>
      <c r="O4194" t="str">
        <f t="shared" si="262"/>
        <v>Zero Balance</v>
      </c>
      <c r="P4194" t="str">
        <f t="shared" si="263"/>
        <v>New</v>
      </c>
    </row>
    <row r="4195" spans="1:16" x14ac:dyDescent="0.25">
      <c r="A4195">
        <v>2025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  <c r="M4195" t="str">
        <f t="shared" si="260"/>
        <v>30-45</v>
      </c>
      <c r="N4195" t="str">
        <f t="shared" si="261"/>
        <v>Medium</v>
      </c>
      <c r="O4195" t="str">
        <f t="shared" si="262"/>
        <v>Zero Balance</v>
      </c>
      <c r="P4195" t="str">
        <f t="shared" si="263"/>
        <v>New</v>
      </c>
    </row>
    <row r="4196" spans="1:16" x14ac:dyDescent="0.25">
      <c r="A4196">
        <v>2025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  <c r="M4196" t="str">
        <f t="shared" si="260"/>
        <v>46-60</v>
      </c>
      <c r="N4196" t="str">
        <f t="shared" si="261"/>
        <v>Medium</v>
      </c>
      <c r="O4196" t="str">
        <f t="shared" si="262"/>
        <v>Low Balance</v>
      </c>
      <c r="P4196" t="str">
        <f t="shared" si="263"/>
        <v>Long-term</v>
      </c>
    </row>
    <row r="4197" spans="1:16" x14ac:dyDescent="0.25">
      <c r="A4197">
        <v>2025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  <c r="M4197" t="str">
        <f t="shared" si="260"/>
        <v>46-60</v>
      </c>
      <c r="N4197" t="str">
        <f t="shared" si="261"/>
        <v>Medium</v>
      </c>
      <c r="O4197" t="str">
        <f t="shared" si="262"/>
        <v>High Balance</v>
      </c>
      <c r="P4197" t="str">
        <f t="shared" si="263"/>
        <v>New</v>
      </c>
    </row>
    <row r="4198" spans="1:16" x14ac:dyDescent="0.25">
      <c r="A4198">
        <v>2025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  <c r="M4198" t="str">
        <f t="shared" si="260"/>
        <v>46-60</v>
      </c>
      <c r="N4198" t="str">
        <f t="shared" si="261"/>
        <v>Medium</v>
      </c>
      <c r="O4198" t="str">
        <f t="shared" si="262"/>
        <v>Zero Balance</v>
      </c>
      <c r="P4198" t="str">
        <f t="shared" si="263"/>
        <v>Mid-term</v>
      </c>
    </row>
    <row r="4199" spans="1:16" x14ac:dyDescent="0.25">
      <c r="A4199">
        <v>2025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  <c r="M4199" t="str">
        <f t="shared" si="260"/>
        <v>46-60</v>
      </c>
      <c r="N4199" t="str">
        <f t="shared" si="261"/>
        <v>Medium</v>
      </c>
      <c r="O4199" t="str">
        <f t="shared" si="262"/>
        <v>High Balance</v>
      </c>
      <c r="P4199" t="str">
        <f t="shared" si="263"/>
        <v>New</v>
      </c>
    </row>
    <row r="4200" spans="1:16" x14ac:dyDescent="0.25">
      <c r="A4200">
        <v>2025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  <c r="M4200" t="str">
        <f t="shared" si="260"/>
        <v>30-45</v>
      </c>
      <c r="N4200" t="str">
        <f t="shared" si="261"/>
        <v>Medium</v>
      </c>
      <c r="O4200" t="str">
        <f t="shared" si="262"/>
        <v>Zero Balance</v>
      </c>
      <c r="P4200" t="str">
        <f t="shared" si="263"/>
        <v>New</v>
      </c>
    </row>
    <row r="4201" spans="1:16" x14ac:dyDescent="0.25">
      <c r="A4201">
        <v>2025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  <c r="M4201" t="str">
        <f t="shared" si="260"/>
        <v>30-45</v>
      </c>
      <c r="N4201" t="str">
        <f t="shared" si="261"/>
        <v>Medium</v>
      </c>
      <c r="O4201" t="str">
        <f t="shared" si="262"/>
        <v>High Balance</v>
      </c>
      <c r="P4201" t="str">
        <f t="shared" si="263"/>
        <v>Long-term</v>
      </c>
    </row>
    <row r="4202" spans="1:16" x14ac:dyDescent="0.25">
      <c r="A4202">
        <v>2025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  <c r="M4202" t="str">
        <f t="shared" si="260"/>
        <v>30-45</v>
      </c>
      <c r="N4202" t="str">
        <f t="shared" si="261"/>
        <v>Medium</v>
      </c>
      <c r="O4202" t="str">
        <f t="shared" si="262"/>
        <v>Zero Balance</v>
      </c>
      <c r="P4202" t="str">
        <f t="shared" si="263"/>
        <v>Mid-term</v>
      </c>
    </row>
    <row r="4203" spans="1:16" x14ac:dyDescent="0.25">
      <c r="A4203">
        <v>2025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  <c r="M4203" t="str">
        <f t="shared" si="260"/>
        <v>46-60</v>
      </c>
      <c r="N4203" t="str">
        <f t="shared" si="261"/>
        <v>Medium</v>
      </c>
      <c r="O4203" t="str">
        <f t="shared" si="262"/>
        <v>High Balance</v>
      </c>
      <c r="P4203" t="str">
        <f t="shared" si="263"/>
        <v>Mid-term</v>
      </c>
    </row>
    <row r="4204" spans="1:16" x14ac:dyDescent="0.25">
      <c r="A4204">
        <v>2025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  <c r="M4204" t="str">
        <f t="shared" si="260"/>
        <v>30-45</v>
      </c>
      <c r="N4204" t="str">
        <f t="shared" si="261"/>
        <v>Medium</v>
      </c>
      <c r="O4204" t="str">
        <f t="shared" si="262"/>
        <v>Zero Balance</v>
      </c>
      <c r="P4204" t="str">
        <f t="shared" si="263"/>
        <v>Long-term</v>
      </c>
    </row>
    <row r="4205" spans="1:16" x14ac:dyDescent="0.25">
      <c r="A4205">
        <v>2025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  <c r="M4205" t="str">
        <f t="shared" si="260"/>
        <v>46-60</v>
      </c>
      <c r="N4205" t="str">
        <f t="shared" si="261"/>
        <v>High</v>
      </c>
      <c r="O4205" t="str">
        <f t="shared" si="262"/>
        <v>Zero Balance</v>
      </c>
      <c r="P4205" t="str">
        <f t="shared" si="263"/>
        <v>Mid-term</v>
      </c>
    </row>
    <row r="4206" spans="1:16" x14ac:dyDescent="0.25">
      <c r="A4206">
        <v>2025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  <c r="M4206" t="str">
        <f t="shared" si="260"/>
        <v>&lt;30</v>
      </c>
      <c r="N4206" t="str">
        <f t="shared" si="261"/>
        <v>Medium</v>
      </c>
      <c r="O4206" t="str">
        <f t="shared" si="262"/>
        <v>High Balance</v>
      </c>
      <c r="P4206" t="str">
        <f t="shared" si="263"/>
        <v>New</v>
      </c>
    </row>
    <row r="4207" spans="1:16" x14ac:dyDescent="0.25">
      <c r="A4207">
        <v>2025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  <c r="M4207" t="str">
        <f t="shared" si="260"/>
        <v>30-45</v>
      </c>
      <c r="N4207" t="str">
        <f t="shared" si="261"/>
        <v>Medium</v>
      </c>
      <c r="O4207" t="str">
        <f t="shared" si="262"/>
        <v>High Balance</v>
      </c>
      <c r="P4207" t="str">
        <f t="shared" si="263"/>
        <v>Mid-term</v>
      </c>
    </row>
    <row r="4208" spans="1:16" x14ac:dyDescent="0.25">
      <c r="A4208">
        <v>2025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  <c r="M4208" t="str">
        <f t="shared" si="260"/>
        <v>46-60</v>
      </c>
      <c r="N4208" t="str">
        <f t="shared" si="261"/>
        <v>Medium</v>
      </c>
      <c r="O4208" t="str">
        <f t="shared" si="262"/>
        <v>Low Balance</v>
      </c>
      <c r="P4208" t="str">
        <f t="shared" si="263"/>
        <v>Long-term</v>
      </c>
    </row>
    <row r="4209" spans="1:16" x14ac:dyDescent="0.25">
      <c r="A4209">
        <v>2025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  <c r="M4209" t="str">
        <f t="shared" si="260"/>
        <v>30-45</v>
      </c>
      <c r="N4209" t="str">
        <f t="shared" si="261"/>
        <v>Medium</v>
      </c>
      <c r="O4209" t="str">
        <f t="shared" si="262"/>
        <v>High Balance</v>
      </c>
      <c r="P4209" t="str">
        <f t="shared" si="263"/>
        <v>Mid-term</v>
      </c>
    </row>
    <row r="4210" spans="1:16" x14ac:dyDescent="0.25">
      <c r="A4210">
        <v>2025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  <c r="M4210" t="str">
        <f t="shared" si="260"/>
        <v>30-45</v>
      </c>
      <c r="N4210" t="str">
        <f t="shared" si="261"/>
        <v>Low</v>
      </c>
      <c r="O4210" t="str">
        <f t="shared" si="262"/>
        <v>Low Balance</v>
      </c>
      <c r="P4210" t="str">
        <f t="shared" si="263"/>
        <v>Mid-term</v>
      </c>
    </row>
    <row r="4211" spans="1:16" x14ac:dyDescent="0.25">
      <c r="A4211">
        <v>2025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  <c r="M4211" t="str">
        <f t="shared" si="260"/>
        <v>46-60</v>
      </c>
      <c r="N4211" t="str">
        <f t="shared" si="261"/>
        <v>Medium</v>
      </c>
      <c r="O4211" t="str">
        <f t="shared" si="262"/>
        <v>Zero Balance</v>
      </c>
      <c r="P4211" t="str">
        <f t="shared" si="263"/>
        <v>Long-term</v>
      </c>
    </row>
    <row r="4212" spans="1:16" x14ac:dyDescent="0.25">
      <c r="A4212">
        <v>2025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  <c r="M4212" t="str">
        <f t="shared" si="260"/>
        <v>&lt;30</v>
      </c>
      <c r="N4212" t="str">
        <f t="shared" si="261"/>
        <v>Low</v>
      </c>
      <c r="O4212" t="str">
        <f t="shared" si="262"/>
        <v>High Balance</v>
      </c>
      <c r="P4212" t="str">
        <f t="shared" si="263"/>
        <v>New</v>
      </c>
    </row>
    <row r="4213" spans="1:16" x14ac:dyDescent="0.25">
      <c r="A4213">
        <v>2025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  <c r="M4213" t="str">
        <f t="shared" si="260"/>
        <v>46-60</v>
      </c>
      <c r="N4213" t="str">
        <f t="shared" si="261"/>
        <v>High</v>
      </c>
      <c r="O4213" t="str">
        <f t="shared" si="262"/>
        <v>Zero Balance</v>
      </c>
      <c r="P4213" t="str">
        <f t="shared" si="263"/>
        <v>New</v>
      </c>
    </row>
    <row r="4214" spans="1:16" x14ac:dyDescent="0.25">
      <c r="A4214">
        <v>2025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  <c r="M4214" t="str">
        <f t="shared" si="260"/>
        <v>&lt;30</v>
      </c>
      <c r="N4214" t="str">
        <f t="shared" si="261"/>
        <v>Medium</v>
      </c>
      <c r="O4214" t="str">
        <f t="shared" si="262"/>
        <v>Zero Balance</v>
      </c>
      <c r="P4214" t="str">
        <f t="shared" si="263"/>
        <v>Mid-term</v>
      </c>
    </row>
    <row r="4215" spans="1:16" x14ac:dyDescent="0.25">
      <c r="A4215">
        <v>2025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  <c r="M4215" t="str">
        <f t="shared" si="260"/>
        <v>30-45</v>
      </c>
      <c r="N4215" t="str">
        <f t="shared" si="261"/>
        <v>High</v>
      </c>
      <c r="O4215" t="str">
        <f t="shared" si="262"/>
        <v>Zero Balance</v>
      </c>
      <c r="P4215" t="str">
        <f t="shared" si="263"/>
        <v>Long-term</v>
      </c>
    </row>
    <row r="4216" spans="1:16" x14ac:dyDescent="0.25">
      <c r="A4216">
        <v>2025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  <c r="M4216" t="str">
        <f t="shared" si="260"/>
        <v>&lt;30</v>
      </c>
      <c r="N4216" t="str">
        <f t="shared" si="261"/>
        <v>Medium</v>
      </c>
      <c r="O4216" t="str">
        <f t="shared" si="262"/>
        <v>Zero Balance</v>
      </c>
      <c r="P4216" t="str">
        <f t="shared" si="263"/>
        <v>Mid-term</v>
      </c>
    </row>
    <row r="4217" spans="1:16" x14ac:dyDescent="0.25">
      <c r="A4217">
        <v>2025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  <c r="M4217" t="str">
        <f t="shared" si="260"/>
        <v>46-60</v>
      </c>
      <c r="N4217" t="str">
        <f t="shared" si="261"/>
        <v>High</v>
      </c>
      <c r="O4217" t="str">
        <f t="shared" si="262"/>
        <v>High Balance</v>
      </c>
      <c r="P4217" t="str">
        <f t="shared" si="263"/>
        <v>New</v>
      </c>
    </row>
    <row r="4218" spans="1:16" x14ac:dyDescent="0.25">
      <c r="A4218">
        <v>2025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  <c r="M4218" t="str">
        <f t="shared" si="260"/>
        <v>46-60</v>
      </c>
      <c r="N4218" t="str">
        <f t="shared" si="261"/>
        <v>High</v>
      </c>
      <c r="O4218" t="str">
        <f t="shared" si="262"/>
        <v>Low Balance</v>
      </c>
      <c r="P4218" t="str">
        <f t="shared" si="263"/>
        <v>Long-term</v>
      </c>
    </row>
    <row r="4219" spans="1:16" x14ac:dyDescent="0.25">
      <c r="A4219">
        <v>2025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  <c r="M4219" t="str">
        <f t="shared" si="260"/>
        <v>30-45</v>
      </c>
      <c r="N4219" t="str">
        <f t="shared" si="261"/>
        <v>Medium</v>
      </c>
      <c r="O4219" t="str">
        <f t="shared" si="262"/>
        <v>High Balance</v>
      </c>
      <c r="P4219" t="str">
        <f t="shared" si="263"/>
        <v>Mid-term</v>
      </c>
    </row>
    <row r="4220" spans="1:16" x14ac:dyDescent="0.25">
      <c r="A4220">
        <v>2025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  <c r="M4220" t="str">
        <f t="shared" si="260"/>
        <v>&lt;30</v>
      </c>
      <c r="N4220" t="str">
        <f t="shared" si="261"/>
        <v>Medium</v>
      </c>
      <c r="O4220" t="str">
        <f t="shared" si="262"/>
        <v>Low Balance</v>
      </c>
      <c r="P4220" t="str">
        <f t="shared" si="263"/>
        <v>Long-term</v>
      </c>
    </row>
    <row r="4221" spans="1:16" x14ac:dyDescent="0.25">
      <c r="A4221">
        <v>2025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  <c r="M4221" t="str">
        <f t="shared" si="260"/>
        <v>&lt;30</v>
      </c>
      <c r="N4221" t="str">
        <f t="shared" si="261"/>
        <v>Medium</v>
      </c>
      <c r="O4221" t="str">
        <f t="shared" si="262"/>
        <v>High Balance</v>
      </c>
      <c r="P4221" t="str">
        <f t="shared" si="263"/>
        <v>New</v>
      </c>
    </row>
    <row r="4222" spans="1:16" x14ac:dyDescent="0.25">
      <c r="A4222">
        <v>2025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  <c r="M4222" t="str">
        <f t="shared" si="260"/>
        <v>30-45</v>
      </c>
      <c r="N4222" t="str">
        <f t="shared" si="261"/>
        <v>Medium</v>
      </c>
      <c r="O4222" t="str">
        <f t="shared" si="262"/>
        <v>Zero Balance</v>
      </c>
      <c r="P4222" t="str">
        <f t="shared" si="263"/>
        <v>New</v>
      </c>
    </row>
    <row r="4223" spans="1:16" x14ac:dyDescent="0.25">
      <c r="A4223">
        <v>2025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  <c r="M4223" t="str">
        <f t="shared" si="260"/>
        <v>&lt;30</v>
      </c>
      <c r="N4223" t="str">
        <f t="shared" si="261"/>
        <v>High</v>
      </c>
      <c r="O4223" t="str">
        <f t="shared" si="262"/>
        <v>High Balance</v>
      </c>
      <c r="P4223" t="str">
        <f t="shared" si="263"/>
        <v>Mid-term</v>
      </c>
    </row>
    <row r="4224" spans="1:16" x14ac:dyDescent="0.25">
      <c r="A4224">
        <v>2025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  <c r="M4224" t="str">
        <f t="shared" si="260"/>
        <v>30-45</v>
      </c>
      <c r="N4224" t="str">
        <f t="shared" si="261"/>
        <v>High</v>
      </c>
      <c r="O4224" t="str">
        <f t="shared" si="262"/>
        <v>Zero Balance</v>
      </c>
      <c r="P4224" t="str">
        <f t="shared" si="263"/>
        <v>Mid-term</v>
      </c>
    </row>
    <row r="4225" spans="1:16" x14ac:dyDescent="0.25">
      <c r="A4225">
        <v>2025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  <c r="M4225" t="str">
        <f t="shared" si="260"/>
        <v>46-60</v>
      </c>
      <c r="N4225" t="str">
        <f t="shared" si="261"/>
        <v>High</v>
      </c>
      <c r="O4225" t="str">
        <f t="shared" si="262"/>
        <v>High Balance</v>
      </c>
      <c r="P4225" t="str">
        <f t="shared" si="263"/>
        <v>Long-term</v>
      </c>
    </row>
    <row r="4226" spans="1:16" x14ac:dyDescent="0.25">
      <c r="A4226">
        <v>2025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  <c r="M4226" t="str">
        <f t="shared" si="260"/>
        <v>46-60</v>
      </c>
      <c r="N4226" t="str">
        <f t="shared" si="261"/>
        <v>High</v>
      </c>
      <c r="O4226" t="str">
        <f t="shared" si="262"/>
        <v>Zero Balance</v>
      </c>
      <c r="P4226" t="str">
        <f t="shared" si="263"/>
        <v>New</v>
      </c>
    </row>
    <row r="4227" spans="1:16" x14ac:dyDescent="0.25">
      <c r="A4227">
        <v>2025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  <c r="M4227" t="str">
        <f t="shared" ref="M4227:M4290" si="264">IF(E4227&lt;30,"&lt;30",IF(E4227&lt;=45,"30-45",IF(E4227&lt;=60,"46-60","60+")))</f>
        <v>30-45</v>
      </c>
      <c r="N4227" t="str">
        <f t="shared" ref="N4227:N4290" si="265">IF(B4227&lt;500,"Low",IF(B4227&lt;700,"Medium","High"))</f>
        <v>Medium</v>
      </c>
      <c r="O4227" t="str">
        <f t="shared" ref="O4227:O4290" si="266">IF(G4227=0,"Zero Balance",IF(G4227&lt;100000,"Low Balance","High Balance"))</f>
        <v>High Balance</v>
      </c>
      <c r="P4227" t="str">
        <f t="shared" ref="P4227:P4290" si="267">IF(F4227&lt;=3,"New",IF(F4227&lt;=7,"Mid-term","Long-term"))</f>
        <v>Long-term</v>
      </c>
    </row>
    <row r="4228" spans="1:16" x14ac:dyDescent="0.25">
      <c r="A4228">
        <v>2025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  <c r="M4228" t="str">
        <f t="shared" si="264"/>
        <v>30-45</v>
      </c>
      <c r="N4228" t="str">
        <f t="shared" si="265"/>
        <v>Medium</v>
      </c>
      <c r="O4228" t="str">
        <f t="shared" si="266"/>
        <v>Zero Balance</v>
      </c>
      <c r="P4228" t="str">
        <f t="shared" si="267"/>
        <v>Long-term</v>
      </c>
    </row>
    <row r="4229" spans="1:16" x14ac:dyDescent="0.25">
      <c r="A4229">
        <v>2025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  <c r="M4229" t="str">
        <f t="shared" si="264"/>
        <v>30-45</v>
      </c>
      <c r="N4229" t="str">
        <f t="shared" si="265"/>
        <v>Medium</v>
      </c>
      <c r="O4229" t="str">
        <f t="shared" si="266"/>
        <v>High Balance</v>
      </c>
      <c r="P4229" t="str">
        <f t="shared" si="267"/>
        <v>Mid-term</v>
      </c>
    </row>
    <row r="4230" spans="1:16" x14ac:dyDescent="0.25">
      <c r="A4230">
        <v>2025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  <c r="M4230" t="str">
        <f t="shared" si="264"/>
        <v>30-45</v>
      </c>
      <c r="N4230" t="str">
        <f t="shared" si="265"/>
        <v>High</v>
      </c>
      <c r="O4230" t="str">
        <f t="shared" si="266"/>
        <v>Zero Balance</v>
      </c>
      <c r="P4230" t="str">
        <f t="shared" si="267"/>
        <v>Long-term</v>
      </c>
    </row>
    <row r="4231" spans="1:16" x14ac:dyDescent="0.25">
      <c r="A4231">
        <v>2025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  <c r="M4231" t="str">
        <f t="shared" si="264"/>
        <v>30-45</v>
      </c>
      <c r="N4231" t="str">
        <f t="shared" si="265"/>
        <v>Medium</v>
      </c>
      <c r="O4231" t="str">
        <f t="shared" si="266"/>
        <v>Zero Balance</v>
      </c>
      <c r="P4231" t="str">
        <f t="shared" si="267"/>
        <v>Long-term</v>
      </c>
    </row>
    <row r="4232" spans="1:16" x14ac:dyDescent="0.25">
      <c r="A4232">
        <v>2025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  <c r="M4232" t="str">
        <f t="shared" si="264"/>
        <v>30-45</v>
      </c>
      <c r="N4232" t="str">
        <f t="shared" si="265"/>
        <v>Medium</v>
      </c>
      <c r="O4232" t="str">
        <f t="shared" si="266"/>
        <v>Zero Balance</v>
      </c>
      <c r="P4232" t="str">
        <f t="shared" si="267"/>
        <v>Long-term</v>
      </c>
    </row>
    <row r="4233" spans="1:16" x14ac:dyDescent="0.25">
      <c r="A4233">
        <v>2025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  <c r="M4233" t="str">
        <f t="shared" si="264"/>
        <v>30-45</v>
      </c>
      <c r="N4233" t="str">
        <f t="shared" si="265"/>
        <v>Medium</v>
      </c>
      <c r="O4233" t="str">
        <f t="shared" si="266"/>
        <v>Zero Balance</v>
      </c>
      <c r="P4233" t="str">
        <f t="shared" si="267"/>
        <v>New</v>
      </c>
    </row>
    <row r="4234" spans="1:16" x14ac:dyDescent="0.25">
      <c r="A4234">
        <v>2025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  <c r="M4234" t="str">
        <f t="shared" si="264"/>
        <v>46-60</v>
      </c>
      <c r="N4234" t="str">
        <f t="shared" si="265"/>
        <v>High</v>
      </c>
      <c r="O4234" t="str">
        <f t="shared" si="266"/>
        <v>Zero Balance</v>
      </c>
      <c r="P4234" t="str">
        <f t="shared" si="267"/>
        <v>Mid-term</v>
      </c>
    </row>
    <row r="4235" spans="1:16" x14ac:dyDescent="0.25">
      <c r="A4235">
        <v>2025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  <c r="M4235" t="str">
        <f t="shared" si="264"/>
        <v>30-45</v>
      </c>
      <c r="N4235" t="str">
        <f t="shared" si="265"/>
        <v>High</v>
      </c>
      <c r="O4235" t="str">
        <f t="shared" si="266"/>
        <v>Zero Balance</v>
      </c>
      <c r="P4235" t="str">
        <f t="shared" si="267"/>
        <v>New</v>
      </c>
    </row>
    <row r="4236" spans="1:16" x14ac:dyDescent="0.25">
      <c r="A4236">
        <v>2025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  <c r="M4236" t="str">
        <f t="shared" si="264"/>
        <v>30-45</v>
      </c>
      <c r="N4236" t="str">
        <f t="shared" si="265"/>
        <v>Medium</v>
      </c>
      <c r="O4236" t="str">
        <f t="shared" si="266"/>
        <v>Zero Balance</v>
      </c>
      <c r="P4236" t="str">
        <f t="shared" si="267"/>
        <v>Mid-term</v>
      </c>
    </row>
    <row r="4237" spans="1:16" x14ac:dyDescent="0.25">
      <c r="A4237">
        <v>2025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  <c r="M4237" t="str">
        <f t="shared" si="264"/>
        <v>&lt;30</v>
      </c>
      <c r="N4237" t="str">
        <f t="shared" si="265"/>
        <v>Medium</v>
      </c>
      <c r="O4237" t="str">
        <f t="shared" si="266"/>
        <v>High Balance</v>
      </c>
      <c r="P4237" t="str">
        <f t="shared" si="267"/>
        <v>Mid-term</v>
      </c>
    </row>
    <row r="4238" spans="1:16" x14ac:dyDescent="0.25">
      <c r="A4238">
        <v>2025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  <c r="M4238" t="str">
        <f t="shared" si="264"/>
        <v>30-45</v>
      </c>
      <c r="N4238" t="str">
        <f t="shared" si="265"/>
        <v>Low</v>
      </c>
      <c r="O4238" t="str">
        <f t="shared" si="266"/>
        <v>High Balance</v>
      </c>
      <c r="P4238" t="str">
        <f t="shared" si="267"/>
        <v>Mid-term</v>
      </c>
    </row>
    <row r="4239" spans="1:16" x14ac:dyDescent="0.25">
      <c r="A4239">
        <v>2025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  <c r="M4239" t="str">
        <f t="shared" si="264"/>
        <v>&lt;30</v>
      </c>
      <c r="N4239" t="str">
        <f t="shared" si="265"/>
        <v>Low</v>
      </c>
      <c r="O4239" t="str">
        <f t="shared" si="266"/>
        <v>Zero Balance</v>
      </c>
      <c r="P4239" t="str">
        <f t="shared" si="267"/>
        <v>Long-term</v>
      </c>
    </row>
    <row r="4240" spans="1:16" x14ac:dyDescent="0.25">
      <c r="A4240">
        <v>2025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  <c r="M4240" t="str">
        <f t="shared" si="264"/>
        <v>30-45</v>
      </c>
      <c r="N4240" t="str">
        <f t="shared" si="265"/>
        <v>Medium</v>
      </c>
      <c r="O4240" t="str">
        <f t="shared" si="266"/>
        <v>Low Balance</v>
      </c>
      <c r="P4240" t="str">
        <f t="shared" si="267"/>
        <v>Mid-term</v>
      </c>
    </row>
    <row r="4241" spans="1:16" x14ac:dyDescent="0.25">
      <c r="A4241">
        <v>2025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  <c r="M4241" t="str">
        <f t="shared" si="264"/>
        <v>30-45</v>
      </c>
      <c r="N4241" t="str">
        <f t="shared" si="265"/>
        <v>Medium</v>
      </c>
      <c r="O4241" t="str">
        <f t="shared" si="266"/>
        <v>High Balance</v>
      </c>
      <c r="P4241" t="str">
        <f t="shared" si="267"/>
        <v>New</v>
      </c>
    </row>
    <row r="4242" spans="1:16" x14ac:dyDescent="0.25">
      <c r="A4242">
        <v>2025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  <c r="M4242" t="str">
        <f t="shared" si="264"/>
        <v>30-45</v>
      </c>
      <c r="N4242" t="str">
        <f t="shared" si="265"/>
        <v>Medium</v>
      </c>
      <c r="O4242" t="str">
        <f t="shared" si="266"/>
        <v>Zero Balance</v>
      </c>
      <c r="P4242" t="str">
        <f t="shared" si="267"/>
        <v>New</v>
      </c>
    </row>
    <row r="4243" spans="1:16" x14ac:dyDescent="0.25">
      <c r="A4243">
        <v>2025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  <c r="M4243" t="str">
        <f t="shared" si="264"/>
        <v>60+</v>
      </c>
      <c r="N4243" t="str">
        <f t="shared" si="265"/>
        <v>High</v>
      </c>
      <c r="O4243" t="str">
        <f t="shared" si="266"/>
        <v>Zero Balance</v>
      </c>
      <c r="P4243" t="str">
        <f t="shared" si="267"/>
        <v>New</v>
      </c>
    </row>
    <row r="4244" spans="1:16" x14ac:dyDescent="0.25">
      <c r="A4244">
        <v>2025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  <c r="M4244" t="str">
        <f t="shared" si="264"/>
        <v>46-60</v>
      </c>
      <c r="N4244" t="str">
        <f t="shared" si="265"/>
        <v>Medium</v>
      </c>
      <c r="O4244" t="str">
        <f t="shared" si="266"/>
        <v>High Balance</v>
      </c>
      <c r="P4244" t="str">
        <f t="shared" si="267"/>
        <v>Mid-term</v>
      </c>
    </row>
    <row r="4245" spans="1:16" x14ac:dyDescent="0.25">
      <c r="A4245">
        <v>2025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  <c r="M4245" t="str">
        <f t="shared" si="264"/>
        <v>&lt;30</v>
      </c>
      <c r="N4245" t="str">
        <f t="shared" si="265"/>
        <v>High</v>
      </c>
      <c r="O4245" t="str">
        <f t="shared" si="266"/>
        <v>Low Balance</v>
      </c>
      <c r="P4245" t="str">
        <f t="shared" si="267"/>
        <v>Mid-term</v>
      </c>
    </row>
    <row r="4246" spans="1:16" x14ac:dyDescent="0.25">
      <c r="A4246">
        <v>2025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  <c r="M4246" t="str">
        <f t="shared" si="264"/>
        <v>60+</v>
      </c>
      <c r="N4246" t="str">
        <f t="shared" si="265"/>
        <v>Medium</v>
      </c>
      <c r="O4246" t="str">
        <f t="shared" si="266"/>
        <v>Low Balance</v>
      </c>
      <c r="P4246" t="str">
        <f t="shared" si="267"/>
        <v>New</v>
      </c>
    </row>
    <row r="4247" spans="1:16" x14ac:dyDescent="0.25">
      <c r="A4247">
        <v>2025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  <c r="M4247" t="str">
        <f t="shared" si="264"/>
        <v>30-45</v>
      </c>
      <c r="N4247" t="str">
        <f t="shared" si="265"/>
        <v>High</v>
      </c>
      <c r="O4247" t="str">
        <f t="shared" si="266"/>
        <v>High Balance</v>
      </c>
      <c r="P4247" t="str">
        <f t="shared" si="267"/>
        <v>Long-term</v>
      </c>
    </row>
    <row r="4248" spans="1:16" x14ac:dyDescent="0.25">
      <c r="A4248">
        <v>2025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  <c r="M4248" t="str">
        <f t="shared" si="264"/>
        <v>30-45</v>
      </c>
      <c r="N4248" t="str">
        <f t="shared" si="265"/>
        <v>Medium</v>
      </c>
      <c r="O4248" t="str">
        <f t="shared" si="266"/>
        <v>Zero Balance</v>
      </c>
      <c r="P4248" t="str">
        <f t="shared" si="267"/>
        <v>Long-term</v>
      </c>
    </row>
    <row r="4249" spans="1:16" x14ac:dyDescent="0.25">
      <c r="A4249">
        <v>2025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  <c r="M4249" t="str">
        <f t="shared" si="264"/>
        <v>46-60</v>
      </c>
      <c r="N4249" t="str">
        <f t="shared" si="265"/>
        <v>Medium</v>
      </c>
      <c r="O4249" t="str">
        <f t="shared" si="266"/>
        <v>Zero Balance</v>
      </c>
      <c r="P4249" t="str">
        <f t="shared" si="267"/>
        <v>Mid-term</v>
      </c>
    </row>
    <row r="4250" spans="1:16" x14ac:dyDescent="0.25">
      <c r="A4250">
        <v>2025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  <c r="M4250" t="str">
        <f t="shared" si="264"/>
        <v>&lt;30</v>
      </c>
      <c r="N4250" t="str">
        <f t="shared" si="265"/>
        <v>Medium</v>
      </c>
      <c r="O4250" t="str">
        <f t="shared" si="266"/>
        <v>Low Balance</v>
      </c>
      <c r="P4250" t="str">
        <f t="shared" si="267"/>
        <v>Long-term</v>
      </c>
    </row>
    <row r="4251" spans="1:16" x14ac:dyDescent="0.25">
      <c r="A4251">
        <v>2025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  <c r="M4251" t="str">
        <f t="shared" si="264"/>
        <v>30-45</v>
      </c>
      <c r="N4251" t="str">
        <f t="shared" si="265"/>
        <v>Medium</v>
      </c>
      <c r="O4251" t="str">
        <f t="shared" si="266"/>
        <v>Zero Balance</v>
      </c>
      <c r="P4251" t="str">
        <f t="shared" si="267"/>
        <v>New</v>
      </c>
    </row>
    <row r="4252" spans="1:16" x14ac:dyDescent="0.25">
      <c r="A4252">
        <v>2025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  <c r="M4252" t="str">
        <f t="shared" si="264"/>
        <v>30-45</v>
      </c>
      <c r="N4252" t="str">
        <f t="shared" si="265"/>
        <v>Low</v>
      </c>
      <c r="O4252" t="str">
        <f t="shared" si="266"/>
        <v>High Balance</v>
      </c>
      <c r="P4252" t="str">
        <f t="shared" si="267"/>
        <v>Mid-term</v>
      </c>
    </row>
    <row r="4253" spans="1:16" x14ac:dyDescent="0.25">
      <c r="A4253">
        <v>2025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  <c r="M4253" t="str">
        <f t="shared" si="264"/>
        <v>30-45</v>
      </c>
      <c r="N4253" t="str">
        <f t="shared" si="265"/>
        <v>Medium</v>
      </c>
      <c r="O4253" t="str">
        <f t="shared" si="266"/>
        <v>Zero Balance</v>
      </c>
      <c r="P4253" t="str">
        <f t="shared" si="267"/>
        <v>New</v>
      </c>
    </row>
    <row r="4254" spans="1:16" x14ac:dyDescent="0.25">
      <c r="A4254">
        <v>2025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  <c r="M4254" t="str">
        <f t="shared" si="264"/>
        <v>30-45</v>
      </c>
      <c r="N4254" t="str">
        <f t="shared" si="265"/>
        <v>Low</v>
      </c>
      <c r="O4254" t="str">
        <f t="shared" si="266"/>
        <v>High Balance</v>
      </c>
      <c r="P4254" t="str">
        <f t="shared" si="267"/>
        <v>Mid-term</v>
      </c>
    </row>
    <row r="4255" spans="1:16" x14ac:dyDescent="0.25">
      <c r="A4255">
        <v>2025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  <c r="M4255" t="str">
        <f t="shared" si="264"/>
        <v>&lt;30</v>
      </c>
      <c r="N4255" t="str">
        <f t="shared" si="265"/>
        <v>High</v>
      </c>
      <c r="O4255" t="str">
        <f t="shared" si="266"/>
        <v>Zero Balance</v>
      </c>
      <c r="P4255" t="str">
        <f t="shared" si="267"/>
        <v>New</v>
      </c>
    </row>
    <row r="4256" spans="1:16" x14ac:dyDescent="0.25">
      <c r="A4256">
        <v>2025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  <c r="M4256" t="str">
        <f t="shared" si="264"/>
        <v>&lt;30</v>
      </c>
      <c r="N4256" t="str">
        <f t="shared" si="265"/>
        <v>Medium</v>
      </c>
      <c r="O4256" t="str">
        <f t="shared" si="266"/>
        <v>High Balance</v>
      </c>
      <c r="P4256" t="str">
        <f t="shared" si="267"/>
        <v>Long-term</v>
      </c>
    </row>
    <row r="4257" spans="1:16" x14ac:dyDescent="0.25">
      <c r="A4257">
        <v>2025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  <c r="M4257" t="str">
        <f t="shared" si="264"/>
        <v>&lt;30</v>
      </c>
      <c r="N4257" t="str">
        <f t="shared" si="265"/>
        <v>Low</v>
      </c>
      <c r="O4257" t="str">
        <f t="shared" si="266"/>
        <v>Zero Balance</v>
      </c>
      <c r="P4257" t="str">
        <f t="shared" si="267"/>
        <v>Mid-term</v>
      </c>
    </row>
    <row r="4258" spans="1:16" x14ac:dyDescent="0.25">
      <c r="A4258">
        <v>2025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  <c r="M4258" t="str">
        <f t="shared" si="264"/>
        <v>60+</v>
      </c>
      <c r="N4258" t="str">
        <f t="shared" si="265"/>
        <v>Medium</v>
      </c>
      <c r="O4258" t="str">
        <f t="shared" si="266"/>
        <v>High Balance</v>
      </c>
      <c r="P4258" t="str">
        <f t="shared" si="267"/>
        <v>Long-term</v>
      </c>
    </row>
    <row r="4259" spans="1:16" x14ac:dyDescent="0.25">
      <c r="A4259">
        <v>2025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  <c r="M4259" t="str">
        <f t="shared" si="264"/>
        <v>&lt;30</v>
      </c>
      <c r="N4259" t="str">
        <f t="shared" si="265"/>
        <v>Medium</v>
      </c>
      <c r="O4259" t="str">
        <f t="shared" si="266"/>
        <v>Zero Balance</v>
      </c>
      <c r="P4259" t="str">
        <f t="shared" si="267"/>
        <v>New</v>
      </c>
    </row>
    <row r="4260" spans="1:16" x14ac:dyDescent="0.25">
      <c r="A4260">
        <v>2025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  <c r="M4260" t="str">
        <f t="shared" si="264"/>
        <v>30-45</v>
      </c>
      <c r="N4260" t="str">
        <f t="shared" si="265"/>
        <v>High</v>
      </c>
      <c r="O4260" t="str">
        <f t="shared" si="266"/>
        <v>Low Balance</v>
      </c>
      <c r="P4260" t="str">
        <f t="shared" si="267"/>
        <v>Mid-term</v>
      </c>
    </row>
    <row r="4261" spans="1:16" x14ac:dyDescent="0.25">
      <c r="A4261">
        <v>2025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  <c r="M4261" t="str">
        <f t="shared" si="264"/>
        <v>30-45</v>
      </c>
      <c r="N4261" t="str">
        <f t="shared" si="265"/>
        <v>High</v>
      </c>
      <c r="O4261" t="str">
        <f t="shared" si="266"/>
        <v>Zero Balance</v>
      </c>
      <c r="P4261" t="str">
        <f t="shared" si="267"/>
        <v>New</v>
      </c>
    </row>
    <row r="4262" spans="1:16" x14ac:dyDescent="0.25">
      <c r="A4262">
        <v>2025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  <c r="M4262" t="str">
        <f t="shared" si="264"/>
        <v>30-45</v>
      </c>
      <c r="N4262" t="str">
        <f t="shared" si="265"/>
        <v>Medium</v>
      </c>
      <c r="O4262" t="str">
        <f t="shared" si="266"/>
        <v>Zero Balance</v>
      </c>
      <c r="P4262" t="str">
        <f t="shared" si="267"/>
        <v>New</v>
      </c>
    </row>
    <row r="4263" spans="1:16" x14ac:dyDescent="0.25">
      <c r="A4263">
        <v>2025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  <c r="M4263" t="str">
        <f t="shared" si="264"/>
        <v>46-60</v>
      </c>
      <c r="N4263" t="str">
        <f t="shared" si="265"/>
        <v>High</v>
      </c>
      <c r="O4263" t="str">
        <f t="shared" si="266"/>
        <v>High Balance</v>
      </c>
      <c r="P4263" t="str">
        <f t="shared" si="267"/>
        <v>Long-term</v>
      </c>
    </row>
    <row r="4264" spans="1:16" x14ac:dyDescent="0.25">
      <c r="A4264">
        <v>2025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  <c r="M4264" t="str">
        <f t="shared" si="264"/>
        <v>30-45</v>
      </c>
      <c r="N4264" t="str">
        <f t="shared" si="265"/>
        <v>Medium</v>
      </c>
      <c r="O4264" t="str">
        <f t="shared" si="266"/>
        <v>Zero Balance</v>
      </c>
      <c r="P4264" t="str">
        <f t="shared" si="267"/>
        <v>Long-term</v>
      </c>
    </row>
    <row r="4265" spans="1:16" x14ac:dyDescent="0.25">
      <c r="A4265">
        <v>2025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  <c r="M4265" t="str">
        <f t="shared" si="264"/>
        <v>&lt;30</v>
      </c>
      <c r="N4265" t="str">
        <f t="shared" si="265"/>
        <v>High</v>
      </c>
      <c r="O4265" t="str">
        <f t="shared" si="266"/>
        <v>Low Balance</v>
      </c>
      <c r="P4265" t="str">
        <f t="shared" si="267"/>
        <v>Long-term</v>
      </c>
    </row>
    <row r="4266" spans="1:16" x14ac:dyDescent="0.25">
      <c r="A4266">
        <v>2025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  <c r="M4266" t="str">
        <f t="shared" si="264"/>
        <v>46-60</v>
      </c>
      <c r="N4266" t="str">
        <f t="shared" si="265"/>
        <v>Medium</v>
      </c>
      <c r="O4266" t="str">
        <f t="shared" si="266"/>
        <v>High Balance</v>
      </c>
      <c r="P4266" t="str">
        <f t="shared" si="267"/>
        <v>Long-term</v>
      </c>
    </row>
    <row r="4267" spans="1:16" x14ac:dyDescent="0.25">
      <c r="A4267">
        <v>2025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  <c r="M4267" t="str">
        <f t="shared" si="264"/>
        <v>30-45</v>
      </c>
      <c r="N4267" t="str">
        <f t="shared" si="265"/>
        <v>High</v>
      </c>
      <c r="O4267" t="str">
        <f t="shared" si="266"/>
        <v>High Balance</v>
      </c>
      <c r="P4267" t="str">
        <f t="shared" si="267"/>
        <v>Mid-term</v>
      </c>
    </row>
    <row r="4268" spans="1:16" x14ac:dyDescent="0.25">
      <c r="A4268">
        <v>2025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  <c r="M4268" t="str">
        <f t="shared" si="264"/>
        <v>30-45</v>
      </c>
      <c r="N4268" t="str">
        <f t="shared" si="265"/>
        <v>Medium</v>
      </c>
      <c r="O4268" t="str">
        <f t="shared" si="266"/>
        <v>Zero Balance</v>
      </c>
      <c r="P4268" t="str">
        <f t="shared" si="267"/>
        <v>Long-term</v>
      </c>
    </row>
    <row r="4269" spans="1:16" x14ac:dyDescent="0.25">
      <c r="A4269">
        <v>2025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  <c r="M4269" t="str">
        <f t="shared" si="264"/>
        <v>30-45</v>
      </c>
      <c r="N4269" t="str">
        <f t="shared" si="265"/>
        <v>High</v>
      </c>
      <c r="O4269" t="str">
        <f t="shared" si="266"/>
        <v>High Balance</v>
      </c>
      <c r="P4269" t="str">
        <f t="shared" si="267"/>
        <v>New</v>
      </c>
    </row>
    <row r="4270" spans="1:16" x14ac:dyDescent="0.25">
      <c r="A4270">
        <v>2025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  <c r="M4270" t="str">
        <f t="shared" si="264"/>
        <v>46-60</v>
      </c>
      <c r="N4270" t="str">
        <f t="shared" si="265"/>
        <v>High</v>
      </c>
      <c r="O4270" t="str">
        <f t="shared" si="266"/>
        <v>Zero Balance</v>
      </c>
      <c r="P4270" t="str">
        <f t="shared" si="267"/>
        <v>Long-term</v>
      </c>
    </row>
    <row r="4271" spans="1:16" x14ac:dyDescent="0.25">
      <c r="A4271">
        <v>2025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  <c r="M4271" t="str">
        <f t="shared" si="264"/>
        <v>30-45</v>
      </c>
      <c r="N4271" t="str">
        <f t="shared" si="265"/>
        <v>High</v>
      </c>
      <c r="O4271" t="str">
        <f t="shared" si="266"/>
        <v>High Balance</v>
      </c>
      <c r="P4271" t="str">
        <f t="shared" si="267"/>
        <v>Mid-term</v>
      </c>
    </row>
    <row r="4272" spans="1:16" x14ac:dyDescent="0.25">
      <c r="A4272">
        <v>2025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  <c r="M4272" t="str">
        <f t="shared" si="264"/>
        <v>46-60</v>
      </c>
      <c r="N4272" t="str">
        <f t="shared" si="265"/>
        <v>Medium</v>
      </c>
      <c r="O4272" t="str">
        <f t="shared" si="266"/>
        <v>Low Balance</v>
      </c>
      <c r="P4272" t="str">
        <f t="shared" si="267"/>
        <v>Mid-term</v>
      </c>
    </row>
    <row r="4273" spans="1:16" x14ac:dyDescent="0.25">
      <c r="A4273">
        <v>2025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  <c r="M4273" t="str">
        <f t="shared" si="264"/>
        <v>30-45</v>
      </c>
      <c r="N4273" t="str">
        <f t="shared" si="265"/>
        <v>Low</v>
      </c>
      <c r="O4273" t="str">
        <f t="shared" si="266"/>
        <v>Zero Balance</v>
      </c>
      <c r="P4273" t="str">
        <f t="shared" si="267"/>
        <v>Mid-term</v>
      </c>
    </row>
    <row r="4274" spans="1:16" x14ac:dyDescent="0.25">
      <c r="A4274">
        <v>2025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  <c r="M4274" t="str">
        <f t="shared" si="264"/>
        <v>30-45</v>
      </c>
      <c r="N4274" t="str">
        <f t="shared" si="265"/>
        <v>Medium</v>
      </c>
      <c r="O4274" t="str">
        <f t="shared" si="266"/>
        <v>Low Balance</v>
      </c>
      <c r="P4274" t="str">
        <f t="shared" si="267"/>
        <v>New</v>
      </c>
    </row>
    <row r="4275" spans="1:16" x14ac:dyDescent="0.25">
      <c r="A4275">
        <v>2025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  <c r="M4275" t="str">
        <f t="shared" si="264"/>
        <v>60+</v>
      </c>
      <c r="N4275" t="str">
        <f t="shared" si="265"/>
        <v>Medium</v>
      </c>
      <c r="O4275" t="str">
        <f t="shared" si="266"/>
        <v>Low Balance</v>
      </c>
      <c r="P4275" t="str">
        <f t="shared" si="267"/>
        <v>Mid-term</v>
      </c>
    </row>
    <row r="4276" spans="1:16" x14ac:dyDescent="0.25">
      <c r="A4276">
        <v>2025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  <c r="M4276" t="str">
        <f t="shared" si="264"/>
        <v>30-45</v>
      </c>
      <c r="N4276" t="str">
        <f t="shared" si="265"/>
        <v>Medium</v>
      </c>
      <c r="O4276" t="str">
        <f t="shared" si="266"/>
        <v>High Balance</v>
      </c>
      <c r="P4276" t="str">
        <f t="shared" si="267"/>
        <v>New</v>
      </c>
    </row>
    <row r="4277" spans="1:16" x14ac:dyDescent="0.25">
      <c r="A4277">
        <v>2025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  <c r="M4277" t="str">
        <f t="shared" si="264"/>
        <v>30-45</v>
      </c>
      <c r="N4277" t="str">
        <f t="shared" si="265"/>
        <v>Medium</v>
      </c>
      <c r="O4277" t="str">
        <f t="shared" si="266"/>
        <v>High Balance</v>
      </c>
      <c r="P4277" t="str">
        <f t="shared" si="267"/>
        <v>Mid-term</v>
      </c>
    </row>
    <row r="4278" spans="1:16" x14ac:dyDescent="0.25">
      <c r="A4278">
        <v>2025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  <c r="M4278" t="str">
        <f t="shared" si="264"/>
        <v>30-45</v>
      </c>
      <c r="N4278" t="str">
        <f t="shared" si="265"/>
        <v>Medium</v>
      </c>
      <c r="O4278" t="str">
        <f t="shared" si="266"/>
        <v>High Balance</v>
      </c>
      <c r="P4278" t="str">
        <f t="shared" si="267"/>
        <v>Mid-term</v>
      </c>
    </row>
    <row r="4279" spans="1:16" x14ac:dyDescent="0.25">
      <c r="A4279">
        <v>2025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  <c r="M4279" t="str">
        <f t="shared" si="264"/>
        <v>46-60</v>
      </c>
      <c r="N4279" t="str">
        <f t="shared" si="265"/>
        <v>High</v>
      </c>
      <c r="O4279" t="str">
        <f t="shared" si="266"/>
        <v>High Balance</v>
      </c>
      <c r="P4279" t="str">
        <f t="shared" si="267"/>
        <v>New</v>
      </c>
    </row>
    <row r="4280" spans="1:16" x14ac:dyDescent="0.25">
      <c r="A4280">
        <v>2025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  <c r="M4280" t="str">
        <f t="shared" si="264"/>
        <v>30-45</v>
      </c>
      <c r="N4280" t="str">
        <f t="shared" si="265"/>
        <v>High</v>
      </c>
      <c r="O4280" t="str">
        <f t="shared" si="266"/>
        <v>High Balance</v>
      </c>
      <c r="P4280" t="str">
        <f t="shared" si="267"/>
        <v>Mid-term</v>
      </c>
    </row>
    <row r="4281" spans="1:16" x14ac:dyDescent="0.25">
      <c r="A4281">
        <v>2025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  <c r="M4281" t="str">
        <f t="shared" si="264"/>
        <v>30-45</v>
      </c>
      <c r="N4281" t="str">
        <f t="shared" si="265"/>
        <v>Medium</v>
      </c>
      <c r="O4281" t="str">
        <f t="shared" si="266"/>
        <v>High Balance</v>
      </c>
      <c r="P4281" t="str">
        <f t="shared" si="267"/>
        <v>New</v>
      </c>
    </row>
    <row r="4282" spans="1:16" x14ac:dyDescent="0.25">
      <c r="A4282">
        <v>2025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  <c r="M4282" t="str">
        <f t="shared" si="264"/>
        <v>60+</v>
      </c>
      <c r="N4282" t="str">
        <f t="shared" si="265"/>
        <v>High</v>
      </c>
      <c r="O4282" t="str">
        <f t="shared" si="266"/>
        <v>High Balance</v>
      </c>
      <c r="P4282" t="str">
        <f t="shared" si="267"/>
        <v>Mid-term</v>
      </c>
    </row>
    <row r="4283" spans="1:16" x14ac:dyDescent="0.25">
      <c r="A4283">
        <v>2025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  <c r="M4283" t="str">
        <f t="shared" si="264"/>
        <v>30-45</v>
      </c>
      <c r="N4283" t="str">
        <f t="shared" si="265"/>
        <v>Medium</v>
      </c>
      <c r="O4283" t="str">
        <f t="shared" si="266"/>
        <v>High Balance</v>
      </c>
      <c r="P4283" t="str">
        <f t="shared" si="267"/>
        <v>Mid-term</v>
      </c>
    </row>
    <row r="4284" spans="1:16" x14ac:dyDescent="0.25">
      <c r="A4284">
        <v>2025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  <c r="M4284" t="str">
        <f t="shared" si="264"/>
        <v>46-60</v>
      </c>
      <c r="N4284" t="str">
        <f t="shared" si="265"/>
        <v>Low</v>
      </c>
      <c r="O4284" t="str">
        <f t="shared" si="266"/>
        <v>Low Balance</v>
      </c>
      <c r="P4284" t="str">
        <f t="shared" si="267"/>
        <v>Long-term</v>
      </c>
    </row>
    <row r="4285" spans="1:16" x14ac:dyDescent="0.25">
      <c r="A4285">
        <v>2025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  <c r="M4285" t="str">
        <f t="shared" si="264"/>
        <v>30-45</v>
      </c>
      <c r="N4285" t="str">
        <f t="shared" si="265"/>
        <v>High</v>
      </c>
      <c r="O4285" t="str">
        <f t="shared" si="266"/>
        <v>Low Balance</v>
      </c>
      <c r="P4285" t="str">
        <f t="shared" si="267"/>
        <v>Mid-term</v>
      </c>
    </row>
    <row r="4286" spans="1:16" x14ac:dyDescent="0.25">
      <c r="A4286">
        <v>2025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  <c r="M4286" t="str">
        <f t="shared" si="264"/>
        <v>30-45</v>
      </c>
      <c r="N4286" t="str">
        <f t="shared" si="265"/>
        <v>High</v>
      </c>
      <c r="O4286" t="str">
        <f t="shared" si="266"/>
        <v>High Balance</v>
      </c>
      <c r="P4286" t="str">
        <f t="shared" si="267"/>
        <v>New</v>
      </c>
    </row>
    <row r="4287" spans="1:16" x14ac:dyDescent="0.25">
      <c r="A4287">
        <v>2025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  <c r="M4287" t="str">
        <f t="shared" si="264"/>
        <v>30-45</v>
      </c>
      <c r="N4287" t="str">
        <f t="shared" si="265"/>
        <v>Medium</v>
      </c>
      <c r="O4287" t="str">
        <f t="shared" si="266"/>
        <v>High Balance</v>
      </c>
      <c r="P4287" t="str">
        <f t="shared" si="267"/>
        <v>Mid-term</v>
      </c>
    </row>
    <row r="4288" spans="1:16" x14ac:dyDescent="0.25">
      <c r="A4288">
        <v>2025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  <c r="M4288" t="str">
        <f t="shared" si="264"/>
        <v>30-45</v>
      </c>
      <c r="N4288" t="str">
        <f t="shared" si="265"/>
        <v>High</v>
      </c>
      <c r="O4288" t="str">
        <f t="shared" si="266"/>
        <v>High Balance</v>
      </c>
      <c r="P4288" t="str">
        <f t="shared" si="267"/>
        <v>New</v>
      </c>
    </row>
    <row r="4289" spans="1:16" x14ac:dyDescent="0.25">
      <c r="A4289">
        <v>2025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  <c r="M4289" t="str">
        <f t="shared" si="264"/>
        <v>46-60</v>
      </c>
      <c r="N4289" t="str">
        <f t="shared" si="265"/>
        <v>High</v>
      </c>
      <c r="O4289" t="str">
        <f t="shared" si="266"/>
        <v>Low Balance</v>
      </c>
      <c r="P4289" t="str">
        <f t="shared" si="267"/>
        <v>New</v>
      </c>
    </row>
    <row r="4290" spans="1:16" x14ac:dyDescent="0.25">
      <c r="A4290">
        <v>2025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  <c r="M4290" t="str">
        <f t="shared" si="264"/>
        <v>30-45</v>
      </c>
      <c r="N4290" t="str">
        <f t="shared" si="265"/>
        <v>Medium</v>
      </c>
      <c r="O4290" t="str">
        <f t="shared" si="266"/>
        <v>Low Balance</v>
      </c>
      <c r="P4290" t="str">
        <f t="shared" si="267"/>
        <v>Mid-term</v>
      </c>
    </row>
    <row r="4291" spans="1:16" x14ac:dyDescent="0.25">
      <c r="A4291">
        <v>2025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  <c r="M4291" t="str">
        <f t="shared" ref="M4291:M4354" si="268">IF(E4291&lt;30,"&lt;30",IF(E4291&lt;=45,"30-45",IF(E4291&lt;=60,"46-60","60+")))</f>
        <v>30-45</v>
      </c>
      <c r="N4291" t="str">
        <f t="shared" ref="N4291:N4354" si="269">IF(B4291&lt;500,"Low",IF(B4291&lt;700,"Medium","High"))</f>
        <v>High</v>
      </c>
      <c r="O4291" t="str">
        <f t="shared" ref="O4291:O4354" si="270">IF(G4291=0,"Zero Balance",IF(G4291&lt;100000,"Low Balance","High Balance"))</f>
        <v>High Balance</v>
      </c>
      <c r="P4291" t="str">
        <f t="shared" ref="P4291:P4354" si="271">IF(F4291&lt;=3,"New",IF(F4291&lt;=7,"Mid-term","Long-term"))</f>
        <v>New</v>
      </c>
    </row>
    <row r="4292" spans="1:16" x14ac:dyDescent="0.25">
      <c r="A4292">
        <v>2025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  <c r="M4292" t="str">
        <f t="shared" si="268"/>
        <v>&lt;30</v>
      </c>
      <c r="N4292" t="str">
        <f t="shared" si="269"/>
        <v>Medium</v>
      </c>
      <c r="O4292" t="str">
        <f t="shared" si="270"/>
        <v>Zero Balance</v>
      </c>
      <c r="P4292" t="str">
        <f t="shared" si="271"/>
        <v>Mid-term</v>
      </c>
    </row>
    <row r="4293" spans="1:16" x14ac:dyDescent="0.25">
      <c r="A4293">
        <v>2025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  <c r="M4293" t="str">
        <f t="shared" si="268"/>
        <v>30-45</v>
      </c>
      <c r="N4293" t="str">
        <f t="shared" si="269"/>
        <v>High</v>
      </c>
      <c r="O4293" t="str">
        <f t="shared" si="270"/>
        <v>Low Balance</v>
      </c>
      <c r="P4293" t="str">
        <f t="shared" si="271"/>
        <v>Long-term</v>
      </c>
    </row>
    <row r="4294" spans="1:16" x14ac:dyDescent="0.25">
      <c r="A4294">
        <v>2025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  <c r="M4294" t="str">
        <f t="shared" si="268"/>
        <v>46-60</v>
      </c>
      <c r="N4294" t="str">
        <f t="shared" si="269"/>
        <v>High</v>
      </c>
      <c r="O4294" t="str">
        <f t="shared" si="270"/>
        <v>High Balance</v>
      </c>
      <c r="P4294" t="str">
        <f t="shared" si="271"/>
        <v>New</v>
      </c>
    </row>
    <row r="4295" spans="1:16" x14ac:dyDescent="0.25">
      <c r="A4295">
        <v>2025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  <c r="M4295" t="str">
        <f t="shared" si="268"/>
        <v>30-45</v>
      </c>
      <c r="N4295" t="str">
        <f t="shared" si="269"/>
        <v>High</v>
      </c>
      <c r="O4295" t="str">
        <f t="shared" si="270"/>
        <v>High Balance</v>
      </c>
      <c r="P4295" t="str">
        <f t="shared" si="271"/>
        <v>New</v>
      </c>
    </row>
    <row r="4296" spans="1:16" x14ac:dyDescent="0.25">
      <c r="A4296">
        <v>2025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  <c r="M4296" t="str">
        <f t="shared" si="268"/>
        <v>30-45</v>
      </c>
      <c r="N4296" t="str">
        <f t="shared" si="269"/>
        <v>Medium</v>
      </c>
      <c r="O4296" t="str">
        <f t="shared" si="270"/>
        <v>High Balance</v>
      </c>
      <c r="P4296" t="str">
        <f t="shared" si="271"/>
        <v>New</v>
      </c>
    </row>
    <row r="4297" spans="1:16" x14ac:dyDescent="0.25">
      <c r="A4297">
        <v>2025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  <c r="M4297" t="str">
        <f t="shared" si="268"/>
        <v>30-45</v>
      </c>
      <c r="N4297" t="str">
        <f t="shared" si="269"/>
        <v>Low</v>
      </c>
      <c r="O4297" t="str">
        <f t="shared" si="270"/>
        <v>High Balance</v>
      </c>
      <c r="P4297" t="str">
        <f t="shared" si="271"/>
        <v>Long-term</v>
      </c>
    </row>
    <row r="4298" spans="1:16" x14ac:dyDescent="0.25">
      <c r="A4298">
        <v>2025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  <c r="M4298" t="str">
        <f t="shared" si="268"/>
        <v>30-45</v>
      </c>
      <c r="N4298" t="str">
        <f t="shared" si="269"/>
        <v>High</v>
      </c>
      <c r="O4298" t="str">
        <f t="shared" si="270"/>
        <v>High Balance</v>
      </c>
      <c r="P4298" t="str">
        <f t="shared" si="271"/>
        <v>Long-term</v>
      </c>
    </row>
    <row r="4299" spans="1:16" x14ac:dyDescent="0.25">
      <c r="A4299">
        <v>2025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  <c r="M4299" t="str">
        <f t="shared" si="268"/>
        <v>60+</v>
      </c>
      <c r="N4299" t="str">
        <f t="shared" si="269"/>
        <v>Medium</v>
      </c>
      <c r="O4299" t="str">
        <f t="shared" si="270"/>
        <v>Zero Balance</v>
      </c>
      <c r="P4299" t="str">
        <f t="shared" si="271"/>
        <v>Long-term</v>
      </c>
    </row>
    <row r="4300" spans="1:16" x14ac:dyDescent="0.25">
      <c r="A4300">
        <v>2025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  <c r="M4300" t="str">
        <f t="shared" si="268"/>
        <v>30-45</v>
      </c>
      <c r="N4300" t="str">
        <f t="shared" si="269"/>
        <v>Medium</v>
      </c>
      <c r="O4300" t="str">
        <f t="shared" si="270"/>
        <v>High Balance</v>
      </c>
      <c r="P4300" t="str">
        <f t="shared" si="271"/>
        <v>Mid-term</v>
      </c>
    </row>
    <row r="4301" spans="1:16" x14ac:dyDescent="0.25">
      <c r="A4301">
        <v>2025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  <c r="M4301" t="str">
        <f t="shared" si="268"/>
        <v>30-45</v>
      </c>
      <c r="N4301" t="str">
        <f t="shared" si="269"/>
        <v>Medium</v>
      </c>
      <c r="O4301" t="str">
        <f t="shared" si="270"/>
        <v>Zero Balance</v>
      </c>
      <c r="P4301" t="str">
        <f t="shared" si="271"/>
        <v>Long-term</v>
      </c>
    </row>
    <row r="4302" spans="1:16" x14ac:dyDescent="0.25">
      <c r="A4302">
        <v>2025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  <c r="M4302" t="str">
        <f t="shared" si="268"/>
        <v>&lt;30</v>
      </c>
      <c r="N4302" t="str">
        <f t="shared" si="269"/>
        <v>High</v>
      </c>
      <c r="O4302" t="str">
        <f t="shared" si="270"/>
        <v>Low Balance</v>
      </c>
      <c r="P4302" t="str">
        <f t="shared" si="271"/>
        <v>New</v>
      </c>
    </row>
    <row r="4303" spans="1:16" x14ac:dyDescent="0.25">
      <c r="A4303">
        <v>2025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  <c r="M4303" t="str">
        <f t="shared" si="268"/>
        <v>30-45</v>
      </c>
      <c r="N4303" t="str">
        <f t="shared" si="269"/>
        <v>Medium</v>
      </c>
      <c r="O4303" t="str">
        <f t="shared" si="270"/>
        <v>Zero Balance</v>
      </c>
      <c r="P4303" t="str">
        <f t="shared" si="271"/>
        <v>New</v>
      </c>
    </row>
    <row r="4304" spans="1:16" x14ac:dyDescent="0.25">
      <c r="A4304">
        <v>2025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  <c r="M4304" t="str">
        <f t="shared" si="268"/>
        <v>30-45</v>
      </c>
      <c r="N4304" t="str">
        <f t="shared" si="269"/>
        <v>Medium</v>
      </c>
      <c r="O4304" t="str">
        <f t="shared" si="270"/>
        <v>High Balance</v>
      </c>
      <c r="P4304" t="str">
        <f t="shared" si="271"/>
        <v>New</v>
      </c>
    </row>
    <row r="4305" spans="1:16" x14ac:dyDescent="0.25">
      <c r="A4305">
        <v>2025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  <c r="M4305" t="str">
        <f t="shared" si="268"/>
        <v>46-60</v>
      </c>
      <c r="N4305" t="str">
        <f t="shared" si="269"/>
        <v>Medium</v>
      </c>
      <c r="O4305" t="str">
        <f t="shared" si="270"/>
        <v>High Balance</v>
      </c>
      <c r="P4305" t="str">
        <f t="shared" si="271"/>
        <v>New</v>
      </c>
    </row>
    <row r="4306" spans="1:16" x14ac:dyDescent="0.25">
      <c r="A4306">
        <v>2025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  <c r="M4306" t="str">
        <f t="shared" si="268"/>
        <v>46-60</v>
      </c>
      <c r="N4306" t="str">
        <f t="shared" si="269"/>
        <v>Medium</v>
      </c>
      <c r="O4306" t="str">
        <f t="shared" si="270"/>
        <v>High Balance</v>
      </c>
      <c r="P4306" t="str">
        <f t="shared" si="271"/>
        <v>Mid-term</v>
      </c>
    </row>
    <row r="4307" spans="1:16" x14ac:dyDescent="0.25">
      <c r="A4307">
        <v>2025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  <c r="M4307" t="str">
        <f t="shared" si="268"/>
        <v>30-45</v>
      </c>
      <c r="N4307" t="str">
        <f t="shared" si="269"/>
        <v>Medium</v>
      </c>
      <c r="O4307" t="str">
        <f t="shared" si="270"/>
        <v>Zero Balance</v>
      </c>
      <c r="P4307" t="str">
        <f t="shared" si="271"/>
        <v>New</v>
      </c>
    </row>
    <row r="4308" spans="1:16" x14ac:dyDescent="0.25">
      <c r="A4308">
        <v>2025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  <c r="M4308" t="str">
        <f t="shared" si="268"/>
        <v>30-45</v>
      </c>
      <c r="N4308" t="str">
        <f t="shared" si="269"/>
        <v>Low</v>
      </c>
      <c r="O4308" t="str">
        <f t="shared" si="270"/>
        <v>Zero Balance</v>
      </c>
      <c r="P4308" t="str">
        <f t="shared" si="271"/>
        <v>Mid-term</v>
      </c>
    </row>
    <row r="4309" spans="1:16" x14ac:dyDescent="0.25">
      <c r="A4309">
        <v>2025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  <c r="M4309" t="str">
        <f t="shared" si="268"/>
        <v>46-60</v>
      </c>
      <c r="N4309" t="str">
        <f t="shared" si="269"/>
        <v>High</v>
      </c>
      <c r="O4309" t="str">
        <f t="shared" si="270"/>
        <v>High Balance</v>
      </c>
      <c r="P4309" t="str">
        <f t="shared" si="271"/>
        <v>Long-term</v>
      </c>
    </row>
    <row r="4310" spans="1:16" x14ac:dyDescent="0.25">
      <c r="A4310">
        <v>2025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  <c r="M4310" t="str">
        <f t="shared" si="268"/>
        <v>30-45</v>
      </c>
      <c r="N4310" t="str">
        <f t="shared" si="269"/>
        <v>Medium</v>
      </c>
      <c r="O4310" t="str">
        <f t="shared" si="270"/>
        <v>Zero Balance</v>
      </c>
      <c r="P4310" t="str">
        <f t="shared" si="271"/>
        <v>Mid-term</v>
      </c>
    </row>
    <row r="4311" spans="1:16" x14ac:dyDescent="0.25">
      <c r="A4311">
        <v>2025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  <c r="M4311" t="str">
        <f t="shared" si="268"/>
        <v>30-45</v>
      </c>
      <c r="N4311" t="str">
        <f t="shared" si="269"/>
        <v>High</v>
      </c>
      <c r="O4311" t="str">
        <f t="shared" si="270"/>
        <v>Zero Balance</v>
      </c>
      <c r="P4311" t="str">
        <f t="shared" si="271"/>
        <v>Mid-term</v>
      </c>
    </row>
    <row r="4312" spans="1:16" x14ac:dyDescent="0.25">
      <c r="A4312">
        <v>2025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  <c r="M4312" t="str">
        <f t="shared" si="268"/>
        <v>30-45</v>
      </c>
      <c r="N4312" t="str">
        <f t="shared" si="269"/>
        <v>High</v>
      </c>
      <c r="O4312" t="str">
        <f t="shared" si="270"/>
        <v>High Balance</v>
      </c>
      <c r="P4312" t="str">
        <f t="shared" si="271"/>
        <v>Mid-term</v>
      </c>
    </row>
    <row r="4313" spans="1:16" x14ac:dyDescent="0.25">
      <c r="A4313">
        <v>2025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  <c r="M4313" t="str">
        <f t="shared" si="268"/>
        <v>46-60</v>
      </c>
      <c r="N4313" t="str">
        <f t="shared" si="269"/>
        <v>High</v>
      </c>
      <c r="O4313" t="str">
        <f t="shared" si="270"/>
        <v>High Balance</v>
      </c>
      <c r="P4313" t="str">
        <f t="shared" si="271"/>
        <v>New</v>
      </c>
    </row>
    <row r="4314" spans="1:16" x14ac:dyDescent="0.25">
      <c r="A4314">
        <v>2025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  <c r="M4314" t="str">
        <f t="shared" si="268"/>
        <v>30-45</v>
      </c>
      <c r="N4314" t="str">
        <f t="shared" si="269"/>
        <v>Medium</v>
      </c>
      <c r="O4314" t="str">
        <f t="shared" si="270"/>
        <v>High Balance</v>
      </c>
      <c r="P4314" t="str">
        <f t="shared" si="271"/>
        <v>Mid-term</v>
      </c>
    </row>
    <row r="4315" spans="1:16" x14ac:dyDescent="0.25">
      <c r="A4315">
        <v>2025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  <c r="M4315" t="str">
        <f t="shared" si="268"/>
        <v>60+</v>
      </c>
      <c r="N4315" t="str">
        <f t="shared" si="269"/>
        <v>Medium</v>
      </c>
      <c r="O4315" t="str">
        <f t="shared" si="270"/>
        <v>High Balance</v>
      </c>
      <c r="P4315" t="str">
        <f t="shared" si="271"/>
        <v>Long-term</v>
      </c>
    </row>
    <row r="4316" spans="1:16" x14ac:dyDescent="0.25">
      <c r="A4316">
        <v>2025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  <c r="M4316" t="str">
        <f t="shared" si="268"/>
        <v>30-45</v>
      </c>
      <c r="N4316" t="str">
        <f t="shared" si="269"/>
        <v>Medium</v>
      </c>
      <c r="O4316" t="str">
        <f t="shared" si="270"/>
        <v>High Balance</v>
      </c>
      <c r="P4316" t="str">
        <f t="shared" si="271"/>
        <v>Mid-term</v>
      </c>
    </row>
    <row r="4317" spans="1:16" x14ac:dyDescent="0.25">
      <c r="A4317">
        <v>2025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  <c r="M4317" t="str">
        <f t="shared" si="268"/>
        <v>30-45</v>
      </c>
      <c r="N4317" t="str">
        <f t="shared" si="269"/>
        <v>Medium</v>
      </c>
      <c r="O4317" t="str">
        <f t="shared" si="270"/>
        <v>Low Balance</v>
      </c>
      <c r="P4317" t="str">
        <f t="shared" si="271"/>
        <v>New</v>
      </c>
    </row>
    <row r="4318" spans="1:16" x14ac:dyDescent="0.25">
      <c r="A4318">
        <v>2025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  <c r="M4318" t="str">
        <f t="shared" si="268"/>
        <v>30-45</v>
      </c>
      <c r="N4318" t="str">
        <f t="shared" si="269"/>
        <v>High</v>
      </c>
      <c r="O4318" t="str">
        <f t="shared" si="270"/>
        <v>Low Balance</v>
      </c>
      <c r="P4318" t="str">
        <f t="shared" si="271"/>
        <v>Mid-term</v>
      </c>
    </row>
    <row r="4319" spans="1:16" x14ac:dyDescent="0.25">
      <c r="A4319">
        <v>2025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  <c r="M4319" t="str">
        <f t="shared" si="268"/>
        <v>&lt;30</v>
      </c>
      <c r="N4319" t="str">
        <f t="shared" si="269"/>
        <v>Low</v>
      </c>
      <c r="O4319" t="str">
        <f t="shared" si="270"/>
        <v>Zero Balance</v>
      </c>
      <c r="P4319" t="str">
        <f t="shared" si="271"/>
        <v>Long-term</v>
      </c>
    </row>
    <row r="4320" spans="1:16" x14ac:dyDescent="0.25">
      <c r="A4320">
        <v>2025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  <c r="M4320" t="str">
        <f t="shared" si="268"/>
        <v>60+</v>
      </c>
      <c r="N4320" t="str">
        <f t="shared" si="269"/>
        <v>Medium</v>
      </c>
      <c r="O4320" t="str">
        <f t="shared" si="270"/>
        <v>Low Balance</v>
      </c>
      <c r="P4320" t="str">
        <f t="shared" si="271"/>
        <v>Long-term</v>
      </c>
    </row>
    <row r="4321" spans="1:16" x14ac:dyDescent="0.25">
      <c r="A4321">
        <v>2025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  <c r="M4321" t="str">
        <f t="shared" si="268"/>
        <v>30-45</v>
      </c>
      <c r="N4321" t="str">
        <f t="shared" si="269"/>
        <v>Medium</v>
      </c>
      <c r="O4321" t="str">
        <f t="shared" si="270"/>
        <v>High Balance</v>
      </c>
      <c r="P4321" t="str">
        <f t="shared" si="271"/>
        <v>Mid-term</v>
      </c>
    </row>
    <row r="4322" spans="1:16" x14ac:dyDescent="0.25">
      <c r="A4322">
        <v>2025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  <c r="M4322" t="str">
        <f t="shared" si="268"/>
        <v>30-45</v>
      </c>
      <c r="N4322" t="str">
        <f t="shared" si="269"/>
        <v>High</v>
      </c>
      <c r="O4322" t="str">
        <f t="shared" si="270"/>
        <v>Low Balance</v>
      </c>
      <c r="P4322" t="str">
        <f t="shared" si="271"/>
        <v>Mid-term</v>
      </c>
    </row>
    <row r="4323" spans="1:16" x14ac:dyDescent="0.25">
      <c r="A4323">
        <v>2025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  <c r="M4323" t="str">
        <f t="shared" si="268"/>
        <v>30-45</v>
      </c>
      <c r="N4323" t="str">
        <f t="shared" si="269"/>
        <v>Medium</v>
      </c>
      <c r="O4323" t="str">
        <f t="shared" si="270"/>
        <v>Low Balance</v>
      </c>
      <c r="P4323" t="str">
        <f t="shared" si="271"/>
        <v>Mid-term</v>
      </c>
    </row>
    <row r="4324" spans="1:16" x14ac:dyDescent="0.25">
      <c r="A4324">
        <v>2025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  <c r="M4324" t="str">
        <f t="shared" si="268"/>
        <v>30-45</v>
      </c>
      <c r="N4324" t="str">
        <f t="shared" si="269"/>
        <v>Medium</v>
      </c>
      <c r="O4324" t="str">
        <f t="shared" si="270"/>
        <v>Low Balance</v>
      </c>
      <c r="P4324" t="str">
        <f t="shared" si="271"/>
        <v>Long-term</v>
      </c>
    </row>
    <row r="4325" spans="1:16" x14ac:dyDescent="0.25">
      <c r="A4325">
        <v>2025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  <c r="M4325" t="str">
        <f t="shared" si="268"/>
        <v>30-45</v>
      </c>
      <c r="N4325" t="str">
        <f t="shared" si="269"/>
        <v>Medium</v>
      </c>
      <c r="O4325" t="str">
        <f t="shared" si="270"/>
        <v>High Balance</v>
      </c>
      <c r="P4325" t="str">
        <f t="shared" si="271"/>
        <v>New</v>
      </c>
    </row>
    <row r="4326" spans="1:16" x14ac:dyDescent="0.25">
      <c r="A4326">
        <v>2025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  <c r="M4326" t="str">
        <f t="shared" si="268"/>
        <v>30-45</v>
      </c>
      <c r="N4326" t="str">
        <f t="shared" si="269"/>
        <v>Low</v>
      </c>
      <c r="O4326" t="str">
        <f t="shared" si="270"/>
        <v>Zero Balance</v>
      </c>
      <c r="P4326" t="str">
        <f t="shared" si="271"/>
        <v>Mid-term</v>
      </c>
    </row>
    <row r="4327" spans="1:16" x14ac:dyDescent="0.25">
      <c r="A4327">
        <v>2025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  <c r="M4327" t="str">
        <f t="shared" si="268"/>
        <v>30-45</v>
      </c>
      <c r="N4327" t="str">
        <f t="shared" si="269"/>
        <v>Medium</v>
      </c>
      <c r="O4327" t="str">
        <f t="shared" si="270"/>
        <v>High Balance</v>
      </c>
      <c r="P4327" t="str">
        <f t="shared" si="271"/>
        <v>New</v>
      </c>
    </row>
    <row r="4328" spans="1:16" x14ac:dyDescent="0.25">
      <c r="A4328">
        <v>2025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  <c r="M4328" t="str">
        <f t="shared" si="268"/>
        <v>&lt;30</v>
      </c>
      <c r="N4328" t="str">
        <f t="shared" si="269"/>
        <v>High</v>
      </c>
      <c r="O4328" t="str">
        <f t="shared" si="270"/>
        <v>Zero Balance</v>
      </c>
      <c r="P4328" t="str">
        <f t="shared" si="271"/>
        <v>New</v>
      </c>
    </row>
    <row r="4329" spans="1:16" x14ac:dyDescent="0.25">
      <c r="A4329">
        <v>2025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  <c r="M4329" t="str">
        <f t="shared" si="268"/>
        <v>30-45</v>
      </c>
      <c r="N4329" t="str">
        <f t="shared" si="269"/>
        <v>Medium</v>
      </c>
      <c r="O4329" t="str">
        <f t="shared" si="270"/>
        <v>High Balance</v>
      </c>
      <c r="P4329" t="str">
        <f t="shared" si="271"/>
        <v>New</v>
      </c>
    </row>
    <row r="4330" spans="1:16" x14ac:dyDescent="0.25">
      <c r="A4330">
        <v>2025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  <c r="M4330" t="str">
        <f t="shared" si="268"/>
        <v>46-60</v>
      </c>
      <c r="N4330" t="str">
        <f t="shared" si="269"/>
        <v>Medium</v>
      </c>
      <c r="O4330" t="str">
        <f t="shared" si="270"/>
        <v>Zero Balance</v>
      </c>
      <c r="P4330" t="str">
        <f t="shared" si="271"/>
        <v>Mid-term</v>
      </c>
    </row>
    <row r="4331" spans="1:16" x14ac:dyDescent="0.25">
      <c r="A4331">
        <v>2025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  <c r="M4331" t="str">
        <f t="shared" si="268"/>
        <v>46-60</v>
      </c>
      <c r="N4331" t="str">
        <f t="shared" si="269"/>
        <v>High</v>
      </c>
      <c r="O4331" t="str">
        <f t="shared" si="270"/>
        <v>Zero Balance</v>
      </c>
      <c r="P4331" t="str">
        <f t="shared" si="271"/>
        <v>New</v>
      </c>
    </row>
    <row r="4332" spans="1:16" x14ac:dyDescent="0.25">
      <c r="A4332">
        <v>2025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  <c r="M4332" t="str">
        <f t="shared" si="268"/>
        <v>&lt;30</v>
      </c>
      <c r="N4332" t="str">
        <f t="shared" si="269"/>
        <v>High</v>
      </c>
      <c r="O4332" t="str">
        <f t="shared" si="270"/>
        <v>Zero Balance</v>
      </c>
      <c r="P4332" t="str">
        <f t="shared" si="271"/>
        <v>New</v>
      </c>
    </row>
    <row r="4333" spans="1:16" x14ac:dyDescent="0.25">
      <c r="A4333">
        <v>2025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  <c r="M4333" t="str">
        <f t="shared" si="268"/>
        <v>&lt;30</v>
      </c>
      <c r="N4333" t="str">
        <f t="shared" si="269"/>
        <v>Medium</v>
      </c>
      <c r="O4333" t="str">
        <f t="shared" si="270"/>
        <v>High Balance</v>
      </c>
      <c r="P4333" t="str">
        <f t="shared" si="271"/>
        <v>New</v>
      </c>
    </row>
    <row r="4334" spans="1:16" x14ac:dyDescent="0.25">
      <c r="A4334">
        <v>2025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  <c r="M4334" t="str">
        <f t="shared" si="268"/>
        <v>30-45</v>
      </c>
      <c r="N4334" t="str">
        <f t="shared" si="269"/>
        <v>Medium</v>
      </c>
      <c r="O4334" t="str">
        <f t="shared" si="270"/>
        <v>High Balance</v>
      </c>
      <c r="P4334" t="str">
        <f t="shared" si="271"/>
        <v>New</v>
      </c>
    </row>
    <row r="4335" spans="1:16" x14ac:dyDescent="0.25">
      <c r="A4335">
        <v>2025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  <c r="M4335" t="str">
        <f t="shared" si="268"/>
        <v>30-45</v>
      </c>
      <c r="N4335" t="str">
        <f t="shared" si="269"/>
        <v>High</v>
      </c>
      <c r="O4335" t="str">
        <f t="shared" si="270"/>
        <v>High Balance</v>
      </c>
      <c r="P4335" t="str">
        <f t="shared" si="271"/>
        <v>Mid-term</v>
      </c>
    </row>
    <row r="4336" spans="1:16" x14ac:dyDescent="0.25">
      <c r="A4336">
        <v>2025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  <c r="M4336" t="str">
        <f t="shared" si="268"/>
        <v>46-60</v>
      </c>
      <c r="N4336" t="str">
        <f t="shared" si="269"/>
        <v>High</v>
      </c>
      <c r="O4336" t="str">
        <f t="shared" si="270"/>
        <v>Zero Balance</v>
      </c>
      <c r="P4336" t="str">
        <f t="shared" si="271"/>
        <v>New</v>
      </c>
    </row>
    <row r="4337" spans="1:16" x14ac:dyDescent="0.25">
      <c r="A4337">
        <v>2025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  <c r="M4337" t="str">
        <f t="shared" si="268"/>
        <v>60+</v>
      </c>
      <c r="N4337" t="str">
        <f t="shared" si="269"/>
        <v>High</v>
      </c>
      <c r="O4337" t="str">
        <f t="shared" si="270"/>
        <v>Zero Balance</v>
      </c>
      <c r="P4337" t="str">
        <f t="shared" si="271"/>
        <v>Mid-term</v>
      </c>
    </row>
    <row r="4338" spans="1:16" x14ac:dyDescent="0.25">
      <c r="A4338">
        <v>2025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  <c r="M4338" t="str">
        <f t="shared" si="268"/>
        <v>30-45</v>
      </c>
      <c r="N4338" t="str">
        <f t="shared" si="269"/>
        <v>Medium</v>
      </c>
      <c r="O4338" t="str">
        <f t="shared" si="270"/>
        <v>High Balance</v>
      </c>
      <c r="P4338" t="str">
        <f t="shared" si="271"/>
        <v>Long-term</v>
      </c>
    </row>
    <row r="4339" spans="1:16" x14ac:dyDescent="0.25">
      <c r="A4339">
        <v>2025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  <c r="M4339" t="str">
        <f t="shared" si="268"/>
        <v>30-45</v>
      </c>
      <c r="N4339" t="str">
        <f t="shared" si="269"/>
        <v>High</v>
      </c>
      <c r="O4339" t="str">
        <f t="shared" si="270"/>
        <v>Zero Balance</v>
      </c>
      <c r="P4339" t="str">
        <f t="shared" si="271"/>
        <v>Mid-term</v>
      </c>
    </row>
    <row r="4340" spans="1:16" x14ac:dyDescent="0.25">
      <c r="A4340">
        <v>2025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  <c r="M4340" t="str">
        <f t="shared" si="268"/>
        <v>&lt;30</v>
      </c>
      <c r="N4340" t="str">
        <f t="shared" si="269"/>
        <v>High</v>
      </c>
      <c r="O4340" t="str">
        <f t="shared" si="270"/>
        <v>Zero Balance</v>
      </c>
      <c r="P4340" t="str">
        <f t="shared" si="271"/>
        <v>New</v>
      </c>
    </row>
    <row r="4341" spans="1:16" x14ac:dyDescent="0.25">
      <c r="A4341">
        <v>2025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  <c r="M4341" t="str">
        <f t="shared" si="268"/>
        <v>30-45</v>
      </c>
      <c r="N4341" t="str">
        <f t="shared" si="269"/>
        <v>Medium</v>
      </c>
      <c r="O4341" t="str">
        <f t="shared" si="270"/>
        <v>Zero Balance</v>
      </c>
      <c r="P4341" t="str">
        <f t="shared" si="271"/>
        <v>New</v>
      </c>
    </row>
    <row r="4342" spans="1:16" x14ac:dyDescent="0.25">
      <c r="A4342">
        <v>2025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  <c r="M4342" t="str">
        <f t="shared" si="268"/>
        <v>30-45</v>
      </c>
      <c r="N4342" t="str">
        <f t="shared" si="269"/>
        <v>Medium</v>
      </c>
      <c r="O4342" t="str">
        <f t="shared" si="270"/>
        <v>High Balance</v>
      </c>
      <c r="P4342" t="str">
        <f t="shared" si="271"/>
        <v>Long-term</v>
      </c>
    </row>
    <row r="4343" spans="1:16" x14ac:dyDescent="0.25">
      <c r="A4343">
        <v>2025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  <c r="M4343" t="str">
        <f t="shared" si="268"/>
        <v>30-45</v>
      </c>
      <c r="N4343" t="str">
        <f t="shared" si="269"/>
        <v>Medium</v>
      </c>
      <c r="O4343" t="str">
        <f t="shared" si="270"/>
        <v>High Balance</v>
      </c>
      <c r="P4343" t="str">
        <f t="shared" si="271"/>
        <v>New</v>
      </c>
    </row>
    <row r="4344" spans="1:16" x14ac:dyDescent="0.25">
      <c r="A4344">
        <v>2025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  <c r="M4344" t="str">
        <f t="shared" si="268"/>
        <v>30-45</v>
      </c>
      <c r="N4344" t="str">
        <f t="shared" si="269"/>
        <v>Medium</v>
      </c>
      <c r="O4344" t="str">
        <f t="shared" si="270"/>
        <v>High Balance</v>
      </c>
      <c r="P4344" t="str">
        <f t="shared" si="271"/>
        <v>Mid-term</v>
      </c>
    </row>
    <row r="4345" spans="1:16" x14ac:dyDescent="0.25">
      <c r="A4345">
        <v>2025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  <c r="M4345" t="str">
        <f t="shared" si="268"/>
        <v>46-60</v>
      </c>
      <c r="N4345" t="str">
        <f t="shared" si="269"/>
        <v>Medium</v>
      </c>
      <c r="O4345" t="str">
        <f t="shared" si="270"/>
        <v>Low Balance</v>
      </c>
      <c r="P4345" t="str">
        <f t="shared" si="271"/>
        <v>Mid-term</v>
      </c>
    </row>
    <row r="4346" spans="1:16" x14ac:dyDescent="0.25">
      <c r="A4346">
        <v>2025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  <c r="M4346" t="str">
        <f t="shared" si="268"/>
        <v>&lt;30</v>
      </c>
      <c r="N4346" t="str">
        <f t="shared" si="269"/>
        <v>Medium</v>
      </c>
      <c r="O4346" t="str">
        <f t="shared" si="270"/>
        <v>High Balance</v>
      </c>
      <c r="P4346" t="str">
        <f t="shared" si="271"/>
        <v>Long-term</v>
      </c>
    </row>
    <row r="4347" spans="1:16" x14ac:dyDescent="0.25">
      <c r="A4347">
        <v>2025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  <c r="M4347" t="str">
        <f t="shared" si="268"/>
        <v>46-60</v>
      </c>
      <c r="N4347" t="str">
        <f t="shared" si="269"/>
        <v>High</v>
      </c>
      <c r="O4347" t="str">
        <f t="shared" si="270"/>
        <v>Low Balance</v>
      </c>
      <c r="P4347" t="str">
        <f t="shared" si="271"/>
        <v>New</v>
      </c>
    </row>
    <row r="4348" spans="1:16" x14ac:dyDescent="0.25">
      <c r="A4348">
        <v>2025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  <c r="M4348" t="str">
        <f t="shared" si="268"/>
        <v>30-45</v>
      </c>
      <c r="N4348" t="str">
        <f t="shared" si="269"/>
        <v>High</v>
      </c>
      <c r="O4348" t="str">
        <f t="shared" si="270"/>
        <v>Zero Balance</v>
      </c>
      <c r="P4348" t="str">
        <f t="shared" si="271"/>
        <v>Mid-term</v>
      </c>
    </row>
    <row r="4349" spans="1:16" x14ac:dyDescent="0.25">
      <c r="A4349">
        <v>2025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  <c r="M4349" t="str">
        <f t="shared" si="268"/>
        <v>&lt;30</v>
      </c>
      <c r="N4349" t="str">
        <f t="shared" si="269"/>
        <v>Medium</v>
      </c>
      <c r="O4349" t="str">
        <f t="shared" si="270"/>
        <v>High Balance</v>
      </c>
      <c r="P4349" t="str">
        <f t="shared" si="271"/>
        <v>Long-term</v>
      </c>
    </row>
    <row r="4350" spans="1:16" x14ac:dyDescent="0.25">
      <c r="A4350">
        <v>2025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  <c r="M4350" t="str">
        <f t="shared" si="268"/>
        <v>30-45</v>
      </c>
      <c r="N4350" t="str">
        <f t="shared" si="269"/>
        <v>Medium</v>
      </c>
      <c r="O4350" t="str">
        <f t="shared" si="270"/>
        <v>Low Balance</v>
      </c>
      <c r="P4350" t="str">
        <f t="shared" si="271"/>
        <v>New</v>
      </c>
    </row>
    <row r="4351" spans="1:16" x14ac:dyDescent="0.25">
      <c r="A4351">
        <v>2025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  <c r="M4351" t="str">
        <f t="shared" si="268"/>
        <v>30-45</v>
      </c>
      <c r="N4351" t="str">
        <f t="shared" si="269"/>
        <v>Medium</v>
      </c>
      <c r="O4351" t="str">
        <f t="shared" si="270"/>
        <v>Low Balance</v>
      </c>
      <c r="P4351" t="str">
        <f t="shared" si="271"/>
        <v>New</v>
      </c>
    </row>
    <row r="4352" spans="1:16" x14ac:dyDescent="0.25">
      <c r="A4352">
        <v>2025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  <c r="M4352" t="str">
        <f t="shared" si="268"/>
        <v>30-45</v>
      </c>
      <c r="N4352" t="str">
        <f t="shared" si="269"/>
        <v>High</v>
      </c>
      <c r="O4352" t="str">
        <f t="shared" si="270"/>
        <v>Zero Balance</v>
      </c>
      <c r="P4352" t="str">
        <f t="shared" si="271"/>
        <v>Mid-term</v>
      </c>
    </row>
    <row r="4353" spans="1:16" x14ac:dyDescent="0.25">
      <c r="A4353">
        <v>2025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  <c r="M4353" t="str">
        <f t="shared" si="268"/>
        <v>30-45</v>
      </c>
      <c r="N4353" t="str">
        <f t="shared" si="269"/>
        <v>Medium</v>
      </c>
      <c r="O4353" t="str">
        <f t="shared" si="270"/>
        <v>High Balance</v>
      </c>
      <c r="P4353" t="str">
        <f t="shared" si="271"/>
        <v>New</v>
      </c>
    </row>
    <row r="4354" spans="1:16" x14ac:dyDescent="0.25">
      <c r="A4354">
        <v>2025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  <c r="M4354" t="str">
        <f t="shared" si="268"/>
        <v>&lt;30</v>
      </c>
      <c r="N4354" t="str">
        <f t="shared" si="269"/>
        <v>Medium</v>
      </c>
      <c r="O4354" t="str">
        <f t="shared" si="270"/>
        <v>Low Balance</v>
      </c>
      <c r="P4354" t="str">
        <f t="shared" si="271"/>
        <v>Mid-term</v>
      </c>
    </row>
    <row r="4355" spans="1:16" x14ac:dyDescent="0.25">
      <c r="A4355">
        <v>2025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  <c r="M4355" t="str">
        <f t="shared" ref="M4355:M4418" si="272">IF(E4355&lt;30,"&lt;30",IF(E4355&lt;=45,"30-45",IF(E4355&lt;=60,"46-60","60+")))</f>
        <v>30-45</v>
      </c>
      <c r="N4355" t="str">
        <f t="shared" ref="N4355:N4418" si="273">IF(B4355&lt;500,"Low",IF(B4355&lt;700,"Medium","High"))</f>
        <v>High</v>
      </c>
      <c r="O4355" t="str">
        <f t="shared" ref="O4355:O4418" si="274">IF(G4355=0,"Zero Balance",IF(G4355&lt;100000,"Low Balance","High Balance"))</f>
        <v>Zero Balance</v>
      </c>
      <c r="P4355" t="str">
        <f t="shared" ref="P4355:P4418" si="275">IF(F4355&lt;=3,"New",IF(F4355&lt;=7,"Mid-term","Long-term"))</f>
        <v>Mid-term</v>
      </c>
    </row>
    <row r="4356" spans="1:16" x14ac:dyDescent="0.25">
      <c r="A4356">
        <v>2025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  <c r="M4356" t="str">
        <f t="shared" si="272"/>
        <v>30-45</v>
      </c>
      <c r="N4356" t="str">
        <f t="shared" si="273"/>
        <v>Medium</v>
      </c>
      <c r="O4356" t="str">
        <f t="shared" si="274"/>
        <v>Zero Balance</v>
      </c>
      <c r="P4356" t="str">
        <f t="shared" si="275"/>
        <v>Mid-term</v>
      </c>
    </row>
    <row r="4357" spans="1:16" x14ac:dyDescent="0.25">
      <c r="A4357">
        <v>2025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  <c r="M4357" t="str">
        <f t="shared" si="272"/>
        <v>30-45</v>
      </c>
      <c r="N4357" t="str">
        <f t="shared" si="273"/>
        <v>Medium</v>
      </c>
      <c r="O4357" t="str">
        <f t="shared" si="274"/>
        <v>Low Balance</v>
      </c>
      <c r="P4357" t="str">
        <f t="shared" si="275"/>
        <v>Mid-term</v>
      </c>
    </row>
    <row r="4358" spans="1:16" x14ac:dyDescent="0.25">
      <c r="A4358">
        <v>2025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  <c r="M4358" t="str">
        <f t="shared" si="272"/>
        <v>30-45</v>
      </c>
      <c r="N4358" t="str">
        <f t="shared" si="273"/>
        <v>Medium</v>
      </c>
      <c r="O4358" t="str">
        <f t="shared" si="274"/>
        <v>High Balance</v>
      </c>
      <c r="P4358" t="str">
        <f t="shared" si="275"/>
        <v>Mid-term</v>
      </c>
    </row>
    <row r="4359" spans="1:16" x14ac:dyDescent="0.25">
      <c r="A4359">
        <v>2025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  <c r="M4359" t="str">
        <f t="shared" si="272"/>
        <v>30-45</v>
      </c>
      <c r="N4359" t="str">
        <f t="shared" si="273"/>
        <v>High</v>
      </c>
      <c r="O4359" t="str">
        <f t="shared" si="274"/>
        <v>Zero Balance</v>
      </c>
      <c r="P4359" t="str">
        <f t="shared" si="275"/>
        <v>Long-term</v>
      </c>
    </row>
    <row r="4360" spans="1:16" x14ac:dyDescent="0.25">
      <c r="A4360">
        <v>2025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  <c r="M4360" t="str">
        <f t="shared" si="272"/>
        <v>46-60</v>
      </c>
      <c r="N4360" t="str">
        <f t="shared" si="273"/>
        <v>Low</v>
      </c>
      <c r="O4360" t="str">
        <f t="shared" si="274"/>
        <v>Zero Balance</v>
      </c>
      <c r="P4360" t="str">
        <f t="shared" si="275"/>
        <v>New</v>
      </c>
    </row>
    <row r="4361" spans="1:16" x14ac:dyDescent="0.25">
      <c r="A4361">
        <v>2025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  <c r="M4361" t="str">
        <f t="shared" si="272"/>
        <v>30-45</v>
      </c>
      <c r="N4361" t="str">
        <f t="shared" si="273"/>
        <v>Medium</v>
      </c>
      <c r="O4361" t="str">
        <f t="shared" si="274"/>
        <v>High Balance</v>
      </c>
      <c r="P4361" t="str">
        <f t="shared" si="275"/>
        <v>New</v>
      </c>
    </row>
    <row r="4362" spans="1:16" x14ac:dyDescent="0.25">
      <c r="A4362">
        <v>2025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  <c r="M4362" t="str">
        <f t="shared" si="272"/>
        <v>60+</v>
      </c>
      <c r="N4362" t="str">
        <f t="shared" si="273"/>
        <v>Medium</v>
      </c>
      <c r="O4362" t="str">
        <f t="shared" si="274"/>
        <v>Zero Balance</v>
      </c>
      <c r="P4362" t="str">
        <f t="shared" si="275"/>
        <v>Long-term</v>
      </c>
    </row>
    <row r="4363" spans="1:16" x14ac:dyDescent="0.25">
      <c r="A4363">
        <v>2025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  <c r="M4363" t="str">
        <f t="shared" si="272"/>
        <v>46-60</v>
      </c>
      <c r="N4363" t="str">
        <f t="shared" si="273"/>
        <v>High</v>
      </c>
      <c r="O4363" t="str">
        <f t="shared" si="274"/>
        <v>Low Balance</v>
      </c>
      <c r="P4363" t="str">
        <f t="shared" si="275"/>
        <v>Long-term</v>
      </c>
    </row>
    <row r="4364" spans="1:16" x14ac:dyDescent="0.25">
      <c r="A4364">
        <v>2025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  <c r="M4364" t="str">
        <f t="shared" si="272"/>
        <v>&lt;30</v>
      </c>
      <c r="N4364" t="str">
        <f t="shared" si="273"/>
        <v>Medium</v>
      </c>
      <c r="O4364" t="str">
        <f t="shared" si="274"/>
        <v>High Balance</v>
      </c>
      <c r="P4364" t="str">
        <f t="shared" si="275"/>
        <v>New</v>
      </c>
    </row>
    <row r="4365" spans="1:16" x14ac:dyDescent="0.25">
      <c r="A4365">
        <v>2025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  <c r="M4365" t="str">
        <f t="shared" si="272"/>
        <v>30-45</v>
      </c>
      <c r="N4365" t="str">
        <f t="shared" si="273"/>
        <v>Medium</v>
      </c>
      <c r="O4365" t="str">
        <f t="shared" si="274"/>
        <v>Zero Balance</v>
      </c>
      <c r="P4365" t="str">
        <f t="shared" si="275"/>
        <v>Long-term</v>
      </c>
    </row>
    <row r="4366" spans="1:16" x14ac:dyDescent="0.25">
      <c r="A4366">
        <v>2025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  <c r="M4366" t="str">
        <f t="shared" si="272"/>
        <v>&lt;30</v>
      </c>
      <c r="N4366" t="str">
        <f t="shared" si="273"/>
        <v>Medium</v>
      </c>
      <c r="O4366" t="str">
        <f t="shared" si="274"/>
        <v>Low Balance</v>
      </c>
      <c r="P4366" t="str">
        <f t="shared" si="275"/>
        <v>Long-term</v>
      </c>
    </row>
    <row r="4367" spans="1:16" x14ac:dyDescent="0.25">
      <c r="A4367">
        <v>2025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  <c r="M4367" t="str">
        <f t="shared" si="272"/>
        <v>30-45</v>
      </c>
      <c r="N4367" t="str">
        <f t="shared" si="273"/>
        <v>Medium</v>
      </c>
      <c r="O4367" t="str">
        <f t="shared" si="274"/>
        <v>Zero Balance</v>
      </c>
      <c r="P4367" t="str">
        <f t="shared" si="275"/>
        <v>New</v>
      </c>
    </row>
    <row r="4368" spans="1:16" x14ac:dyDescent="0.25">
      <c r="A4368">
        <v>2025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  <c r="M4368" t="str">
        <f t="shared" si="272"/>
        <v>60+</v>
      </c>
      <c r="N4368" t="str">
        <f t="shared" si="273"/>
        <v>Medium</v>
      </c>
      <c r="O4368" t="str">
        <f t="shared" si="274"/>
        <v>Zero Balance</v>
      </c>
      <c r="P4368" t="str">
        <f t="shared" si="275"/>
        <v>Mid-term</v>
      </c>
    </row>
    <row r="4369" spans="1:16" x14ac:dyDescent="0.25">
      <c r="A4369">
        <v>2025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  <c r="M4369" t="str">
        <f t="shared" si="272"/>
        <v>46-60</v>
      </c>
      <c r="N4369" t="str">
        <f t="shared" si="273"/>
        <v>Medium</v>
      </c>
      <c r="O4369" t="str">
        <f t="shared" si="274"/>
        <v>High Balance</v>
      </c>
      <c r="P4369" t="str">
        <f t="shared" si="275"/>
        <v>New</v>
      </c>
    </row>
    <row r="4370" spans="1:16" x14ac:dyDescent="0.25">
      <c r="A4370">
        <v>2025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  <c r="M4370" t="str">
        <f t="shared" si="272"/>
        <v>30-45</v>
      </c>
      <c r="N4370" t="str">
        <f t="shared" si="273"/>
        <v>Medium</v>
      </c>
      <c r="O4370" t="str">
        <f t="shared" si="274"/>
        <v>High Balance</v>
      </c>
      <c r="P4370" t="str">
        <f t="shared" si="275"/>
        <v>Mid-term</v>
      </c>
    </row>
    <row r="4371" spans="1:16" x14ac:dyDescent="0.25">
      <c r="A4371">
        <v>2025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  <c r="M4371" t="str">
        <f t="shared" si="272"/>
        <v>&lt;30</v>
      </c>
      <c r="N4371" t="str">
        <f t="shared" si="273"/>
        <v>Medium</v>
      </c>
      <c r="O4371" t="str">
        <f t="shared" si="274"/>
        <v>High Balance</v>
      </c>
      <c r="P4371" t="str">
        <f t="shared" si="275"/>
        <v>New</v>
      </c>
    </row>
    <row r="4372" spans="1:16" x14ac:dyDescent="0.25">
      <c r="A4372">
        <v>2025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  <c r="M4372" t="str">
        <f t="shared" si="272"/>
        <v>30-45</v>
      </c>
      <c r="N4372" t="str">
        <f t="shared" si="273"/>
        <v>High</v>
      </c>
      <c r="O4372" t="str">
        <f t="shared" si="274"/>
        <v>High Balance</v>
      </c>
      <c r="P4372" t="str">
        <f t="shared" si="275"/>
        <v>Mid-term</v>
      </c>
    </row>
    <row r="4373" spans="1:16" x14ac:dyDescent="0.25">
      <c r="A4373">
        <v>2025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  <c r="M4373" t="str">
        <f t="shared" si="272"/>
        <v>30-45</v>
      </c>
      <c r="N4373" t="str">
        <f t="shared" si="273"/>
        <v>Medium</v>
      </c>
      <c r="O4373" t="str">
        <f t="shared" si="274"/>
        <v>High Balance</v>
      </c>
      <c r="P4373" t="str">
        <f t="shared" si="275"/>
        <v>New</v>
      </c>
    </row>
    <row r="4374" spans="1:16" x14ac:dyDescent="0.25">
      <c r="A4374">
        <v>2025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  <c r="M4374" t="str">
        <f t="shared" si="272"/>
        <v>30-45</v>
      </c>
      <c r="N4374" t="str">
        <f t="shared" si="273"/>
        <v>Medium</v>
      </c>
      <c r="O4374" t="str">
        <f t="shared" si="274"/>
        <v>Low Balance</v>
      </c>
      <c r="P4374" t="str">
        <f t="shared" si="275"/>
        <v>New</v>
      </c>
    </row>
    <row r="4375" spans="1:16" x14ac:dyDescent="0.25">
      <c r="A4375">
        <v>2025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  <c r="M4375" t="str">
        <f t="shared" si="272"/>
        <v>30-45</v>
      </c>
      <c r="N4375" t="str">
        <f t="shared" si="273"/>
        <v>Medium</v>
      </c>
      <c r="O4375" t="str">
        <f t="shared" si="274"/>
        <v>Zero Balance</v>
      </c>
      <c r="P4375" t="str">
        <f t="shared" si="275"/>
        <v>New</v>
      </c>
    </row>
    <row r="4376" spans="1:16" x14ac:dyDescent="0.25">
      <c r="A4376">
        <v>2025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  <c r="M4376" t="str">
        <f t="shared" si="272"/>
        <v>30-45</v>
      </c>
      <c r="N4376" t="str">
        <f t="shared" si="273"/>
        <v>Medium</v>
      </c>
      <c r="O4376" t="str">
        <f t="shared" si="274"/>
        <v>High Balance</v>
      </c>
      <c r="P4376" t="str">
        <f t="shared" si="275"/>
        <v>New</v>
      </c>
    </row>
    <row r="4377" spans="1:16" x14ac:dyDescent="0.25">
      <c r="A4377">
        <v>2025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  <c r="M4377" t="str">
        <f t="shared" si="272"/>
        <v>30-45</v>
      </c>
      <c r="N4377" t="str">
        <f t="shared" si="273"/>
        <v>High</v>
      </c>
      <c r="O4377" t="str">
        <f t="shared" si="274"/>
        <v>Low Balance</v>
      </c>
      <c r="P4377" t="str">
        <f t="shared" si="275"/>
        <v>Long-term</v>
      </c>
    </row>
    <row r="4378" spans="1:16" x14ac:dyDescent="0.25">
      <c r="A4378">
        <v>2025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  <c r="M4378" t="str">
        <f t="shared" si="272"/>
        <v>30-45</v>
      </c>
      <c r="N4378" t="str">
        <f t="shared" si="273"/>
        <v>Medium</v>
      </c>
      <c r="O4378" t="str">
        <f t="shared" si="274"/>
        <v>Zero Balance</v>
      </c>
      <c r="P4378" t="str">
        <f t="shared" si="275"/>
        <v>Mid-term</v>
      </c>
    </row>
    <row r="4379" spans="1:16" x14ac:dyDescent="0.25">
      <c r="A4379">
        <v>2025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  <c r="M4379" t="str">
        <f t="shared" si="272"/>
        <v>30-45</v>
      </c>
      <c r="N4379" t="str">
        <f t="shared" si="273"/>
        <v>High</v>
      </c>
      <c r="O4379" t="str">
        <f t="shared" si="274"/>
        <v>High Balance</v>
      </c>
      <c r="P4379" t="str">
        <f t="shared" si="275"/>
        <v>Long-term</v>
      </c>
    </row>
    <row r="4380" spans="1:16" x14ac:dyDescent="0.25">
      <c r="A4380">
        <v>2025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  <c r="M4380" t="str">
        <f t="shared" si="272"/>
        <v>60+</v>
      </c>
      <c r="N4380" t="str">
        <f t="shared" si="273"/>
        <v>High</v>
      </c>
      <c r="O4380" t="str">
        <f t="shared" si="274"/>
        <v>Low Balance</v>
      </c>
      <c r="P4380" t="str">
        <f t="shared" si="275"/>
        <v>New</v>
      </c>
    </row>
    <row r="4381" spans="1:16" x14ac:dyDescent="0.25">
      <c r="A4381">
        <v>2025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  <c r="M4381" t="str">
        <f t="shared" si="272"/>
        <v>&lt;30</v>
      </c>
      <c r="N4381" t="str">
        <f t="shared" si="273"/>
        <v>Medium</v>
      </c>
      <c r="O4381" t="str">
        <f t="shared" si="274"/>
        <v>Zero Balance</v>
      </c>
      <c r="P4381" t="str">
        <f t="shared" si="275"/>
        <v>Mid-term</v>
      </c>
    </row>
    <row r="4382" spans="1:16" x14ac:dyDescent="0.25">
      <c r="A4382">
        <v>2025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  <c r="M4382" t="str">
        <f t="shared" si="272"/>
        <v>46-60</v>
      </c>
      <c r="N4382" t="str">
        <f t="shared" si="273"/>
        <v>Low</v>
      </c>
      <c r="O4382" t="str">
        <f t="shared" si="274"/>
        <v>High Balance</v>
      </c>
      <c r="P4382" t="str">
        <f t="shared" si="275"/>
        <v>Mid-term</v>
      </c>
    </row>
    <row r="4383" spans="1:16" x14ac:dyDescent="0.25">
      <c r="A4383">
        <v>2025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  <c r="M4383" t="str">
        <f t="shared" si="272"/>
        <v>30-45</v>
      </c>
      <c r="N4383" t="str">
        <f t="shared" si="273"/>
        <v>Low</v>
      </c>
      <c r="O4383" t="str">
        <f t="shared" si="274"/>
        <v>Zero Balance</v>
      </c>
      <c r="P4383" t="str">
        <f t="shared" si="275"/>
        <v>Mid-term</v>
      </c>
    </row>
    <row r="4384" spans="1:16" x14ac:dyDescent="0.25">
      <c r="A4384">
        <v>2025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  <c r="M4384" t="str">
        <f t="shared" si="272"/>
        <v>30-45</v>
      </c>
      <c r="N4384" t="str">
        <f t="shared" si="273"/>
        <v>Medium</v>
      </c>
      <c r="O4384" t="str">
        <f t="shared" si="274"/>
        <v>Low Balance</v>
      </c>
      <c r="P4384" t="str">
        <f t="shared" si="275"/>
        <v>Long-term</v>
      </c>
    </row>
    <row r="4385" spans="1:16" x14ac:dyDescent="0.25">
      <c r="A4385">
        <v>2025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  <c r="M4385" t="str">
        <f t="shared" si="272"/>
        <v>30-45</v>
      </c>
      <c r="N4385" t="str">
        <f t="shared" si="273"/>
        <v>Medium</v>
      </c>
      <c r="O4385" t="str">
        <f t="shared" si="274"/>
        <v>Low Balance</v>
      </c>
      <c r="P4385" t="str">
        <f t="shared" si="275"/>
        <v>Mid-term</v>
      </c>
    </row>
    <row r="4386" spans="1:16" x14ac:dyDescent="0.25">
      <c r="A4386">
        <v>2025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  <c r="M4386" t="str">
        <f t="shared" si="272"/>
        <v>30-45</v>
      </c>
      <c r="N4386" t="str">
        <f t="shared" si="273"/>
        <v>High</v>
      </c>
      <c r="O4386" t="str">
        <f t="shared" si="274"/>
        <v>Zero Balance</v>
      </c>
      <c r="P4386" t="str">
        <f t="shared" si="275"/>
        <v>New</v>
      </c>
    </row>
    <row r="4387" spans="1:16" x14ac:dyDescent="0.25">
      <c r="A4387">
        <v>2025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  <c r="M4387" t="str">
        <f t="shared" si="272"/>
        <v>30-45</v>
      </c>
      <c r="N4387" t="str">
        <f t="shared" si="273"/>
        <v>Medium</v>
      </c>
      <c r="O4387" t="str">
        <f t="shared" si="274"/>
        <v>Low Balance</v>
      </c>
      <c r="P4387" t="str">
        <f t="shared" si="275"/>
        <v>New</v>
      </c>
    </row>
    <row r="4388" spans="1:16" x14ac:dyDescent="0.25">
      <c r="A4388">
        <v>2025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  <c r="M4388" t="str">
        <f t="shared" si="272"/>
        <v>30-45</v>
      </c>
      <c r="N4388" t="str">
        <f t="shared" si="273"/>
        <v>High</v>
      </c>
      <c r="O4388" t="str">
        <f t="shared" si="274"/>
        <v>High Balance</v>
      </c>
      <c r="P4388" t="str">
        <f t="shared" si="275"/>
        <v>New</v>
      </c>
    </row>
    <row r="4389" spans="1:16" x14ac:dyDescent="0.25">
      <c r="A4389">
        <v>2025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  <c r="M4389" t="str">
        <f t="shared" si="272"/>
        <v>60+</v>
      </c>
      <c r="N4389" t="str">
        <f t="shared" si="273"/>
        <v>High</v>
      </c>
      <c r="O4389" t="str">
        <f t="shared" si="274"/>
        <v>Zero Balance</v>
      </c>
      <c r="P4389" t="str">
        <f t="shared" si="275"/>
        <v>New</v>
      </c>
    </row>
    <row r="4390" spans="1:16" x14ac:dyDescent="0.25">
      <c r="A4390">
        <v>2025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  <c r="M4390" t="str">
        <f t="shared" si="272"/>
        <v>30-45</v>
      </c>
      <c r="N4390" t="str">
        <f t="shared" si="273"/>
        <v>Medium</v>
      </c>
      <c r="O4390" t="str">
        <f t="shared" si="274"/>
        <v>High Balance</v>
      </c>
      <c r="P4390" t="str">
        <f t="shared" si="275"/>
        <v>New</v>
      </c>
    </row>
    <row r="4391" spans="1:16" x14ac:dyDescent="0.25">
      <c r="A4391">
        <v>2025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  <c r="M4391" t="str">
        <f t="shared" si="272"/>
        <v>30-45</v>
      </c>
      <c r="N4391" t="str">
        <f t="shared" si="273"/>
        <v>Medium</v>
      </c>
      <c r="O4391" t="str">
        <f t="shared" si="274"/>
        <v>High Balance</v>
      </c>
      <c r="P4391" t="str">
        <f t="shared" si="275"/>
        <v>Mid-term</v>
      </c>
    </row>
    <row r="4392" spans="1:16" x14ac:dyDescent="0.25">
      <c r="A4392">
        <v>2025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  <c r="M4392" t="str">
        <f t="shared" si="272"/>
        <v>30-45</v>
      </c>
      <c r="N4392" t="str">
        <f t="shared" si="273"/>
        <v>Medium</v>
      </c>
      <c r="O4392" t="str">
        <f t="shared" si="274"/>
        <v>Low Balance</v>
      </c>
      <c r="P4392" t="str">
        <f t="shared" si="275"/>
        <v>New</v>
      </c>
    </row>
    <row r="4393" spans="1:16" x14ac:dyDescent="0.25">
      <c r="A4393">
        <v>2025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  <c r="M4393" t="str">
        <f t="shared" si="272"/>
        <v>30-45</v>
      </c>
      <c r="N4393" t="str">
        <f t="shared" si="273"/>
        <v>High</v>
      </c>
      <c r="O4393" t="str">
        <f t="shared" si="274"/>
        <v>Zero Balance</v>
      </c>
      <c r="P4393" t="str">
        <f t="shared" si="275"/>
        <v>Mid-term</v>
      </c>
    </row>
    <row r="4394" spans="1:16" x14ac:dyDescent="0.25">
      <c r="A4394">
        <v>2025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  <c r="M4394" t="str">
        <f t="shared" si="272"/>
        <v>46-60</v>
      </c>
      <c r="N4394" t="str">
        <f t="shared" si="273"/>
        <v>High</v>
      </c>
      <c r="O4394" t="str">
        <f t="shared" si="274"/>
        <v>Low Balance</v>
      </c>
      <c r="P4394" t="str">
        <f t="shared" si="275"/>
        <v>New</v>
      </c>
    </row>
    <row r="4395" spans="1:16" x14ac:dyDescent="0.25">
      <c r="A4395">
        <v>2025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  <c r="M4395" t="str">
        <f t="shared" si="272"/>
        <v>30-45</v>
      </c>
      <c r="N4395" t="str">
        <f t="shared" si="273"/>
        <v>High</v>
      </c>
      <c r="O4395" t="str">
        <f t="shared" si="274"/>
        <v>High Balance</v>
      </c>
      <c r="P4395" t="str">
        <f t="shared" si="275"/>
        <v>Mid-term</v>
      </c>
    </row>
    <row r="4396" spans="1:16" x14ac:dyDescent="0.25">
      <c r="A4396">
        <v>2025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  <c r="M4396" t="str">
        <f t="shared" si="272"/>
        <v>&lt;30</v>
      </c>
      <c r="N4396" t="str">
        <f t="shared" si="273"/>
        <v>Low</v>
      </c>
      <c r="O4396" t="str">
        <f t="shared" si="274"/>
        <v>High Balance</v>
      </c>
      <c r="P4396" t="str">
        <f t="shared" si="275"/>
        <v>Mid-term</v>
      </c>
    </row>
    <row r="4397" spans="1:16" x14ac:dyDescent="0.25">
      <c r="A4397">
        <v>2025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  <c r="M4397" t="str">
        <f t="shared" si="272"/>
        <v>&lt;30</v>
      </c>
      <c r="N4397" t="str">
        <f t="shared" si="273"/>
        <v>Medium</v>
      </c>
      <c r="O4397" t="str">
        <f t="shared" si="274"/>
        <v>High Balance</v>
      </c>
      <c r="P4397" t="str">
        <f t="shared" si="275"/>
        <v>Mid-term</v>
      </c>
    </row>
    <row r="4398" spans="1:16" x14ac:dyDescent="0.25">
      <c r="A4398">
        <v>2025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  <c r="M4398" t="str">
        <f t="shared" si="272"/>
        <v>60+</v>
      </c>
      <c r="N4398" t="str">
        <f t="shared" si="273"/>
        <v>High</v>
      </c>
      <c r="O4398" t="str">
        <f t="shared" si="274"/>
        <v>High Balance</v>
      </c>
      <c r="P4398" t="str">
        <f t="shared" si="275"/>
        <v>Mid-term</v>
      </c>
    </row>
    <row r="4399" spans="1:16" x14ac:dyDescent="0.25">
      <c r="A4399">
        <v>2025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  <c r="M4399" t="str">
        <f t="shared" si="272"/>
        <v>30-45</v>
      </c>
      <c r="N4399" t="str">
        <f t="shared" si="273"/>
        <v>Medium</v>
      </c>
      <c r="O4399" t="str">
        <f t="shared" si="274"/>
        <v>Low Balance</v>
      </c>
      <c r="P4399" t="str">
        <f t="shared" si="275"/>
        <v>Long-term</v>
      </c>
    </row>
    <row r="4400" spans="1:16" x14ac:dyDescent="0.25">
      <c r="A4400">
        <v>2025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  <c r="M4400" t="str">
        <f t="shared" si="272"/>
        <v>30-45</v>
      </c>
      <c r="N4400" t="str">
        <f t="shared" si="273"/>
        <v>High</v>
      </c>
      <c r="O4400" t="str">
        <f t="shared" si="274"/>
        <v>Zero Balance</v>
      </c>
      <c r="P4400" t="str">
        <f t="shared" si="275"/>
        <v>Long-term</v>
      </c>
    </row>
    <row r="4401" spans="1:16" x14ac:dyDescent="0.25">
      <c r="A4401">
        <v>2025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  <c r="M4401" t="str">
        <f t="shared" si="272"/>
        <v>30-45</v>
      </c>
      <c r="N4401" t="str">
        <f t="shared" si="273"/>
        <v>Medium</v>
      </c>
      <c r="O4401" t="str">
        <f t="shared" si="274"/>
        <v>High Balance</v>
      </c>
      <c r="P4401" t="str">
        <f t="shared" si="275"/>
        <v>Long-term</v>
      </c>
    </row>
    <row r="4402" spans="1:16" x14ac:dyDescent="0.25">
      <c r="A4402">
        <v>2025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  <c r="M4402" t="str">
        <f t="shared" si="272"/>
        <v>30-45</v>
      </c>
      <c r="N4402" t="str">
        <f t="shared" si="273"/>
        <v>High</v>
      </c>
      <c r="O4402" t="str">
        <f t="shared" si="274"/>
        <v>High Balance</v>
      </c>
      <c r="P4402" t="str">
        <f t="shared" si="275"/>
        <v>Mid-term</v>
      </c>
    </row>
    <row r="4403" spans="1:16" x14ac:dyDescent="0.25">
      <c r="A4403">
        <v>2025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  <c r="M4403" t="str">
        <f t="shared" si="272"/>
        <v>30-45</v>
      </c>
      <c r="N4403" t="str">
        <f t="shared" si="273"/>
        <v>High</v>
      </c>
      <c r="O4403" t="str">
        <f t="shared" si="274"/>
        <v>High Balance</v>
      </c>
      <c r="P4403" t="str">
        <f t="shared" si="275"/>
        <v>New</v>
      </c>
    </row>
    <row r="4404" spans="1:16" x14ac:dyDescent="0.25">
      <c r="A4404">
        <v>2025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  <c r="M4404" t="str">
        <f t="shared" si="272"/>
        <v>46-60</v>
      </c>
      <c r="N4404" t="str">
        <f t="shared" si="273"/>
        <v>High</v>
      </c>
      <c r="O4404" t="str">
        <f t="shared" si="274"/>
        <v>High Balance</v>
      </c>
      <c r="P4404" t="str">
        <f t="shared" si="275"/>
        <v>Long-term</v>
      </c>
    </row>
    <row r="4405" spans="1:16" x14ac:dyDescent="0.25">
      <c r="A4405">
        <v>2025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  <c r="M4405" t="str">
        <f t="shared" si="272"/>
        <v>30-45</v>
      </c>
      <c r="N4405" t="str">
        <f t="shared" si="273"/>
        <v>Medium</v>
      </c>
      <c r="O4405" t="str">
        <f t="shared" si="274"/>
        <v>High Balance</v>
      </c>
      <c r="P4405" t="str">
        <f t="shared" si="275"/>
        <v>New</v>
      </c>
    </row>
    <row r="4406" spans="1:16" x14ac:dyDescent="0.25">
      <c r="A4406">
        <v>2025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  <c r="M4406" t="str">
        <f t="shared" si="272"/>
        <v>30-45</v>
      </c>
      <c r="N4406" t="str">
        <f t="shared" si="273"/>
        <v>Medium</v>
      </c>
      <c r="O4406" t="str">
        <f t="shared" si="274"/>
        <v>High Balance</v>
      </c>
      <c r="P4406" t="str">
        <f t="shared" si="275"/>
        <v>New</v>
      </c>
    </row>
    <row r="4407" spans="1:16" x14ac:dyDescent="0.25">
      <c r="A4407">
        <v>2025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  <c r="M4407" t="str">
        <f t="shared" si="272"/>
        <v>30-45</v>
      </c>
      <c r="N4407" t="str">
        <f t="shared" si="273"/>
        <v>Medium</v>
      </c>
      <c r="O4407" t="str">
        <f t="shared" si="274"/>
        <v>Zero Balance</v>
      </c>
      <c r="P4407" t="str">
        <f t="shared" si="275"/>
        <v>Long-term</v>
      </c>
    </row>
    <row r="4408" spans="1:16" x14ac:dyDescent="0.25">
      <c r="A4408">
        <v>2025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  <c r="M4408" t="str">
        <f t="shared" si="272"/>
        <v>&lt;30</v>
      </c>
      <c r="N4408" t="str">
        <f t="shared" si="273"/>
        <v>Medium</v>
      </c>
      <c r="O4408" t="str">
        <f t="shared" si="274"/>
        <v>High Balance</v>
      </c>
      <c r="P4408" t="str">
        <f t="shared" si="275"/>
        <v>Mid-term</v>
      </c>
    </row>
    <row r="4409" spans="1:16" x14ac:dyDescent="0.25">
      <c r="A4409">
        <v>2025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  <c r="M4409" t="str">
        <f t="shared" si="272"/>
        <v>30-45</v>
      </c>
      <c r="N4409" t="str">
        <f t="shared" si="273"/>
        <v>Medium</v>
      </c>
      <c r="O4409" t="str">
        <f t="shared" si="274"/>
        <v>High Balance</v>
      </c>
      <c r="P4409" t="str">
        <f t="shared" si="275"/>
        <v>New</v>
      </c>
    </row>
    <row r="4410" spans="1:16" x14ac:dyDescent="0.25">
      <c r="A4410">
        <v>2025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  <c r="M4410" t="str">
        <f t="shared" si="272"/>
        <v>30-45</v>
      </c>
      <c r="N4410" t="str">
        <f t="shared" si="273"/>
        <v>Medium</v>
      </c>
      <c r="O4410" t="str">
        <f t="shared" si="274"/>
        <v>High Balance</v>
      </c>
      <c r="P4410" t="str">
        <f t="shared" si="275"/>
        <v>Mid-term</v>
      </c>
    </row>
    <row r="4411" spans="1:16" x14ac:dyDescent="0.25">
      <c r="A4411">
        <v>2025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  <c r="M4411" t="str">
        <f t="shared" si="272"/>
        <v>30-45</v>
      </c>
      <c r="N4411" t="str">
        <f t="shared" si="273"/>
        <v>High</v>
      </c>
      <c r="O4411" t="str">
        <f t="shared" si="274"/>
        <v>High Balance</v>
      </c>
      <c r="P4411" t="str">
        <f t="shared" si="275"/>
        <v>Mid-term</v>
      </c>
    </row>
    <row r="4412" spans="1:16" x14ac:dyDescent="0.25">
      <c r="A4412">
        <v>2025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  <c r="M4412" t="str">
        <f t="shared" si="272"/>
        <v>30-45</v>
      </c>
      <c r="N4412" t="str">
        <f t="shared" si="273"/>
        <v>Medium</v>
      </c>
      <c r="O4412" t="str">
        <f t="shared" si="274"/>
        <v>High Balance</v>
      </c>
      <c r="P4412" t="str">
        <f t="shared" si="275"/>
        <v>Long-term</v>
      </c>
    </row>
    <row r="4413" spans="1:16" x14ac:dyDescent="0.25">
      <c r="A4413">
        <v>2025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  <c r="M4413" t="str">
        <f t="shared" si="272"/>
        <v>30-45</v>
      </c>
      <c r="N4413" t="str">
        <f t="shared" si="273"/>
        <v>Medium</v>
      </c>
      <c r="O4413" t="str">
        <f t="shared" si="274"/>
        <v>Low Balance</v>
      </c>
      <c r="P4413" t="str">
        <f t="shared" si="275"/>
        <v>Mid-term</v>
      </c>
    </row>
    <row r="4414" spans="1:16" x14ac:dyDescent="0.25">
      <c r="A4414">
        <v>2025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  <c r="M4414" t="str">
        <f t="shared" si="272"/>
        <v>30-45</v>
      </c>
      <c r="N4414" t="str">
        <f t="shared" si="273"/>
        <v>Medium</v>
      </c>
      <c r="O4414" t="str">
        <f t="shared" si="274"/>
        <v>Zero Balance</v>
      </c>
      <c r="P4414" t="str">
        <f t="shared" si="275"/>
        <v>New</v>
      </c>
    </row>
    <row r="4415" spans="1:16" x14ac:dyDescent="0.25">
      <c r="A4415">
        <v>2025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  <c r="M4415" t="str">
        <f t="shared" si="272"/>
        <v>30-45</v>
      </c>
      <c r="N4415" t="str">
        <f t="shared" si="273"/>
        <v>Medium</v>
      </c>
      <c r="O4415" t="str">
        <f t="shared" si="274"/>
        <v>High Balance</v>
      </c>
      <c r="P4415" t="str">
        <f t="shared" si="275"/>
        <v>Mid-term</v>
      </c>
    </row>
    <row r="4416" spans="1:16" x14ac:dyDescent="0.25">
      <c r="A4416">
        <v>2025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  <c r="M4416" t="str">
        <f t="shared" si="272"/>
        <v>&lt;30</v>
      </c>
      <c r="N4416" t="str">
        <f t="shared" si="273"/>
        <v>High</v>
      </c>
      <c r="O4416" t="str">
        <f t="shared" si="274"/>
        <v>High Balance</v>
      </c>
      <c r="P4416" t="str">
        <f t="shared" si="275"/>
        <v>Long-term</v>
      </c>
    </row>
    <row r="4417" spans="1:16" x14ac:dyDescent="0.25">
      <c r="A4417">
        <v>2025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  <c r="M4417" t="str">
        <f t="shared" si="272"/>
        <v>&lt;30</v>
      </c>
      <c r="N4417" t="str">
        <f t="shared" si="273"/>
        <v>High</v>
      </c>
      <c r="O4417" t="str">
        <f t="shared" si="274"/>
        <v>Zero Balance</v>
      </c>
      <c r="P4417" t="str">
        <f t="shared" si="275"/>
        <v>New</v>
      </c>
    </row>
    <row r="4418" spans="1:16" x14ac:dyDescent="0.25">
      <c r="A4418">
        <v>2025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  <c r="M4418" t="str">
        <f t="shared" si="272"/>
        <v>30-45</v>
      </c>
      <c r="N4418" t="str">
        <f t="shared" si="273"/>
        <v>Low</v>
      </c>
      <c r="O4418" t="str">
        <f t="shared" si="274"/>
        <v>High Balance</v>
      </c>
      <c r="P4418" t="str">
        <f t="shared" si="275"/>
        <v>New</v>
      </c>
    </row>
    <row r="4419" spans="1:16" x14ac:dyDescent="0.25">
      <c r="A4419">
        <v>2025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  <c r="M4419" t="str">
        <f t="shared" ref="M4419:M4482" si="276">IF(E4419&lt;30,"&lt;30",IF(E4419&lt;=45,"30-45",IF(E4419&lt;=60,"46-60","60+")))</f>
        <v>&lt;30</v>
      </c>
      <c r="N4419" t="str">
        <f t="shared" ref="N4419:N4482" si="277">IF(B4419&lt;500,"Low",IF(B4419&lt;700,"Medium","High"))</f>
        <v>Medium</v>
      </c>
      <c r="O4419" t="str">
        <f t="shared" ref="O4419:O4482" si="278">IF(G4419=0,"Zero Balance",IF(G4419&lt;100000,"Low Balance","High Balance"))</f>
        <v>High Balance</v>
      </c>
      <c r="P4419" t="str">
        <f t="shared" ref="P4419:P4482" si="279">IF(F4419&lt;=3,"New",IF(F4419&lt;=7,"Mid-term","Long-term"))</f>
        <v>Mid-term</v>
      </c>
    </row>
    <row r="4420" spans="1:16" x14ac:dyDescent="0.25">
      <c r="A4420">
        <v>2025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  <c r="M4420" t="str">
        <f t="shared" si="276"/>
        <v>46-60</v>
      </c>
      <c r="N4420" t="str">
        <f t="shared" si="277"/>
        <v>Medium</v>
      </c>
      <c r="O4420" t="str">
        <f t="shared" si="278"/>
        <v>High Balance</v>
      </c>
      <c r="P4420" t="str">
        <f t="shared" si="279"/>
        <v>Long-term</v>
      </c>
    </row>
    <row r="4421" spans="1:16" x14ac:dyDescent="0.25">
      <c r="A4421">
        <v>2025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  <c r="M4421" t="str">
        <f t="shared" si="276"/>
        <v>30-45</v>
      </c>
      <c r="N4421" t="str">
        <f t="shared" si="277"/>
        <v>Medium</v>
      </c>
      <c r="O4421" t="str">
        <f t="shared" si="278"/>
        <v>High Balance</v>
      </c>
      <c r="P4421" t="str">
        <f t="shared" si="279"/>
        <v>New</v>
      </c>
    </row>
    <row r="4422" spans="1:16" x14ac:dyDescent="0.25">
      <c r="A4422">
        <v>2025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  <c r="M4422" t="str">
        <f t="shared" si="276"/>
        <v>30-45</v>
      </c>
      <c r="N4422" t="str">
        <f t="shared" si="277"/>
        <v>High</v>
      </c>
      <c r="O4422" t="str">
        <f t="shared" si="278"/>
        <v>High Balance</v>
      </c>
      <c r="P4422" t="str">
        <f t="shared" si="279"/>
        <v>Mid-term</v>
      </c>
    </row>
    <row r="4423" spans="1:16" x14ac:dyDescent="0.25">
      <c r="A4423">
        <v>2025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  <c r="M4423" t="str">
        <f t="shared" si="276"/>
        <v>30-45</v>
      </c>
      <c r="N4423" t="str">
        <f t="shared" si="277"/>
        <v>Medium</v>
      </c>
      <c r="O4423" t="str">
        <f t="shared" si="278"/>
        <v>Zero Balance</v>
      </c>
      <c r="P4423" t="str">
        <f t="shared" si="279"/>
        <v>New</v>
      </c>
    </row>
    <row r="4424" spans="1:16" x14ac:dyDescent="0.25">
      <c r="A4424">
        <v>2025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  <c r="M4424" t="str">
        <f t="shared" si="276"/>
        <v>&lt;30</v>
      </c>
      <c r="N4424" t="str">
        <f t="shared" si="277"/>
        <v>Medium</v>
      </c>
      <c r="O4424" t="str">
        <f t="shared" si="278"/>
        <v>Low Balance</v>
      </c>
      <c r="P4424" t="str">
        <f t="shared" si="279"/>
        <v>Long-term</v>
      </c>
    </row>
    <row r="4425" spans="1:16" x14ac:dyDescent="0.25">
      <c r="A4425">
        <v>2025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  <c r="M4425" t="str">
        <f t="shared" si="276"/>
        <v>30-45</v>
      </c>
      <c r="N4425" t="str">
        <f t="shared" si="277"/>
        <v>High</v>
      </c>
      <c r="O4425" t="str">
        <f t="shared" si="278"/>
        <v>Zero Balance</v>
      </c>
      <c r="P4425" t="str">
        <f t="shared" si="279"/>
        <v>New</v>
      </c>
    </row>
    <row r="4426" spans="1:16" x14ac:dyDescent="0.25">
      <c r="A4426">
        <v>2025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  <c r="M4426" t="str">
        <f t="shared" si="276"/>
        <v>46-60</v>
      </c>
      <c r="N4426" t="str">
        <f t="shared" si="277"/>
        <v>Medium</v>
      </c>
      <c r="O4426" t="str">
        <f t="shared" si="278"/>
        <v>High Balance</v>
      </c>
      <c r="P4426" t="str">
        <f t="shared" si="279"/>
        <v>New</v>
      </c>
    </row>
    <row r="4427" spans="1:16" x14ac:dyDescent="0.25">
      <c r="A4427">
        <v>2025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  <c r="M4427" t="str">
        <f t="shared" si="276"/>
        <v>&lt;30</v>
      </c>
      <c r="N4427" t="str">
        <f t="shared" si="277"/>
        <v>High</v>
      </c>
      <c r="O4427" t="str">
        <f t="shared" si="278"/>
        <v>Low Balance</v>
      </c>
      <c r="P4427" t="str">
        <f t="shared" si="279"/>
        <v>New</v>
      </c>
    </row>
    <row r="4428" spans="1:16" x14ac:dyDescent="0.25">
      <c r="A4428">
        <v>2025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  <c r="M4428" t="str">
        <f t="shared" si="276"/>
        <v>30-45</v>
      </c>
      <c r="N4428" t="str">
        <f t="shared" si="277"/>
        <v>High</v>
      </c>
      <c r="O4428" t="str">
        <f t="shared" si="278"/>
        <v>Zero Balance</v>
      </c>
      <c r="P4428" t="str">
        <f t="shared" si="279"/>
        <v>Mid-term</v>
      </c>
    </row>
    <row r="4429" spans="1:16" x14ac:dyDescent="0.25">
      <c r="A4429">
        <v>2025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  <c r="M4429" t="str">
        <f t="shared" si="276"/>
        <v>&lt;30</v>
      </c>
      <c r="N4429" t="str">
        <f t="shared" si="277"/>
        <v>High</v>
      </c>
      <c r="O4429" t="str">
        <f t="shared" si="278"/>
        <v>High Balance</v>
      </c>
      <c r="P4429" t="str">
        <f t="shared" si="279"/>
        <v>Mid-term</v>
      </c>
    </row>
    <row r="4430" spans="1:16" x14ac:dyDescent="0.25">
      <c r="A4430">
        <v>2025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  <c r="M4430" t="str">
        <f t="shared" si="276"/>
        <v>30-45</v>
      </c>
      <c r="N4430" t="str">
        <f t="shared" si="277"/>
        <v>Medium</v>
      </c>
      <c r="O4430" t="str">
        <f t="shared" si="278"/>
        <v>Zero Balance</v>
      </c>
      <c r="P4430" t="str">
        <f t="shared" si="279"/>
        <v>Mid-term</v>
      </c>
    </row>
    <row r="4431" spans="1:16" x14ac:dyDescent="0.25">
      <c r="A4431">
        <v>2025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  <c r="M4431" t="str">
        <f t="shared" si="276"/>
        <v>30-45</v>
      </c>
      <c r="N4431" t="str">
        <f t="shared" si="277"/>
        <v>Medium</v>
      </c>
      <c r="O4431" t="str">
        <f t="shared" si="278"/>
        <v>High Balance</v>
      </c>
      <c r="P4431" t="str">
        <f t="shared" si="279"/>
        <v>Mid-term</v>
      </c>
    </row>
    <row r="4432" spans="1:16" x14ac:dyDescent="0.25">
      <c r="A4432">
        <v>2025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  <c r="M4432" t="str">
        <f t="shared" si="276"/>
        <v>46-60</v>
      </c>
      <c r="N4432" t="str">
        <f t="shared" si="277"/>
        <v>Medium</v>
      </c>
      <c r="O4432" t="str">
        <f t="shared" si="278"/>
        <v>Zero Balance</v>
      </c>
      <c r="P4432" t="str">
        <f t="shared" si="279"/>
        <v>Mid-term</v>
      </c>
    </row>
    <row r="4433" spans="1:16" x14ac:dyDescent="0.25">
      <c r="A4433">
        <v>2025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  <c r="M4433" t="str">
        <f t="shared" si="276"/>
        <v>30-45</v>
      </c>
      <c r="N4433" t="str">
        <f t="shared" si="277"/>
        <v>Medium</v>
      </c>
      <c r="O4433" t="str">
        <f t="shared" si="278"/>
        <v>High Balance</v>
      </c>
      <c r="P4433" t="str">
        <f t="shared" si="279"/>
        <v>Mid-term</v>
      </c>
    </row>
    <row r="4434" spans="1:16" x14ac:dyDescent="0.25">
      <c r="A4434">
        <v>2025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  <c r="M4434" t="str">
        <f t="shared" si="276"/>
        <v>30-45</v>
      </c>
      <c r="N4434" t="str">
        <f t="shared" si="277"/>
        <v>Medium</v>
      </c>
      <c r="O4434" t="str">
        <f t="shared" si="278"/>
        <v>Zero Balance</v>
      </c>
      <c r="P4434" t="str">
        <f t="shared" si="279"/>
        <v>Mid-term</v>
      </c>
    </row>
    <row r="4435" spans="1:16" x14ac:dyDescent="0.25">
      <c r="A4435">
        <v>2025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  <c r="M4435" t="str">
        <f t="shared" si="276"/>
        <v>&lt;30</v>
      </c>
      <c r="N4435" t="str">
        <f t="shared" si="277"/>
        <v>Medium</v>
      </c>
      <c r="O4435" t="str">
        <f t="shared" si="278"/>
        <v>High Balance</v>
      </c>
      <c r="P4435" t="str">
        <f t="shared" si="279"/>
        <v>Mid-term</v>
      </c>
    </row>
    <row r="4436" spans="1:16" x14ac:dyDescent="0.25">
      <c r="A4436">
        <v>2025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  <c r="M4436" t="str">
        <f t="shared" si="276"/>
        <v>46-60</v>
      </c>
      <c r="N4436" t="str">
        <f t="shared" si="277"/>
        <v>Medium</v>
      </c>
      <c r="O4436" t="str">
        <f t="shared" si="278"/>
        <v>Zero Balance</v>
      </c>
      <c r="P4436" t="str">
        <f t="shared" si="279"/>
        <v>New</v>
      </c>
    </row>
    <row r="4437" spans="1:16" x14ac:dyDescent="0.25">
      <c r="A4437">
        <v>2025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  <c r="M4437" t="str">
        <f t="shared" si="276"/>
        <v>60+</v>
      </c>
      <c r="N4437" t="str">
        <f t="shared" si="277"/>
        <v>Medium</v>
      </c>
      <c r="O4437" t="str">
        <f t="shared" si="278"/>
        <v>High Balance</v>
      </c>
      <c r="P4437" t="str">
        <f t="shared" si="279"/>
        <v>New</v>
      </c>
    </row>
    <row r="4438" spans="1:16" x14ac:dyDescent="0.25">
      <c r="A4438">
        <v>2025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  <c r="M4438" t="str">
        <f t="shared" si="276"/>
        <v>&lt;30</v>
      </c>
      <c r="N4438" t="str">
        <f t="shared" si="277"/>
        <v>Medium</v>
      </c>
      <c r="O4438" t="str">
        <f t="shared" si="278"/>
        <v>High Balance</v>
      </c>
      <c r="P4438" t="str">
        <f t="shared" si="279"/>
        <v>Mid-term</v>
      </c>
    </row>
    <row r="4439" spans="1:16" x14ac:dyDescent="0.25">
      <c r="A4439">
        <v>2025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  <c r="M4439" t="str">
        <f t="shared" si="276"/>
        <v>&lt;30</v>
      </c>
      <c r="N4439" t="str">
        <f t="shared" si="277"/>
        <v>High</v>
      </c>
      <c r="O4439" t="str">
        <f t="shared" si="278"/>
        <v>Zero Balance</v>
      </c>
      <c r="P4439" t="str">
        <f t="shared" si="279"/>
        <v>New</v>
      </c>
    </row>
    <row r="4440" spans="1:16" x14ac:dyDescent="0.25">
      <c r="A4440">
        <v>2025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  <c r="M4440" t="str">
        <f t="shared" si="276"/>
        <v>60+</v>
      </c>
      <c r="N4440" t="str">
        <f t="shared" si="277"/>
        <v>Medium</v>
      </c>
      <c r="O4440" t="str">
        <f t="shared" si="278"/>
        <v>High Balance</v>
      </c>
      <c r="P4440" t="str">
        <f t="shared" si="279"/>
        <v>New</v>
      </c>
    </row>
    <row r="4441" spans="1:16" x14ac:dyDescent="0.25">
      <c r="A4441">
        <v>2025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  <c r="M4441" t="str">
        <f t="shared" si="276"/>
        <v>&lt;30</v>
      </c>
      <c r="N4441" t="str">
        <f t="shared" si="277"/>
        <v>Medium</v>
      </c>
      <c r="O4441" t="str">
        <f t="shared" si="278"/>
        <v>High Balance</v>
      </c>
      <c r="P4441" t="str">
        <f t="shared" si="279"/>
        <v>Mid-term</v>
      </c>
    </row>
    <row r="4442" spans="1:16" x14ac:dyDescent="0.25">
      <c r="A4442">
        <v>2025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  <c r="M4442" t="str">
        <f t="shared" si="276"/>
        <v>30-45</v>
      </c>
      <c r="N4442" t="str">
        <f t="shared" si="277"/>
        <v>High</v>
      </c>
      <c r="O4442" t="str">
        <f t="shared" si="278"/>
        <v>High Balance</v>
      </c>
      <c r="P4442" t="str">
        <f t="shared" si="279"/>
        <v>Long-term</v>
      </c>
    </row>
    <row r="4443" spans="1:16" x14ac:dyDescent="0.25">
      <c r="A4443">
        <v>2025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  <c r="M4443" t="str">
        <f t="shared" si="276"/>
        <v>30-45</v>
      </c>
      <c r="N4443" t="str">
        <f t="shared" si="277"/>
        <v>Medium</v>
      </c>
      <c r="O4443" t="str">
        <f t="shared" si="278"/>
        <v>Zero Balance</v>
      </c>
      <c r="P4443" t="str">
        <f t="shared" si="279"/>
        <v>New</v>
      </c>
    </row>
    <row r="4444" spans="1:16" x14ac:dyDescent="0.25">
      <c r="A4444">
        <v>2025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  <c r="M4444" t="str">
        <f t="shared" si="276"/>
        <v>30-45</v>
      </c>
      <c r="N4444" t="str">
        <f t="shared" si="277"/>
        <v>Medium</v>
      </c>
      <c r="O4444" t="str">
        <f t="shared" si="278"/>
        <v>Zero Balance</v>
      </c>
      <c r="P4444" t="str">
        <f t="shared" si="279"/>
        <v>New</v>
      </c>
    </row>
    <row r="4445" spans="1:16" x14ac:dyDescent="0.25">
      <c r="A4445">
        <v>2025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  <c r="M4445" t="str">
        <f t="shared" si="276"/>
        <v>30-45</v>
      </c>
      <c r="N4445" t="str">
        <f t="shared" si="277"/>
        <v>Medium</v>
      </c>
      <c r="O4445" t="str">
        <f t="shared" si="278"/>
        <v>High Balance</v>
      </c>
      <c r="P4445" t="str">
        <f t="shared" si="279"/>
        <v>New</v>
      </c>
    </row>
    <row r="4446" spans="1:16" x14ac:dyDescent="0.25">
      <c r="A4446">
        <v>2025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  <c r="M4446" t="str">
        <f t="shared" si="276"/>
        <v>30-45</v>
      </c>
      <c r="N4446" t="str">
        <f t="shared" si="277"/>
        <v>Low</v>
      </c>
      <c r="O4446" t="str">
        <f t="shared" si="278"/>
        <v>High Balance</v>
      </c>
      <c r="P4446" t="str">
        <f t="shared" si="279"/>
        <v>Mid-term</v>
      </c>
    </row>
    <row r="4447" spans="1:16" x14ac:dyDescent="0.25">
      <c r="A4447">
        <v>2025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  <c r="M4447" t="str">
        <f t="shared" si="276"/>
        <v>&lt;30</v>
      </c>
      <c r="N4447" t="str">
        <f t="shared" si="277"/>
        <v>High</v>
      </c>
      <c r="O4447" t="str">
        <f t="shared" si="278"/>
        <v>Zero Balance</v>
      </c>
      <c r="P4447" t="str">
        <f t="shared" si="279"/>
        <v>New</v>
      </c>
    </row>
    <row r="4448" spans="1:16" x14ac:dyDescent="0.25">
      <c r="A4448">
        <v>2025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  <c r="M4448" t="str">
        <f t="shared" si="276"/>
        <v>30-45</v>
      </c>
      <c r="N4448" t="str">
        <f t="shared" si="277"/>
        <v>High</v>
      </c>
      <c r="O4448" t="str">
        <f t="shared" si="278"/>
        <v>Zero Balance</v>
      </c>
      <c r="P4448" t="str">
        <f t="shared" si="279"/>
        <v>New</v>
      </c>
    </row>
    <row r="4449" spans="1:16" x14ac:dyDescent="0.25">
      <c r="A4449">
        <v>2025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  <c r="M4449" t="str">
        <f t="shared" si="276"/>
        <v>46-60</v>
      </c>
      <c r="N4449" t="str">
        <f t="shared" si="277"/>
        <v>Medium</v>
      </c>
      <c r="O4449" t="str">
        <f t="shared" si="278"/>
        <v>High Balance</v>
      </c>
      <c r="P4449" t="str">
        <f t="shared" si="279"/>
        <v>Mid-term</v>
      </c>
    </row>
    <row r="4450" spans="1:16" x14ac:dyDescent="0.25">
      <c r="A4450">
        <v>2025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  <c r="M4450" t="str">
        <f t="shared" si="276"/>
        <v>30-45</v>
      </c>
      <c r="N4450" t="str">
        <f t="shared" si="277"/>
        <v>Medium</v>
      </c>
      <c r="O4450" t="str">
        <f t="shared" si="278"/>
        <v>Low Balance</v>
      </c>
      <c r="P4450" t="str">
        <f t="shared" si="279"/>
        <v>New</v>
      </c>
    </row>
    <row r="4451" spans="1:16" x14ac:dyDescent="0.25">
      <c r="A4451">
        <v>2025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  <c r="M4451" t="str">
        <f t="shared" si="276"/>
        <v>30-45</v>
      </c>
      <c r="N4451" t="str">
        <f t="shared" si="277"/>
        <v>Medium</v>
      </c>
      <c r="O4451" t="str">
        <f t="shared" si="278"/>
        <v>Zero Balance</v>
      </c>
      <c r="P4451" t="str">
        <f t="shared" si="279"/>
        <v>New</v>
      </c>
    </row>
    <row r="4452" spans="1:16" x14ac:dyDescent="0.25">
      <c r="A4452">
        <v>2025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  <c r="M4452" t="str">
        <f t="shared" si="276"/>
        <v>46-60</v>
      </c>
      <c r="N4452" t="str">
        <f t="shared" si="277"/>
        <v>Medium</v>
      </c>
      <c r="O4452" t="str">
        <f t="shared" si="278"/>
        <v>High Balance</v>
      </c>
      <c r="P4452" t="str">
        <f t="shared" si="279"/>
        <v>New</v>
      </c>
    </row>
    <row r="4453" spans="1:16" x14ac:dyDescent="0.25">
      <c r="A4453">
        <v>2025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  <c r="M4453" t="str">
        <f t="shared" si="276"/>
        <v>30-45</v>
      </c>
      <c r="N4453" t="str">
        <f t="shared" si="277"/>
        <v>Medium</v>
      </c>
      <c r="O4453" t="str">
        <f t="shared" si="278"/>
        <v>High Balance</v>
      </c>
      <c r="P4453" t="str">
        <f t="shared" si="279"/>
        <v>Mid-term</v>
      </c>
    </row>
    <row r="4454" spans="1:16" x14ac:dyDescent="0.25">
      <c r="A4454">
        <v>2025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  <c r="M4454" t="str">
        <f t="shared" si="276"/>
        <v>46-60</v>
      </c>
      <c r="N4454" t="str">
        <f t="shared" si="277"/>
        <v>High</v>
      </c>
      <c r="O4454" t="str">
        <f t="shared" si="278"/>
        <v>Low Balance</v>
      </c>
      <c r="P4454" t="str">
        <f t="shared" si="279"/>
        <v>Long-term</v>
      </c>
    </row>
    <row r="4455" spans="1:16" x14ac:dyDescent="0.25">
      <c r="A4455">
        <v>2025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  <c r="M4455" t="str">
        <f t="shared" si="276"/>
        <v>30-45</v>
      </c>
      <c r="N4455" t="str">
        <f t="shared" si="277"/>
        <v>High</v>
      </c>
      <c r="O4455" t="str">
        <f t="shared" si="278"/>
        <v>High Balance</v>
      </c>
      <c r="P4455" t="str">
        <f t="shared" si="279"/>
        <v>Long-term</v>
      </c>
    </row>
    <row r="4456" spans="1:16" x14ac:dyDescent="0.25">
      <c r="A4456">
        <v>2025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  <c r="M4456" t="str">
        <f t="shared" si="276"/>
        <v>30-45</v>
      </c>
      <c r="N4456" t="str">
        <f t="shared" si="277"/>
        <v>Medium</v>
      </c>
      <c r="O4456" t="str">
        <f t="shared" si="278"/>
        <v>Zero Balance</v>
      </c>
      <c r="P4456" t="str">
        <f t="shared" si="279"/>
        <v>Mid-term</v>
      </c>
    </row>
    <row r="4457" spans="1:16" x14ac:dyDescent="0.25">
      <c r="A4457">
        <v>2025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  <c r="M4457" t="str">
        <f t="shared" si="276"/>
        <v>30-45</v>
      </c>
      <c r="N4457" t="str">
        <f t="shared" si="277"/>
        <v>Medium</v>
      </c>
      <c r="O4457" t="str">
        <f t="shared" si="278"/>
        <v>Zero Balance</v>
      </c>
      <c r="P4457" t="str">
        <f t="shared" si="279"/>
        <v>Long-term</v>
      </c>
    </row>
    <row r="4458" spans="1:16" x14ac:dyDescent="0.25">
      <c r="A4458">
        <v>2025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  <c r="M4458" t="str">
        <f t="shared" si="276"/>
        <v>30-45</v>
      </c>
      <c r="N4458" t="str">
        <f t="shared" si="277"/>
        <v>Medium</v>
      </c>
      <c r="O4458" t="str">
        <f t="shared" si="278"/>
        <v>Zero Balance</v>
      </c>
      <c r="P4458" t="str">
        <f t="shared" si="279"/>
        <v>Long-term</v>
      </c>
    </row>
    <row r="4459" spans="1:16" x14ac:dyDescent="0.25">
      <c r="A4459">
        <v>2025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  <c r="M4459" t="str">
        <f t="shared" si="276"/>
        <v>46-60</v>
      </c>
      <c r="N4459" t="str">
        <f t="shared" si="277"/>
        <v>High</v>
      </c>
      <c r="O4459" t="str">
        <f t="shared" si="278"/>
        <v>Low Balance</v>
      </c>
      <c r="P4459" t="str">
        <f t="shared" si="279"/>
        <v>New</v>
      </c>
    </row>
    <row r="4460" spans="1:16" x14ac:dyDescent="0.25">
      <c r="A4460">
        <v>2025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  <c r="M4460" t="str">
        <f t="shared" si="276"/>
        <v>30-45</v>
      </c>
      <c r="N4460" t="str">
        <f t="shared" si="277"/>
        <v>Medium</v>
      </c>
      <c r="O4460" t="str">
        <f t="shared" si="278"/>
        <v>Zero Balance</v>
      </c>
      <c r="P4460" t="str">
        <f t="shared" si="279"/>
        <v>New</v>
      </c>
    </row>
    <row r="4461" spans="1:16" x14ac:dyDescent="0.25">
      <c r="A4461">
        <v>2025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  <c r="M4461" t="str">
        <f t="shared" si="276"/>
        <v>&lt;30</v>
      </c>
      <c r="N4461" t="str">
        <f t="shared" si="277"/>
        <v>Medium</v>
      </c>
      <c r="O4461" t="str">
        <f t="shared" si="278"/>
        <v>High Balance</v>
      </c>
      <c r="P4461" t="str">
        <f t="shared" si="279"/>
        <v>Long-term</v>
      </c>
    </row>
    <row r="4462" spans="1:16" x14ac:dyDescent="0.25">
      <c r="A4462">
        <v>2025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  <c r="M4462" t="str">
        <f t="shared" si="276"/>
        <v>30-45</v>
      </c>
      <c r="N4462" t="str">
        <f t="shared" si="277"/>
        <v>Medium</v>
      </c>
      <c r="O4462" t="str">
        <f t="shared" si="278"/>
        <v>Zero Balance</v>
      </c>
      <c r="P4462" t="str">
        <f t="shared" si="279"/>
        <v>Mid-term</v>
      </c>
    </row>
    <row r="4463" spans="1:16" x14ac:dyDescent="0.25">
      <c r="A4463">
        <v>2025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  <c r="M4463" t="str">
        <f t="shared" si="276"/>
        <v>&lt;30</v>
      </c>
      <c r="N4463" t="str">
        <f t="shared" si="277"/>
        <v>High</v>
      </c>
      <c r="O4463" t="str">
        <f t="shared" si="278"/>
        <v>Zero Balance</v>
      </c>
      <c r="P4463" t="str">
        <f t="shared" si="279"/>
        <v>New</v>
      </c>
    </row>
    <row r="4464" spans="1:16" x14ac:dyDescent="0.25">
      <c r="A4464">
        <v>2025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  <c r="M4464" t="str">
        <f t="shared" si="276"/>
        <v>30-45</v>
      </c>
      <c r="N4464" t="str">
        <f t="shared" si="277"/>
        <v>Medium</v>
      </c>
      <c r="O4464" t="str">
        <f t="shared" si="278"/>
        <v>Zero Balance</v>
      </c>
      <c r="P4464" t="str">
        <f t="shared" si="279"/>
        <v>Long-term</v>
      </c>
    </row>
    <row r="4465" spans="1:16" x14ac:dyDescent="0.25">
      <c r="A4465">
        <v>2025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  <c r="M4465" t="str">
        <f t="shared" si="276"/>
        <v>60+</v>
      </c>
      <c r="N4465" t="str">
        <f t="shared" si="277"/>
        <v>High</v>
      </c>
      <c r="O4465" t="str">
        <f t="shared" si="278"/>
        <v>Low Balance</v>
      </c>
      <c r="P4465" t="str">
        <f t="shared" si="279"/>
        <v>New</v>
      </c>
    </row>
    <row r="4466" spans="1:16" x14ac:dyDescent="0.25">
      <c r="A4466">
        <v>2025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  <c r="M4466" t="str">
        <f t="shared" si="276"/>
        <v>30-45</v>
      </c>
      <c r="N4466" t="str">
        <f t="shared" si="277"/>
        <v>Medium</v>
      </c>
      <c r="O4466" t="str">
        <f t="shared" si="278"/>
        <v>Zero Balance</v>
      </c>
      <c r="P4466" t="str">
        <f t="shared" si="279"/>
        <v>Mid-term</v>
      </c>
    </row>
    <row r="4467" spans="1:16" x14ac:dyDescent="0.25">
      <c r="A4467">
        <v>2025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  <c r="M4467" t="str">
        <f t="shared" si="276"/>
        <v>30-45</v>
      </c>
      <c r="N4467" t="str">
        <f t="shared" si="277"/>
        <v>Medium</v>
      </c>
      <c r="O4467" t="str">
        <f t="shared" si="278"/>
        <v>High Balance</v>
      </c>
      <c r="P4467" t="str">
        <f t="shared" si="279"/>
        <v>New</v>
      </c>
    </row>
    <row r="4468" spans="1:16" x14ac:dyDescent="0.25">
      <c r="A4468">
        <v>2025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  <c r="M4468" t="str">
        <f t="shared" si="276"/>
        <v>30-45</v>
      </c>
      <c r="N4468" t="str">
        <f t="shared" si="277"/>
        <v>Low</v>
      </c>
      <c r="O4468" t="str">
        <f t="shared" si="278"/>
        <v>Zero Balance</v>
      </c>
      <c r="P4468" t="str">
        <f t="shared" si="279"/>
        <v>New</v>
      </c>
    </row>
    <row r="4469" spans="1:16" x14ac:dyDescent="0.25">
      <c r="A4469">
        <v>2025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  <c r="M4469" t="str">
        <f t="shared" si="276"/>
        <v>30-45</v>
      </c>
      <c r="N4469" t="str">
        <f t="shared" si="277"/>
        <v>Medium</v>
      </c>
      <c r="O4469" t="str">
        <f t="shared" si="278"/>
        <v>Zero Balance</v>
      </c>
      <c r="P4469" t="str">
        <f t="shared" si="279"/>
        <v>New</v>
      </c>
    </row>
    <row r="4470" spans="1:16" x14ac:dyDescent="0.25">
      <c r="A4470">
        <v>2025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  <c r="M4470" t="str">
        <f t="shared" si="276"/>
        <v>30-45</v>
      </c>
      <c r="N4470" t="str">
        <f t="shared" si="277"/>
        <v>Low</v>
      </c>
      <c r="O4470" t="str">
        <f t="shared" si="278"/>
        <v>High Balance</v>
      </c>
      <c r="P4470" t="str">
        <f t="shared" si="279"/>
        <v>New</v>
      </c>
    </row>
    <row r="4471" spans="1:16" x14ac:dyDescent="0.25">
      <c r="A4471">
        <v>2025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  <c r="M4471" t="str">
        <f t="shared" si="276"/>
        <v>30-45</v>
      </c>
      <c r="N4471" t="str">
        <f t="shared" si="277"/>
        <v>Medium</v>
      </c>
      <c r="O4471" t="str">
        <f t="shared" si="278"/>
        <v>Low Balance</v>
      </c>
      <c r="P4471" t="str">
        <f t="shared" si="279"/>
        <v>Mid-term</v>
      </c>
    </row>
    <row r="4472" spans="1:16" x14ac:dyDescent="0.25">
      <c r="A4472">
        <v>2025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  <c r="M4472" t="str">
        <f t="shared" si="276"/>
        <v>46-60</v>
      </c>
      <c r="N4472" t="str">
        <f t="shared" si="277"/>
        <v>Medium</v>
      </c>
      <c r="O4472" t="str">
        <f t="shared" si="278"/>
        <v>High Balance</v>
      </c>
      <c r="P4472" t="str">
        <f t="shared" si="279"/>
        <v>New</v>
      </c>
    </row>
    <row r="4473" spans="1:16" x14ac:dyDescent="0.25">
      <c r="A4473">
        <v>2025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  <c r="M4473" t="str">
        <f t="shared" si="276"/>
        <v>46-60</v>
      </c>
      <c r="N4473" t="str">
        <f t="shared" si="277"/>
        <v>High</v>
      </c>
      <c r="O4473" t="str">
        <f t="shared" si="278"/>
        <v>High Balance</v>
      </c>
      <c r="P4473" t="str">
        <f t="shared" si="279"/>
        <v>Long-term</v>
      </c>
    </row>
    <row r="4474" spans="1:16" x14ac:dyDescent="0.25">
      <c r="A4474">
        <v>2025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  <c r="M4474" t="str">
        <f t="shared" si="276"/>
        <v>&lt;30</v>
      </c>
      <c r="N4474" t="str">
        <f t="shared" si="277"/>
        <v>Medium</v>
      </c>
      <c r="O4474" t="str">
        <f t="shared" si="278"/>
        <v>High Balance</v>
      </c>
      <c r="P4474" t="str">
        <f t="shared" si="279"/>
        <v>Mid-term</v>
      </c>
    </row>
    <row r="4475" spans="1:16" x14ac:dyDescent="0.25">
      <c r="A4475">
        <v>2025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  <c r="M4475" t="str">
        <f t="shared" si="276"/>
        <v>&lt;30</v>
      </c>
      <c r="N4475" t="str">
        <f t="shared" si="277"/>
        <v>Medium</v>
      </c>
      <c r="O4475" t="str">
        <f t="shared" si="278"/>
        <v>High Balance</v>
      </c>
      <c r="P4475" t="str">
        <f t="shared" si="279"/>
        <v>Mid-term</v>
      </c>
    </row>
    <row r="4476" spans="1:16" x14ac:dyDescent="0.25">
      <c r="A4476">
        <v>2025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  <c r="M4476" t="str">
        <f t="shared" si="276"/>
        <v>30-45</v>
      </c>
      <c r="N4476" t="str">
        <f t="shared" si="277"/>
        <v>High</v>
      </c>
      <c r="O4476" t="str">
        <f t="shared" si="278"/>
        <v>Zero Balance</v>
      </c>
      <c r="P4476" t="str">
        <f t="shared" si="279"/>
        <v>New</v>
      </c>
    </row>
    <row r="4477" spans="1:16" x14ac:dyDescent="0.25">
      <c r="A4477">
        <v>2025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  <c r="M4477" t="str">
        <f t="shared" si="276"/>
        <v>30-45</v>
      </c>
      <c r="N4477" t="str">
        <f t="shared" si="277"/>
        <v>Medium</v>
      </c>
      <c r="O4477" t="str">
        <f t="shared" si="278"/>
        <v>High Balance</v>
      </c>
      <c r="P4477" t="str">
        <f t="shared" si="279"/>
        <v>Long-term</v>
      </c>
    </row>
    <row r="4478" spans="1:16" x14ac:dyDescent="0.25">
      <c r="A4478">
        <v>2025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  <c r="M4478" t="str">
        <f t="shared" si="276"/>
        <v>30-45</v>
      </c>
      <c r="N4478" t="str">
        <f t="shared" si="277"/>
        <v>High</v>
      </c>
      <c r="O4478" t="str">
        <f t="shared" si="278"/>
        <v>Zero Balance</v>
      </c>
      <c r="P4478" t="str">
        <f t="shared" si="279"/>
        <v>New</v>
      </c>
    </row>
    <row r="4479" spans="1:16" x14ac:dyDescent="0.25">
      <c r="A4479">
        <v>2025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  <c r="M4479" t="str">
        <f t="shared" si="276"/>
        <v>46-60</v>
      </c>
      <c r="N4479" t="str">
        <f t="shared" si="277"/>
        <v>Medium</v>
      </c>
      <c r="O4479" t="str">
        <f t="shared" si="278"/>
        <v>High Balance</v>
      </c>
      <c r="P4479" t="str">
        <f t="shared" si="279"/>
        <v>Long-term</v>
      </c>
    </row>
    <row r="4480" spans="1:16" x14ac:dyDescent="0.25">
      <c r="A4480">
        <v>2025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  <c r="M4480" t="str">
        <f t="shared" si="276"/>
        <v>30-45</v>
      </c>
      <c r="N4480" t="str">
        <f t="shared" si="277"/>
        <v>Medium</v>
      </c>
      <c r="O4480" t="str">
        <f t="shared" si="278"/>
        <v>Zero Balance</v>
      </c>
      <c r="P4480" t="str">
        <f t="shared" si="279"/>
        <v>Mid-term</v>
      </c>
    </row>
    <row r="4481" spans="1:16" x14ac:dyDescent="0.25">
      <c r="A4481">
        <v>2025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  <c r="M4481" t="str">
        <f t="shared" si="276"/>
        <v>46-60</v>
      </c>
      <c r="N4481" t="str">
        <f t="shared" si="277"/>
        <v>Medium</v>
      </c>
      <c r="O4481" t="str">
        <f t="shared" si="278"/>
        <v>Zero Balance</v>
      </c>
      <c r="P4481" t="str">
        <f t="shared" si="279"/>
        <v>New</v>
      </c>
    </row>
    <row r="4482" spans="1:16" x14ac:dyDescent="0.25">
      <c r="A4482">
        <v>2025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  <c r="M4482" t="str">
        <f t="shared" si="276"/>
        <v>30-45</v>
      </c>
      <c r="N4482" t="str">
        <f t="shared" si="277"/>
        <v>Medium</v>
      </c>
      <c r="O4482" t="str">
        <f t="shared" si="278"/>
        <v>Zero Balance</v>
      </c>
      <c r="P4482" t="str">
        <f t="shared" si="279"/>
        <v>New</v>
      </c>
    </row>
    <row r="4483" spans="1:16" x14ac:dyDescent="0.25">
      <c r="A4483">
        <v>2025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  <c r="M4483" t="str">
        <f t="shared" ref="M4483:M4546" si="280">IF(E4483&lt;30,"&lt;30",IF(E4483&lt;=45,"30-45",IF(E4483&lt;=60,"46-60","60+")))</f>
        <v>30-45</v>
      </c>
      <c r="N4483" t="str">
        <f t="shared" ref="N4483:N4546" si="281">IF(B4483&lt;500,"Low",IF(B4483&lt;700,"Medium","High"))</f>
        <v>Low</v>
      </c>
      <c r="O4483" t="str">
        <f t="shared" ref="O4483:O4546" si="282">IF(G4483=0,"Zero Balance",IF(G4483&lt;100000,"Low Balance","High Balance"))</f>
        <v>Low Balance</v>
      </c>
      <c r="P4483" t="str">
        <f t="shared" ref="P4483:P4546" si="283">IF(F4483&lt;=3,"New",IF(F4483&lt;=7,"Mid-term","Long-term"))</f>
        <v>New</v>
      </c>
    </row>
    <row r="4484" spans="1:16" x14ac:dyDescent="0.25">
      <c r="A4484">
        <v>2025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  <c r="M4484" t="str">
        <f t="shared" si="280"/>
        <v>30-45</v>
      </c>
      <c r="N4484" t="str">
        <f t="shared" si="281"/>
        <v>Medium</v>
      </c>
      <c r="O4484" t="str">
        <f t="shared" si="282"/>
        <v>Zero Balance</v>
      </c>
      <c r="P4484" t="str">
        <f t="shared" si="283"/>
        <v>New</v>
      </c>
    </row>
    <row r="4485" spans="1:16" x14ac:dyDescent="0.25">
      <c r="A4485">
        <v>2025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  <c r="M4485" t="str">
        <f t="shared" si="280"/>
        <v>30-45</v>
      </c>
      <c r="N4485" t="str">
        <f t="shared" si="281"/>
        <v>Medium</v>
      </c>
      <c r="O4485" t="str">
        <f t="shared" si="282"/>
        <v>High Balance</v>
      </c>
      <c r="P4485" t="str">
        <f t="shared" si="283"/>
        <v>Long-term</v>
      </c>
    </row>
    <row r="4486" spans="1:16" x14ac:dyDescent="0.25">
      <c r="A4486">
        <v>2025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  <c r="M4486" t="str">
        <f t="shared" si="280"/>
        <v>30-45</v>
      </c>
      <c r="N4486" t="str">
        <f t="shared" si="281"/>
        <v>Medium</v>
      </c>
      <c r="O4486" t="str">
        <f t="shared" si="282"/>
        <v>Zero Balance</v>
      </c>
      <c r="P4486" t="str">
        <f t="shared" si="283"/>
        <v>New</v>
      </c>
    </row>
    <row r="4487" spans="1:16" x14ac:dyDescent="0.25">
      <c r="A4487">
        <v>2025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  <c r="M4487" t="str">
        <f t="shared" si="280"/>
        <v>30-45</v>
      </c>
      <c r="N4487" t="str">
        <f t="shared" si="281"/>
        <v>High</v>
      </c>
      <c r="O4487" t="str">
        <f t="shared" si="282"/>
        <v>High Balance</v>
      </c>
      <c r="P4487" t="str">
        <f t="shared" si="283"/>
        <v>Long-term</v>
      </c>
    </row>
    <row r="4488" spans="1:16" x14ac:dyDescent="0.25">
      <c r="A4488">
        <v>2025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  <c r="M4488" t="str">
        <f t="shared" si="280"/>
        <v>30-45</v>
      </c>
      <c r="N4488" t="str">
        <f t="shared" si="281"/>
        <v>Medium</v>
      </c>
      <c r="O4488" t="str">
        <f t="shared" si="282"/>
        <v>High Balance</v>
      </c>
      <c r="P4488" t="str">
        <f t="shared" si="283"/>
        <v>New</v>
      </c>
    </row>
    <row r="4489" spans="1:16" x14ac:dyDescent="0.25">
      <c r="A4489">
        <v>2025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  <c r="M4489" t="str">
        <f t="shared" si="280"/>
        <v>30-45</v>
      </c>
      <c r="N4489" t="str">
        <f t="shared" si="281"/>
        <v>Medium</v>
      </c>
      <c r="O4489" t="str">
        <f t="shared" si="282"/>
        <v>High Balance</v>
      </c>
      <c r="P4489" t="str">
        <f t="shared" si="283"/>
        <v>New</v>
      </c>
    </row>
    <row r="4490" spans="1:16" x14ac:dyDescent="0.25">
      <c r="A4490">
        <v>2025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  <c r="M4490" t="str">
        <f t="shared" si="280"/>
        <v>30-45</v>
      </c>
      <c r="N4490" t="str">
        <f t="shared" si="281"/>
        <v>High</v>
      </c>
      <c r="O4490" t="str">
        <f t="shared" si="282"/>
        <v>High Balance</v>
      </c>
      <c r="P4490" t="str">
        <f t="shared" si="283"/>
        <v>Mid-term</v>
      </c>
    </row>
    <row r="4491" spans="1:16" x14ac:dyDescent="0.25">
      <c r="A4491">
        <v>2025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  <c r="M4491" t="str">
        <f t="shared" si="280"/>
        <v>30-45</v>
      </c>
      <c r="N4491" t="str">
        <f t="shared" si="281"/>
        <v>Medium</v>
      </c>
      <c r="O4491" t="str">
        <f t="shared" si="282"/>
        <v>Zero Balance</v>
      </c>
      <c r="P4491" t="str">
        <f t="shared" si="283"/>
        <v>Long-term</v>
      </c>
    </row>
    <row r="4492" spans="1:16" x14ac:dyDescent="0.25">
      <c r="A4492">
        <v>2025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  <c r="M4492" t="str">
        <f t="shared" si="280"/>
        <v>60+</v>
      </c>
      <c r="N4492" t="str">
        <f t="shared" si="281"/>
        <v>Medium</v>
      </c>
      <c r="O4492" t="str">
        <f t="shared" si="282"/>
        <v>Low Balance</v>
      </c>
      <c r="P4492" t="str">
        <f t="shared" si="283"/>
        <v>New</v>
      </c>
    </row>
    <row r="4493" spans="1:16" x14ac:dyDescent="0.25">
      <c r="A4493">
        <v>2025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  <c r="M4493" t="str">
        <f t="shared" si="280"/>
        <v>60+</v>
      </c>
      <c r="N4493" t="str">
        <f t="shared" si="281"/>
        <v>High</v>
      </c>
      <c r="O4493" t="str">
        <f t="shared" si="282"/>
        <v>High Balance</v>
      </c>
      <c r="P4493" t="str">
        <f t="shared" si="283"/>
        <v>New</v>
      </c>
    </row>
    <row r="4494" spans="1:16" x14ac:dyDescent="0.25">
      <c r="A4494">
        <v>2025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  <c r="M4494" t="str">
        <f t="shared" si="280"/>
        <v>30-45</v>
      </c>
      <c r="N4494" t="str">
        <f t="shared" si="281"/>
        <v>Medium</v>
      </c>
      <c r="O4494" t="str">
        <f t="shared" si="282"/>
        <v>High Balance</v>
      </c>
      <c r="P4494" t="str">
        <f t="shared" si="283"/>
        <v>New</v>
      </c>
    </row>
    <row r="4495" spans="1:16" x14ac:dyDescent="0.25">
      <c r="A4495">
        <v>2025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  <c r="M4495" t="str">
        <f t="shared" si="280"/>
        <v>30-45</v>
      </c>
      <c r="N4495" t="str">
        <f t="shared" si="281"/>
        <v>High</v>
      </c>
      <c r="O4495" t="str">
        <f t="shared" si="282"/>
        <v>Zero Balance</v>
      </c>
      <c r="P4495" t="str">
        <f t="shared" si="283"/>
        <v>New</v>
      </c>
    </row>
    <row r="4496" spans="1:16" x14ac:dyDescent="0.25">
      <c r="A4496">
        <v>2025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  <c r="M4496" t="str">
        <f t="shared" si="280"/>
        <v>30-45</v>
      </c>
      <c r="N4496" t="str">
        <f t="shared" si="281"/>
        <v>High</v>
      </c>
      <c r="O4496" t="str">
        <f t="shared" si="282"/>
        <v>Low Balance</v>
      </c>
      <c r="P4496" t="str">
        <f t="shared" si="283"/>
        <v>Mid-term</v>
      </c>
    </row>
    <row r="4497" spans="1:16" x14ac:dyDescent="0.25">
      <c r="A4497">
        <v>2025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  <c r="M4497" t="str">
        <f t="shared" si="280"/>
        <v>30-45</v>
      </c>
      <c r="N4497" t="str">
        <f t="shared" si="281"/>
        <v>High</v>
      </c>
      <c r="O4497" t="str">
        <f t="shared" si="282"/>
        <v>Low Balance</v>
      </c>
      <c r="P4497" t="str">
        <f t="shared" si="283"/>
        <v>Mid-term</v>
      </c>
    </row>
    <row r="4498" spans="1:16" x14ac:dyDescent="0.25">
      <c r="A4498">
        <v>2025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  <c r="M4498" t="str">
        <f t="shared" si="280"/>
        <v>30-45</v>
      </c>
      <c r="N4498" t="str">
        <f t="shared" si="281"/>
        <v>High</v>
      </c>
      <c r="O4498" t="str">
        <f t="shared" si="282"/>
        <v>Low Balance</v>
      </c>
      <c r="P4498" t="str">
        <f t="shared" si="283"/>
        <v>Mid-term</v>
      </c>
    </row>
    <row r="4499" spans="1:16" x14ac:dyDescent="0.25">
      <c r="A4499">
        <v>2025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  <c r="M4499" t="str">
        <f t="shared" si="280"/>
        <v>46-60</v>
      </c>
      <c r="N4499" t="str">
        <f t="shared" si="281"/>
        <v>High</v>
      </c>
      <c r="O4499" t="str">
        <f t="shared" si="282"/>
        <v>Zero Balance</v>
      </c>
      <c r="P4499" t="str">
        <f t="shared" si="283"/>
        <v>New</v>
      </c>
    </row>
    <row r="4500" spans="1:16" x14ac:dyDescent="0.25">
      <c r="A4500">
        <v>2025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  <c r="M4500" t="str">
        <f t="shared" si="280"/>
        <v>30-45</v>
      </c>
      <c r="N4500" t="str">
        <f t="shared" si="281"/>
        <v>Medium</v>
      </c>
      <c r="O4500" t="str">
        <f t="shared" si="282"/>
        <v>High Balance</v>
      </c>
      <c r="P4500" t="str">
        <f t="shared" si="283"/>
        <v>New</v>
      </c>
    </row>
    <row r="4501" spans="1:16" x14ac:dyDescent="0.25">
      <c r="A4501">
        <v>2025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  <c r="M4501" t="str">
        <f t="shared" si="280"/>
        <v>30-45</v>
      </c>
      <c r="N4501" t="str">
        <f t="shared" si="281"/>
        <v>Medium</v>
      </c>
      <c r="O4501" t="str">
        <f t="shared" si="282"/>
        <v>High Balance</v>
      </c>
      <c r="P4501" t="str">
        <f t="shared" si="283"/>
        <v>Mid-term</v>
      </c>
    </row>
    <row r="4502" spans="1:16" x14ac:dyDescent="0.25">
      <c r="A4502">
        <v>2025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  <c r="M4502" t="str">
        <f t="shared" si="280"/>
        <v>30-45</v>
      </c>
      <c r="N4502" t="str">
        <f t="shared" si="281"/>
        <v>High</v>
      </c>
      <c r="O4502" t="str">
        <f t="shared" si="282"/>
        <v>Low Balance</v>
      </c>
      <c r="P4502" t="str">
        <f t="shared" si="283"/>
        <v>Long-term</v>
      </c>
    </row>
    <row r="4503" spans="1:16" x14ac:dyDescent="0.25">
      <c r="A4503">
        <v>2025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  <c r="M4503" t="str">
        <f t="shared" si="280"/>
        <v>60+</v>
      </c>
      <c r="N4503" t="str">
        <f t="shared" si="281"/>
        <v>Medium</v>
      </c>
      <c r="O4503" t="str">
        <f t="shared" si="282"/>
        <v>Zero Balance</v>
      </c>
      <c r="P4503" t="str">
        <f t="shared" si="283"/>
        <v>New</v>
      </c>
    </row>
    <row r="4504" spans="1:16" x14ac:dyDescent="0.25">
      <c r="A4504">
        <v>2025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  <c r="M4504" t="str">
        <f t="shared" si="280"/>
        <v>30-45</v>
      </c>
      <c r="N4504" t="str">
        <f t="shared" si="281"/>
        <v>Medium</v>
      </c>
      <c r="O4504" t="str">
        <f t="shared" si="282"/>
        <v>High Balance</v>
      </c>
      <c r="P4504" t="str">
        <f t="shared" si="283"/>
        <v>Mid-term</v>
      </c>
    </row>
    <row r="4505" spans="1:16" x14ac:dyDescent="0.25">
      <c r="A4505">
        <v>2025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  <c r="M4505" t="str">
        <f t="shared" si="280"/>
        <v>30-45</v>
      </c>
      <c r="N4505" t="str">
        <f t="shared" si="281"/>
        <v>Medium</v>
      </c>
      <c r="O4505" t="str">
        <f t="shared" si="282"/>
        <v>High Balance</v>
      </c>
      <c r="P4505" t="str">
        <f t="shared" si="283"/>
        <v>Mid-term</v>
      </c>
    </row>
    <row r="4506" spans="1:16" x14ac:dyDescent="0.25">
      <c r="A4506">
        <v>2025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  <c r="M4506" t="str">
        <f t="shared" si="280"/>
        <v>30-45</v>
      </c>
      <c r="N4506" t="str">
        <f t="shared" si="281"/>
        <v>High</v>
      </c>
      <c r="O4506" t="str">
        <f t="shared" si="282"/>
        <v>High Balance</v>
      </c>
      <c r="P4506" t="str">
        <f t="shared" si="283"/>
        <v>Mid-term</v>
      </c>
    </row>
    <row r="4507" spans="1:16" x14ac:dyDescent="0.25">
      <c r="A4507">
        <v>2025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  <c r="M4507" t="str">
        <f t="shared" si="280"/>
        <v>30-45</v>
      </c>
      <c r="N4507" t="str">
        <f t="shared" si="281"/>
        <v>High</v>
      </c>
      <c r="O4507" t="str">
        <f t="shared" si="282"/>
        <v>Zero Balance</v>
      </c>
      <c r="P4507" t="str">
        <f t="shared" si="283"/>
        <v>Mid-term</v>
      </c>
    </row>
    <row r="4508" spans="1:16" x14ac:dyDescent="0.25">
      <c r="A4508">
        <v>2025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  <c r="M4508" t="str">
        <f t="shared" si="280"/>
        <v>60+</v>
      </c>
      <c r="N4508" t="str">
        <f t="shared" si="281"/>
        <v>Medium</v>
      </c>
      <c r="O4508" t="str">
        <f t="shared" si="282"/>
        <v>Zero Balance</v>
      </c>
      <c r="P4508" t="str">
        <f t="shared" si="283"/>
        <v>New</v>
      </c>
    </row>
    <row r="4509" spans="1:16" x14ac:dyDescent="0.25">
      <c r="A4509">
        <v>2025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  <c r="M4509" t="str">
        <f t="shared" si="280"/>
        <v>&lt;30</v>
      </c>
      <c r="N4509" t="str">
        <f t="shared" si="281"/>
        <v>Medium</v>
      </c>
      <c r="O4509" t="str">
        <f t="shared" si="282"/>
        <v>High Balance</v>
      </c>
      <c r="P4509" t="str">
        <f t="shared" si="283"/>
        <v>New</v>
      </c>
    </row>
    <row r="4510" spans="1:16" x14ac:dyDescent="0.25">
      <c r="A4510">
        <v>2025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  <c r="M4510" t="str">
        <f t="shared" si="280"/>
        <v>30-45</v>
      </c>
      <c r="N4510" t="str">
        <f t="shared" si="281"/>
        <v>Medium</v>
      </c>
      <c r="O4510" t="str">
        <f t="shared" si="282"/>
        <v>Zero Balance</v>
      </c>
      <c r="P4510" t="str">
        <f t="shared" si="283"/>
        <v>New</v>
      </c>
    </row>
    <row r="4511" spans="1:16" x14ac:dyDescent="0.25">
      <c r="A4511">
        <v>2025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  <c r="M4511" t="str">
        <f t="shared" si="280"/>
        <v>30-45</v>
      </c>
      <c r="N4511" t="str">
        <f t="shared" si="281"/>
        <v>Medium</v>
      </c>
      <c r="O4511" t="str">
        <f t="shared" si="282"/>
        <v>High Balance</v>
      </c>
      <c r="P4511" t="str">
        <f t="shared" si="283"/>
        <v>New</v>
      </c>
    </row>
    <row r="4512" spans="1:16" x14ac:dyDescent="0.25">
      <c r="A4512">
        <v>2025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  <c r="M4512" t="str">
        <f t="shared" si="280"/>
        <v>30-45</v>
      </c>
      <c r="N4512" t="str">
        <f t="shared" si="281"/>
        <v>Medium</v>
      </c>
      <c r="O4512" t="str">
        <f t="shared" si="282"/>
        <v>High Balance</v>
      </c>
      <c r="P4512" t="str">
        <f t="shared" si="283"/>
        <v>Long-term</v>
      </c>
    </row>
    <row r="4513" spans="1:16" x14ac:dyDescent="0.25">
      <c r="A4513">
        <v>2025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  <c r="M4513" t="str">
        <f t="shared" si="280"/>
        <v>30-45</v>
      </c>
      <c r="N4513" t="str">
        <f t="shared" si="281"/>
        <v>Medium</v>
      </c>
      <c r="O4513" t="str">
        <f t="shared" si="282"/>
        <v>Zero Balance</v>
      </c>
      <c r="P4513" t="str">
        <f t="shared" si="283"/>
        <v>New</v>
      </c>
    </row>
    <row r="4514" spans="1:16" x14ac:dyDescent="0.25">
      <c r="A4514">
        <v>2025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  <c r="M4514" t="str">
        <f t="shared" si="280"/>
        <v>46-60</v>
      </c>
      <c r="N4514" t="str">
        <f t="shared" si="281"/>
        <v>Medium</v>
      </c>
      <c r="O4514" t="str">
        <f t="shared" si="282"/>
        <v>High Balance</v>
      </c>
      <c r="P4514" t="str">
        <f t="shared" si="283"/>
        <v>New</v>
      </c>
    </row>
    <row r="4515" spans="1:16" x14ac:dyDescent="0.25">
      <c r="A4515">
        <v>2025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  <c r="M4515" t="str">
        <f t="shared" si="280"/>
        <v>30-45</v>
      </c>
      <c r="N4515" t="str">
        <f t="shared" si="281"/>
        <v>Medium</v>
      </c>
      <c r="O4515" t="str">
        <f t="shared" si="282"/>
        <v>Zero Balance</v>
      </c>
      <c r="P4515" t="str">
        <f t="shared" si="283"/>
        <v>Long-term</v>
      </c>
    </row>
    <row r="4516" spans="1:16" x14ac:dyDescent="0.25">
      <c r="A4516">
        <v>2025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  <c r="M4516" t="str">
        <f t="shared" si="280"/>
        <v>30-45</v>
      </c>
      <c r="N4516" t="str">
        <f t="shared" si="281"/>
        <v>Medium</v>
      </c>
      <c r="O4516" t="str">
        <f t="shared" si="282"/>
        <v>Zero Balance</v>
      </c>
      <c r="P4516" t="str">
        <f t="shared" si="283"/>
        <v>Long-term</v>
      </c>
    </row>
    <row r="4517" spans="1:16" x14ac:dyDescent="0.25">
      <c r="A4517">
        <v>2025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  <c r="M4517" t="str">
        <f t="shared" si="280"/>
        <v>30-45</v>
      </c>
      <c r="N4517" t="str">
        <f t="shared" si="281"/>
        <v>High</v>
      </c>
      <c r="O4517" t="str">
        <f t="shared" si="282"/>
        <v>High Balance</v>
      </c>
      <c r="P4517" t="str">
        <f t="shared" si="283"/>
        <v>Long-term</v>
      </c>
    </row>
    <row r="4518" spans="1:16" x14ac:dyDescent="0.25">
      <c r="A4518">
        <v>2025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  <c r="M4518" t="str">
        <f t="shared" si="280"/>
        <v>30-45</v>
      </c>
      <c r="N4518" t="str">
        <f t="shared" si="281"/>
        <v>Low</v>
      </c>
      <c r="O4518" t="str">
        <f t="shared" si="282"/>
        <v>High Balance</v>
      </c>
      <c r="P4518" t="str">
        <f t="shared" si="283"/>
        <v>Long-term</v>
      </c>
    </row>
    <row r="4519" spans="1:16" x14ac:dyDescent="0.25">
      <c r="A4519">
        <v>2025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  <c r="M4519" t="str">
        <f t="shared" si="280"/>
        <v>30-45</v>
      </c>
      <c r="N4519" t="str">
        <f t="shared" si="281"/>
        <v>High</v>
      </c>
      <c r="O4519" t="str">
        <f t="shared" si="282"/>
        <v>High Balance</v>
      </c>
      <c r="P4519" t="str">
        <f t="shared" si="283"/>
        <v>Mid-term</v>
      </c>
    </row>
    <row r="4520" spans="1:16" x14ac:dyDescent="0.25">
      <c r="A4520">
        <v>2025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  <c r="M4520" t="str">
        <f t="shared" si="280"/>
        <v>&lt;30</v>
      </c>
      <c r="N4520" t="str">
        <f t="shared" si="281"/>
        <v>High</v>
      </c>
      <c r="O4520" t="str">
        <f t="shared" si="282"/>
        <v>Zero Balance</v>
      </c>
      <c r="P4520" t="str">
        <f t="shared" si="283"/>
        <v>Mid-term</v>
      </c>
    </row>
    <row r="4521" spans="1:16" x14ac:dyDescent="0.25">
      <c r="A4521">
        <v>2025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  <c r="M4521" t="str">
        <f t="shared" si="280"/>
        <v>30-45</v>
      </c>
      <c r="N4521" t="str">
        <f t="shared" si="281"/>
        <v>Medium</v>
      </c>
      <c r="O4521" t="str">
        <f t="shared" si="282"/>
        <v>Zero Balance</v>
      </c>
      <c r="P4521" t="str">
        <f t="shared" si="283"/>
        <v>Mid-term</v>
      </c>
    </row>
    <row r="4522" spans="1:16" x14ac:dyDescent="0.25">
      <c r="A4522">
        <v>2025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  <c r="M4522" t="str">
        <f t="shared" si="280"/>
        <v>46-60</v>
      </c>
      <c r="N4522" t="str">
        <f t="shared" si="281"/>
        <v>Medium</v>
      </c>
      <c r="O4522" t="str">
        <f t="shared" si="282"/>
        <v>High Balance</v>
      </c>
      <c r="P4522" t="str">
        <f t="shared" si="283"/>
        <v>Long-term</v>
      </c>
    </row>
    <row r="4523" spans="1:16" x14ac:dyDescent="0.25">
      <c r="A4523">
        <v>2025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  <c r="M4523" t="str">
        <f t="shared" si="280"/>
        <v>&lt;30</v>
      </c>
      <c r="N4523" t="str">
        <f t="shared" si="281"/>
        <v>Medium</v>
      </c>
      <c r="O4523" t="str">
        <f t="shared" si="282"/>
        <v>High Balance</v>
      </c>
      <c r="P4523" t="str">
        <f t="shared" si="283"/>
        <v>Mid-term</v>
      </c>
    </row>
    <row r="4524" spans="1:16" x14ac:dyDescent="0.25">
      <c r="A4524">
        <v>2025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  <c r="M4524" t="str">
        <f t="shared" si="280"/>
        <v>30-45</v>
      </c>
      <c r="N4524" t="str">
        <f t="shared" si="281"/>
        <v>Medium</v>
      </c>
      <c r="O4524" t="str">
        <f t="shared" si="282"/>
        <v>Zero Balance</v>
      </c>
      <c r="P4524" t="str">
        <f t="shared" si="283"/>
        <v>Mid-term</v>
      </c>
    </row>
    <row r="4525" spans="1:16" x14ac:dyDescent="0.25">
      <c r="A4525">
        <v>2025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  <c r="M4525" t="str">
        <f t="shared" si="280"/>
        <v>46-60</v>
      </c>
      <c r="N4525" t="str">
        <f t="shared" si="281"/>
        <v>Medium</v>
      </c>
      <c r="O4525" t="str">
        <f t="shared" si="282"/>
        <v>Low Balance</v>
      </c>
      <c r="P4525" t="str">
        <f t="shared" si="283"/>
        <v>Mid-term</v>
      </c>
    </row>
    <row r="4526" spans="1:16" x14ac:dyDescent="0.25">
      <c r="A4526">
        <v>2025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  <c r="M4526" t="str">
        <f t="shared" si="280"/>
        <v>30-45</v>
      </c>
      <c r="N4526" t="str">
        <f t="shared" si="281"/>
        <v>Medium</v>
      </c>
      <c r="O4526" t="str">
        <f t="shared" si="282"/>
        <v>Zero Balance</v>
      </c>
      <c r="P4526" t="str">
        <f t="shared" si="283"/>
        <v>Long-term</v>
      </c>
    </row>
    <row r="4527" spans="1:16" x14ac:dyDescent="0.25">
      <c r="A4527">
        <v>2025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  <c r="M4527" t="str">
        <f t="shared" si="280"/>
        <v>30-45</v>
      </c>
      <c r="N4527" t="str">
        <f t="shared" si="281"/>
        <v>Medium</v>
      </c>
      <c r="O4527" t="str">
        <f t="shared" si="282"/>
        <v>Low Balance</v>
      </c>
      <c r="P4527" t="str">
        <f t="shared" si="283"/>
        <v>Long-term</v>
      </c>
    </row>
    <row r="4528" spans="1:16" x14ac:dyDescent="0.25">
      <c r="A4528">
        <v>2025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  <c r="M4528" t="str">
        <f t="shared" si="280"/>
        <v>30-45</v>
      </c>
      <c r="N4528" t="str">
        <f t="shared" si="281"/>
        <v>High</v>
      </c>
      <c r="O4528" t="str">
        <f t="shared" si="282"/>
        <v>High Balance</v>
      </c>
      <c r="P4528" t="str">
        <f t="shared" si="283"/>
        <v>Long-term</v>
      </c>
    </row>
    <row r="4529" spans="1:16" x14ac:dyDescent="0.25">
      <c r="A4529">
        <v>2025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  <c r="M4529" t="str">
        <f t="shared" si="280"/>
        <v>30-45</v>
      </c>
      <c r="N4529" t="str">
        <f t="shared" si="281"/>
        <v>High</v>
      </c>
      <c r="O4529" t="str">
        <f t="shared" si="282"/>
        <v>High Balance</v>
      </c>
      <c r="P4529" t="str">
        <f t="shared" si="283"/>
        <v>New</v>
      </c>
    </row>
    <row r="4530" spans="1:16" x14ac:dyDescent="0.25">
      <c r="A4530">
        <v>2025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  <c r="M4530" t="str">
        <f t="shared" si="280"/>
        <v>30-45</v>
      </c>
      <c r="N4530" t="str">
        <f t="shared" si="281"/>
        <v>High</v>
      </c>
      <c r="O4530" t="str">
        <f t="shared" si="282"/>
        <v>High Balance</v>
      </c>
      <c r="P4530" t="str">
        <f t="shared" si="283"/>
        <v>Mid-term</v>
      </c>
    </row>
    <row r="4531" spans="1:16" x14ac:dyDescent="0.25">
      <c r="A4531">
        <v>2025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  <c r="M4531" t="str">
        <f t="shared" si="280"/>
        <v>30-45</v>
      </c>
      <c r="N4531" t="str">
        <f t="shared" si="281"/>
        <v>Medium</v>
      </c>
      <c r="O4531" t="str">
        <f t="shared" si="282"/>
        <v>High Balance</v>
      </c>
      <c r="P4531" t="str">
        <f t="shared" si="283"/>
        <v>Long-term</v>
      </c>
    </row>
    <row r="4532" spans="1:16" x14ac:dyDescent="0.25">
      <c r="A4532">
        <v>2025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  <c r="M4532" t="str">
        <f t="shared" si="280"/>
        <v>30-45</v>
      </c>
      <c r="N4532" t="str">
        <f t="shared" si="281"/>
        <v>Medium</v>
      </c>
      <c r="O4532" t="str">
        <f t="shared" si="282"/>
        <v>High Balance</v>
      </c>
      <c r="P4532" t="str">
        <f t="shared" si="283"/>
        <v>Mid-term</v>
      </c>
    </row>
    <row r="4533" spans="1:16" x14ac:dyDescent="0.25">
      <c r="A4533">
        <v>2025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  <c r="M4533" t="str">
        <f t="shared" si="280"/>
        <v>30-45</v>
      </c>
      <c r="N4533" t="str">
        <f t="shared" si="281"/>
        <v>Medium</v>
      </c>
      <c r="O4533" t="str">
        <f t="shared" si="282"/>
        <v>Zero Balance</v>
      </c>
      <c r="P4533" t="str">
        <f t="shared" si="283"/>
        <v>Mid-term</v>
      </c>
    </row>
    <row r="4534" spans="1:16" x14ac:dyDescent="0.25">
      <c r="A4534">
        <v>2025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  <c r="M4534" t="str">
        <f t="shared" si="280"/>
        <v>30-45</v>
      </c>
      <c r="N4534" t="str">
        <f t="shared" si="281"/>
        <v>Medium</v>
      </c>
      <c r="O4534" t="str">
        <f t="shared" si="282"/>
        <v>High Balance</v>
      </c>
      <c r="P4534" t="str">
        <f t="shared" si="283"/>
        <v>New</v>
      </c>
    </row>
    <row r="4535" spans="1:16" x14ac:dyDescent="0.25">
      <c r="A4535">
        <v>2025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  <c r="M4535" t="str">
        <f t="shared" si="280"/>
        <v>30-45</v>
      </c>
      <c r="N4535" t="str">
        <f t="shared" si="281"/>
        <v>High</v>
      </c>
      <c r="O4535" t="str">
        <f t="shared" si="282"/>
        <v>High Balance</v>
      </c>
      <c r="P4535" t="str">
        <f t="shared" si="283"/>
        <v>Mid-term</v>
      </c>
    </row>
    <row r="4536" spans="1:16" x14ac:dyDescent="0.25">
      <c r="A4536">
        <v>2025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  <c r="M4536" t="str">
        <f t="shared" si="280"/>
        <v>30-45</v>
      </c>
      <c r="N4536" t="str">
        <f t="shared" si="281"/>
        <v>Medium</v>
      </c>
      <c r="O4536" t="str">
        <f t="shared" si="282"/>
        <v>Zero Balance</v>
      </c>
      <c r="P4536" t="str">
        <f t="shared" si="283"/>
        <v>New</v>
      </c>
    </row>
    <row r="4537" spans="1:16" x14ac:dyDescent="0.25">
      <c r="A4537">
        <v>2025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  <c r="M4537" t="str">
        <f t="shared" si="280"/>
        <v>30-45</v>
      </c>
      <c r="N4537" t="str">
        <f t="shared" si="281"/>
        <v>High</v>
      </c>
      <c r="O4537" t="str">
        <f t="shared" si="282"/>
        <v>High Balance</v>
      </c>
      <c r="P4537" t="str">
        <f t="shared" si="283"/>
        <v>Long-term</v>
      </c>
    </row>
    <row r="4538" spans="1:16" x14ac:dyDescent="0.25">
      <c r="A4538">
        <v>2025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  <c r="M4538" t="str">
        <f t="shared" si="280"/>
        <v>46-60</v>
      </c>
      <c r="N4538" t="str">
        <f t="shared" si="281"/>
        <v>Medium</v>
      </c>
      <c r="O4538" t="str">
        <f t="shared" si="282"/>
        <v>Zero Balance</v>
      </c>
      <c r="P4538" t="str">
        <f t="shared" si="283"/>
        <v>Mid-term</v>
      </c>
    </row>
    <row r="4539" spans="1:16" x14ac:dyDescent="0.25">
      <c r="A4539">
        <v>2025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  <c r="M4539" t="str">
        <f t="shared" si="280"/>
        <v>30-45</v>
      </c>
      <c r="N4539" t="str">
        <f t="shared" si="281"/>
        <v>High</v>
      </c>
      <c r="O4539" t="str">
        <f t="shared" si="282"/>
        <v>Zero Balance</v>
      </c>
      <c r="P4539" t="str">
        <f t="shared" si="283"/>
        <v>Mid-term</v>
      </c>
    </row>
    <row r="4540" spans="1:16" x14ac:dyDescent="0.25">
      <c r="A4540">
        <v>2025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  <c r="M4540" t="str">
        <f t="shared" si="280"/>
        <v>30-45</v>
      </c>
      <c r="N4540" t="str">
        <f t="shared" si="281"/>
        <v>High</v>
      </c>
      <c r="O4540" t="str">
        <f t="shared" si="282"/>
        <v>Zero Balance</v>
      </c>
      <c r="P4540" t="str">
        <f t="shared" si="283"/>
        <v>New</v>
      </c>
    </row>
    <row r="4541" spans="1:16" x14ac:dyDescent="0.25">
      <c r="A4541">
        <v>2025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  <c r="M4541" t="str">
        <f t="shared" si="280"/>
        <v>30-45</v>
      </c>
      <c r="N4541" t="str">
        <f t="shared" si="281"/>
        <v>High</v>
      </c>
      <c r="O4541" t="str">
        <f t="shared" si="282"/>
        <v>Zero Balance</v>
      </c>
      <c r="P4541" t="str">
        <f t="shared" si="283"/>
        <v>Mid-term</v>
      </c>
    </row>
    <row r="4542" spans="1:16" x14ac:dyDescent="0.25">
      <c r="A4542">
        <v>2025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  <c r="M4542" t="str">
        <f t="shared" si="280"/>
        <v>30-45</v>
      </c>
      <c r="N4542" t="str">
        <f t="shared" si="281"/>
        <v>Medium</v>
      </c>
      <c r="O4542" t="str">
        <f t="shared" si="282"/>
        <v>High Balance</v>
      </c>
      <c r="P4542" t="str">
        <f t="shared" si="283"/>
        <v>New</v>
      </c>
    </row>
    <row r="4543" spans="1:16" x14ac:dyDescent="0.25">
      <c r="A4543">
        <v>2025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  <c r="M4543" t="str">
        <f t="shared" si="280"/>
        <v>30-45</v>
      </c>
      <c r="N4543" t="str">
        <f t="shared" si="281"/>
        <v>Medium</v>
      </c>
      <c r="O4543" t="str">
        <f t="shared" si="282"/>
        <v>High Balance</v>
      </c>
      <c r="P4543" t="str">
        <f t="shared" si="283"/>
        <v>Mid-term</v>
      </c>
    </row>
    <row r="4544" spans="1:16" x14ac:dyDescent="0.25">
      <c r="A4544">
        <v>2025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  <c r="M4544" t="str">
        <f t="shared" si="280"/>
        <v>&lt;30</v>
      </c>
      <c r="N4544" t="str">
        <f t="shared" si="281"/>
        <v>Medium</v>
      </c>
      <c r="O4544" t="str">
        <f t="shared" si="282"/>
        <v>Zero Balance</v>
      </c>
      <c r="P4544" t="str">
        <f t="shared" si="283"/>
        <v>Long-term</v>
      </c>
    </row>
    <row r="4545" spans="1:16" x14ac:dyDescent="0.25">
      <c r="A4545">
        <v>2025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  <c r="M4545" t="str">
        <f t="shared" si="280"/>
        <v>30-45</v>
      </c>
      <c r="N4545" t="str">
        <f t="shared" si="281"/>
        <v>High</v>
      </c>
      <c r="O4545" t="str">
        <f t="shared" si="282"/>
        <v>High Balance</v>
      </c>
      <c r="P4545" t="str">
        <f t="shared" si="283"/>
        <v>Long-term</v>
      </c>
    </row>
    <row r="4546" spans="1:16" x14ac:dyDescent="0.25">
      <c r="A4546">
        <v>2025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  <c r="M4546" t="str">
        <f t="shared" si="280"/>
        <v>30-45</v>
      </c>
      <c r="N4546" t="str">
        <f t="shared" si="281"/>
        <v>Medium</v>
      </c>
      <c r="O4546" t="str">
        <f t="shared" si="282"/>
        <v>High Balance</v>
      </c>
      <c r="P4546" t="str">
        <f t="shared" si="283"/>
        <v>Long-term</v>
      </c>
    </row>
    <row r="4547" spans="1:16" x14ac:dyDescent="0.25">
      <c r="A4547">
        <v>2025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  <c r="M4547" t="str">
        <f t="shared" ref="M4547:M4610" si="284">IF(E4547&lt;30,"&lt;30",IF(E4547&lt;=45,"30-45",IF(E4547&lt;=60,"46-60","60+")))</f>
        <v>30-45</v>
      </c>
      <c r="N4547" t="str">
        <f t="shared" ref="N4547:N4610" si="285">IF(B4547&lt;500,"Low",IF(B4547&lt;700,"Medium","High"))</f>
        <v>Low</v>
      </c>
      <c r="O4547" t="str">
        <f t="shared" ref="O4547:O4610" si="286">IF(G4547=0,"Zero Balance",IF(G4547&lt;100000,"Low Balance","High Balance"))</f>
        <v>High Balance</v>
      </c>
      <c r="P4547" t="str">
        <f t="shared" ref="P4547:P4610" si="287">IF(F4547&lt;=3,"New",IF(F4547&lt;=7,"Mid-term","Long-term"))</f>
        <v>New</v>
      </c>
    </row>
    <row r="4548" spans="1:16" x14ac:dyDescent="0.25">
      <c r="A4548">
        <v>2025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  <c r="M4548" t="str">
        <f t="shared" si="284"/>
        <v>30-45</v>
      </c>
      <c r="N4548" t="str">
        <f t="shared" si="285"/>
        <v>Medium</v>
      </c>
      <c r="O4548" t="str">
        <f t="shared" si="286"/>
        <v>Zero Balance</v>
      </c>
      <c r="P4548" t="str">
        <f t="shared" si="287"/>
        <v>Mid-term</v>
      </c>
    </row>
    <row r="4549" spans="1:16" x14ac:dyDescent="0.25">
      <c r="A4549">
        <v>2025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  <c r="M4549" t="str">
        <f t="shared" si="284"/>
        <v>30-45</v>
      </c>
      <c r="N4549" t="str">
        <f t="shared" si="285"/>
        <v>High</v>
      </c>
      <c r="O4549" t="str">
        <f t="shared" si="286"/>
        <v>High Balance</v>
      </c>
      <c r="P4549" t="str">
        <f t="shared" si="287"/>
        <v>Long-term</v>
      </c>
    </row>
    <row r="4550" spans="1:16" x14ac:dyDescent="0.25">
      <c r="A4550">
        <v>2025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  <c r="M4550" t="str">
        <f t="shared" si="284"/>
        <v>46-60</v>
      </c>
      <c r="N4550" t="str">
        <f t="shared" si="285"/>
        <v>Medium</v>
      </c>
      <c r="O4550" t="str">
        <f t="shared" si="286"/>
        <v>Zero Balance</v>
      </c>
      <c r="P4550" t="str">
        <f t="shared" si="287"/>
        <v>New</v>
      </c>
    </row>
    <row r="4551" spans="1:16" x14ac:dyDescent="0.25">
      <c r="A4551">
        <v>2025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  <c r="M4551" t="str">
        <f t="shared" si="284"/>
        <v>46-60</v>
      </c>
      <c r="N4551" t="str">
        <f t="shared" si="285"/>
        <v>Medium</v>
      </c>
      <c r="O4551" t="str">
        <f t="shared" si="286"/>
        <v>Zero Balance</v>
      </c>
      <c r="P4551" t="str">
        <f t="shared" si="287"/>
        <v>Long-term</v>
      </c>
    </row>
    <row r="4552" spans="1:16" x14ac:dyDescent="0.25">
      <c r="A4552">
        <v>2025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  <c r="M4552" t="str">
        <f t="shared" si="284"/>
        <v>30-45</v>
      </c>
      <c r="N4552" t="str">
        <f t="shared" si="285"/>
        <v>Medium</v>
      </c>
      <c r="O4552" t="str">
        <f t="shared" si="286"/>
        <v>High Balance</v>
      </c>
      <c r="P4552" t="str">
        <f t="shared" si="287"/>
        <v>New</v>
      </c>
    </row>
    <row r="4553" spans="1:16" x14ac:dyDescent="0.25">
      <c r="A4553">
        <v>2025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  <c r="M4553" t="str">
        <f t="shared" si="284"/>
        <v>46-60</v>
      </c>
      <c r="N4553" t="str">
        <f t="shared" si="285"/>
        <v>Medium</v>
      </c>
      <c r="O4553" t="str">
        <f t="shared" si="286"/>
        <v>Low Balance</v>
      </c>
      <c r="P4553" t="str">
        <f t="shared" si="287"/>
        <v>Mid-term</v>
      </c>
    </row>
    <row r="4554" spans="1:16" x14ac:dyDescent="0.25">
      <c r="A4554">
        <v>2025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  <c r="M4554" t="str">
        <f t="shared" si="284"/>
        <v>&lt;30</v>
      </c>
      <c r="N4554" t="str">
        <f t="shared" si="285"/>
        <v>Medium</v>
      </c>
      <c r="O4554" t="str">
        <f t="shared" si="286"/>
        <v>Zero Balance</v>
      </c>
      <c r="P4554" t="str">
        <f t="shared" si="287"/>
        <v>New</v>
      </c>
    </row>
    <row r="4555" spans="1:16" x14ac:dyDescent="0.25">
      <c r="A4555">
        <v>2025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  <c r="M4555" t="str">
        <f t="shared" si="284"/>
        <v>30-45</v>
      </c>
      <c r="N4555" t="str">
        <f t="shared" si="285"/>
        <v>Medium</v>
      </c>
      <c r="O4555" t="str">
        <f t="shared" si="286"/>
        <v>Zero Balance</v>
      </c>
      <c r="P4555" t="str">
        <f t="shared" si="287"/>
        <v>New</v>
      </c>
    </row>
    <row r="4556" spans="1:16" x14ac:dyDescent="0.25">
      <c r="A4556">
        <v>2025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  <c r="M4556" t="str">
        <f t="shared" si="284"/>
        <v>30-45</v>
      </c>
      <c r="N4556" t="str">
        <f t="shared" si="285"/>
        <v>Medium</v>
      </c>
      <c r="O4556" t="str">
        <f t="shared" si="286"/>
        <v>Zero Balance</v>
      </c>
      <c r="P4556" t="str">
        <f t="shared" si="287"/>
        <v>Mid-term</v>
      </c>
    </row>
    <row r="4557" spans="1:16" x14ac:dyDescent="0.25">
      <c r="A4557">
        <v>2025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  <c r="M4557" t="str">
        <f t="shared" si="284"/>
        <v>30-45</v>
      </c>
      <c r="N4557" t="str">
        <f t="shared" si="285"/>
        <v>Medium</v>
      </c>
      <c r="O4557" t="str">
        <f t="shared" si="286"/>
        <v>Zero Balance</v>
      </c>
      <c r="P4557" t="str">
        <f t="shared" si="287"/>
        <v>Mid-term</v>
      </c>
    </row>
    <row r="4558" spans="1:16" x14ac:dyDescent="0.25">
      <c r="A4558">
        <v>2025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  <c r="M4558" t="str">
        <f t="shared" si="284"/>
        <v>&lt;30</v>
      </c>
      <c r="N4558" t="str">
        <f t="shared" si="285"/>
        <v>Medium</v>
      </c>
      <c r="O4558" t="str">
        <f t="shared" si="286"/>
        <v>Low Balance</v>
      </c>
      <c r="P4558" t="str">
        <f t="shared" si="287"/>
        <v>New</v>
      </c>
    </row>
    <row r="4559" spans="1:16" x14ac:dyDescent="0.25">
      <c r="A4559">
        <v>2025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  <c r="M4559" t="str">
        <f t="shared" si="284"/>
        <v>30-45</v>
      </c>
      <c r="N4559" t="str">
        <f t="shared" si="285"/>
        <v>Medium</v>
      </c>
      <c r="O4559" t="str">
        <f t="shared" si="286"/>
        <v>High Balance</v>
      </c>
      <c r="P4559" t="str">
        <f t="shared" si="287"/>
        <v>New</v>
      </c>
    </row>
    <row r="4560" spans="1:16" x14ac:dyDescent="0.25">
      <c r="A4560">
        <v>2025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  <c r="M4560" t="str">
        <f t="shared" si="284"/>
        <v>30-45</v>
      </c>
      <c r="N4560" t="str">
        <f t="shared" si="285"/>
        <v>High</v>
      </c>
      <c r="O4560" t="str">
        <f t="shared" si="286"/>
        <v>Zero Balance</v>
      </c>
      <c r="P4560" t="str">
        <f t="shared" si="287"/>
        <v>New</v>
      </c>
    </row>
    <row r="4561" spans="1:16" x14ac:dyDescent="0.25">
      <c r="A4561">
        <v>2025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  <c r="M4561" t="str">
        <f t="shared" si="284"/>
        <v>60+</v>
      </c>
      <c r="N4561" t="str">
        <f t="shared" si="285"/>
        <v>Medium</v>
      </c>
      <c r="O4561" t="str">
        <f t="shared" si="286"/>
        <v>High Balance</v>
      </c>
      <c r="P4561" t="str">
        <f t="shared" si="287"/>
        <v>Mid-term</v>
      </c>
    </row>
    <row r="4562" spans="1:16" x14ac:dyDescent="0.25">
      <c r="A4562">
        <v>2025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  <c r="M4562" t="str">
        <f t="shared" si="284"/>
        <v>30-45</v>
      </c>
      <c r="N4562" t="str">
        <f t="shared" si="285"/>
        <v>Medium</v>
      </c>
      <c r="O4562" t="str">
        <f t="shared" si="286"/>
        <v>Zero Balance</v>
      </c>
      <c r="P4562" t="str">
        <f t="shared" si="287"/>
        <v>New</v>
      </c>
    </row>
    <row r="4563" spans="1:16" x14ac:dyDescent="0.25">
      <c r="A4563">
        <v>2025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  <c r="M4563" t="str">
        <f t="shared" si="284"/>
        <v>30-45</v>
      </c>
      <c r="N4563" t="str">
        <f t="shared" si="285"/>
        <v>Medium</v>
      </c>
      <c r="O4563" t="str">
        <f t="shared" si="286"/>
        <v>High Balance</v>
      </c>
      <c r="P4563" t="str">
        <f t="shared" si="287"/>
        <v>Mid-term</v>
      </c>
    </row>
    <row r="4564" spans="1:16" x14ac:dyDescent="0.25">
      <c r="A4564">
        <v>2025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  <c r="M4564" t="str">
        <f t="shared" si="284"/>
        <v>30-45</v>
      </c>
      <c r="N4564" t="str">
        <f t="shared" si="285"/>
        <v>Medium</v>
      </c>
      <c r="O4564" t="str">
        <f t="shared" si="286"/>
        <v>High Balance</v>
      </c>
      <c r="P4564" t="str">
        <f t="shared" si="287"/>
        <v>New</v>
      </c>
    </row>
    <row r="4565" spans="1:16" x14ac:dyDescent="0.25">
      <c r="A4565">
        <v>2025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  <c r="M4565" t="str">
        <f t="shared" si="284"/>
        <v>60+</v>
      </c>
      <c r="N4565" t="str">
        <f t="shared" si="285"/>
        <v>High</v>
      </c>
      <c r="O4565" t="str">
        <f t="shared" si="286"/>
        <v>High Balance</v>
      </c>
      <c r="P4565" t="str">
        <f t="shared" si="287"/>
        <v>New</v>
      </c>
    </row>
    <row r="4566" spans="1:16" x14ac:dyDescent="0.25">
      <c r="A4566">
        <v>2025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  <c r="M4566" t="str">
        <f t="shared" si="284"/>
        <v>&lt;30</v>
      </c>
      <c r="N4566" t="str">
        <f t="shared" si="285"/>
        <v>Medium</v>
      </c>
      <c r="O4566" t="str">
        <f t="shared" si="286"/>
        <v>Low Balance</v>
      </c>
      <c r="P4566" t="str">
        <f t="shared" si="287"/>
        <v>Mid-term</v>
      </c>
    </row>
    <row r="4567" spans="1:16" x14ac:dyDescent="0.25">
      <c r="A4567">
        <v>2025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  <c r="M4567" t="str">
        <f t="shared" si="284"/>
        <v>46-60</v>
      </c>
      <c r="N4567" t="str">
        <f t="shared" si="285"/>
        <v>Medium</v>
      </c>
      <c r="O4567" t="str">
        <f t="shared" si="286"/>
        <v>Low Balance</v>
      </c>
      <c r="P4567" t="str">
        <f t="shared" si="287"/>
        <v>New</v>
      </c>
    </row>
    <row r="4568" spans="1:16" x14ac:dyDescent="0.25">
      <c r="A4568">
        <v>2025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  <c r="M4568" t="str">
        <f t="shared" si="284"/>
        <v>30-45</v>
      </c>
      <c r="N4568" t="str">
        <f t="shared" si="285"/>
        <v>Medium</v>
      </c>
      <c r="O4568" t="str">
        <f t="shared" si="286"/>
        <v>Low Balance</v>
      </c>
      <c r="P4568" t="str">
        <f t="shared" si="287"/>
        <v>Mid-term</v>
      </c>
    </row>
    <row r="4569" spans="1:16" x14ac:dyDescent="0.25">
      <c r="A4569">
        <v>2025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  <c r="M4569" t="str">
        <f t="shared" si="284"/>
        <v>&lt;30</v>
      </c>
      <c r="N4569" t="str">
        <f t="shared" si="285"/>
        <v>Medium</v>
      </c>
      <c r="O4569" t="str">
        <f t="shared" si="286"/>
        <v>Zero Balance</v>
      </c>
      <c r="P4569" t="str">
        <f t="shared" si="287"/>
        <v>Mid-term</v>
      </c>
    </row>
    <row r="4570" spans="1:16" x14ac:dyDescent="0.25">
      <c r="A4570">
        <v>2025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  <c r="M4570" t="str">
        <f t="shared" si="284"/>
        <v>30-45</v>
      </c>
      <c r="N4570" t="str">
        <f t="shared" si="285"/>
        <v>Medium</v>
      </c>
      <c r="O4570" t="str">
        <f t="shared" si="286"/>
        <v>Low Balance</v>
      </c>
      <c r="P4570" t="str">
        <f t="shared" si="287"/>
        <v>Long-term</v>
      </c>
    </row>
    <row r="4571" spans="1:16" x14ac:dyDescent="0.25">
      <c r="A4571">
        <v>2025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  <c r="M4571" t="str">
        <f t="shared" si="284"/>
        <v>30-45</v>
      </c>
      <c r="N4571" t="str">
        <f t="shared" si="285"/>
        <v>Medium</v>
      </c>
      <c r="O4571" t="str">
        <f t="shared" si="286"/>
        <v>High Balance</v>
      </c>
      <c r="P4571" t="str">
        <f t="shared" si="287"/>
        <v>Mid-term</v>
      </c>
    </row>
    <row r="4572" spans="1:16" x14ac:dyDescent="0.25">
      <c r="A4572">
        <v>2025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  <c r="M4572" t="str">
        <f t="shared" si="284"/>
        <v>30-45</v>
      </c>
      <c r="N4572" t="str">
        <f t="shared" si="285"/>
        <v>High</v>
      </c>
      <c r="O4572" t="str">
        <f t="shared" si="286"/>
        <v>High Balance</v>
      </c>
      <c r="P4572" t="str">
        <f t="shared" si="287"/>
        <v>Long-term</v>
      </c>
    </row>
    <row r="4573" spans="1:16" x14ac:dyDescent="0.25">
      <c r="A4573">
        <v>2025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  <c r="M4573" t="str">
        <f t="shared" si="284"/>
        <v>&lt;30</v>
      </c>
      <c r="N4573" t="str">
        <f t="shared" si="285"/>
        <v>Medium</v>
      </c>
      <c r="O4573" t="str">
        <f t="shared" si="286"/>
        <v>High Balance</v>
      </c>
      <c r="P4573" t="str">
        <f t="shared" si="287"/>
        <v>Long-term</v>
      </c>
    </row>
    <row r="4574" spans="1:16" x14ac:dyDescent="0.25">
      <c r="A4574">
        <v>2025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  <c r="M4574" t="str">
        <f t="shared" si="284"/>
        <v>30-45</v>
      </c>
      <c r="N4574" t="str">
        <f t="shared" si="285"/>
        <v>Medium</v>
      </c>
      <c r="O4574" t="str">
        <f t="shared" si="286"/>
        <v>High Balance</v>
      </c>
      <c r="P4574" t="str">
        <f t="shared" si="287"/>
        <v>Mid-term</v>
      </c>
    </row>
    <row r="4575" spans="1:16" x14ac:dyDescent="0.25">
      <c r="A4575">
        <v>2025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  <c r="M4575" t="str">
        <f t="shared" si="284"/>
        <v>&lt;30</v>
      </c>
      <c r="N4575" t="str">
        <f t="shared" si="285"/>
        <v>Medium</v>
      </c>
      <c r="O4575" t="str">
        <f t="shared" si="286"/>
        <v>Low Balance</v>
      </c>
      <c r="P4575" t="str">
        <f t="shared" si="287"/>
        <v>New</v>
      </c>
    </row>
    <row r="4576" spans="1:16" x14ac:dyDescent="0.25">
      <c r="A4576">
        <v>2025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  <c r="M4576" t="str">
        <f t="shared" si="284"/>
        <v>30-45</v>
      </c>
      <c r="N4576" t="str">
        <f t="shared" si="285"/>
        <v>Medium</v>
      </c>
      <c r="O4576" t="str">
        <f t="shared" si="286"/>
        <v>Zero Balance</v>
      </c>
      <c r="P4576" t="str">
        <f t="shared" si="287"/>
        <v>Long-term</v>
      </c>
    </row>
    <row r="4577" spans="1:16" x14ac:dyDescent="0.25">
      <c r="A4577">
        <v>2025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  <c r="M4577" t="str">
        <f t="shared" si="284"/>
        <v>&lt;30</v>
      </c>
      <c r="N4577" t="str">
        <f t="shared" si="285"/>
        <v>High</v>
      </c>
      <c r="O4577" t="str">
        <f t="shared" si="286"/>
        <v>Low Balance</v>
      </c>
      <c r="P4577" t="str">
        <f t="shared" si="287"/>
        <v>New</v>
      </c>
    </row>
    <row r="4578" spans="1:16" x14ac:dyDescent="0.25">
      <c r="A4578">
        <v>2025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  <c r="M4578" t="str">
        <f t="shared" si="284"/>
        <v>30-45</v>
      </c>
      <c r="N4578" t="str">
        <f t="shared" si="285"/>
        <v>Medium</v>
      </c>
      <c r="O4578" t="str">
        <f t="shared" si="286"/>
        <v>High Balance</v>
      </c>
      <c r="P4578" t="str">
        <f t="shared" si="287"/>
        <v>Mid-term</v>
      </c>
    </row>
    <row r="4579" spans="1:16" x14ac:dyDescent="0.25">
      <c r="A4579">
        <v>2025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  <c r="M4579" t="str">
        <f t="shared" si="284"/>
        <v>30-45</v>
      </c>
      <c r="N4579" t="str">
        <f t="shared" si="285"/>
        <v>Medium</v>
      </c>
      <c r="O4579" t="str">
        <f t="shared" si="286"/>
        <v>High Balance</v>
      </c>
      <c r="P4579" t="str">
        <f t="shared" si="287"/>
        <v>New</v>
      </c>
    </row>
    <row r="4580" spans="1:16" x14ac:dyDescent="0.25">
      <c r="A4580">
        <v>2025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  <c r="M4580" t="str">
        <f t="shared" si="284"/>
        <v>30-45</v>
      </c>
      <c r="N4580" t="str">
        <f t="shared" si="285"/>
        <v>Medium</v>
      </c>
      <c r="O4580" t="str">
        <f t="shared" si="286"/>
        <v>Zero Balance</v>
      </c>
      <c r="P4580" t="str">
        <f t="shared" si="287"/>
        <v>New</v>
      </c>
    </row>
    <row r="4581" spans="1:16" x14ac:dyDescent="0.25">
      <c r="A4581">
        <v>2025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  <c r="M4581" t="str">
        <f t="shared" si="284"/>
        <v>46-60</v>
      </c>
      <c r="N4581" t="str">
        <f t="shared" si="285"/>
        <v>Medium</v>
      </c>
      <c r="O4581" t="str">
        <f t="shared" si="286"/>
        <v>Zero Balance</v>
      </c>
      <c r="P4581" t="str">
        <f t="shared" si="287"/>
        <v>New</v>
      </c>
    </row>
    <row r="4582" spans="1:16" x14ac:dyDescent="0.25">
      <c r="A4582">
        <v>2025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  <c r="M4582" t="str">
        <f t="shared" si="284"/>
        <v>30-45</v>
      </c>
      <c r="N4582" t="str">
        <f t="shared" si="285"/>
        <v>Low</v>
      </c>
      <c r="O4582" t="str">
        <f t="shared" si="286"/>
        <v>Low Balance</v>
      </c>
      <c r="P4582" t="str">
        <f t="shared" si="287"/>
        <v>Mid-term</v>
      </c>
    </row>
    <row r="4583" spans="1:16" x14ac:dyDescent="0.25">
      <c r="A4583">
        <v>2025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  <c r="M4583" t="str">
        <f t="shared" si="284"/>
        <v>46-60</v>
      </c>
      <c r="N4583" t="str">
        <f t="shared" si="285"/>
        <v>Medium</v>
      </c>
      <c r="O4583" t="str">
        <f t="shared" si="286"/>
        <v>Zero Balance</v>
      </c>
      <c r="P4583" t="str">
        <f t="shared" si="287"/>
        <v>New</v>
      </c>
    </row>
    <row r="4584" spans="1:16" x14ac:dyDescent="0.25">
      <c r="A4584">
        <v>2025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  <c r="M4584" t="str">
        <f t="shared" si="284"/>
        <v>30-45</v>
      </c>
      <c r="N4584" t="str">
        <f t="shared" si="285"/>
        <v>Medium</v>
      </c>
      <c r="O4584" t="str">
        <f t="shared" si="286"/>
        <v>Zero Balance</v>
      </c>
      <c r="P4584" t="str">
        <f t="shared" si="287"/>
        <v>Mid-term</v>
      </c>
    </row>
    <row r="4585" spans="1:16" x14ac:dyDescent="0.25">
      <c r="A4585">
        <v>2025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  <c r="M4585" t="str">
        <f t="shared" si="284"/>
        <v>30-45</v>
      </c>
      <c r="N4585" t="str">
        <f t="shared" si="285"/>
        <v>Medium</v>
      </c>
      <c r="O4585" t="str">
        <f t="shared" si="286"/>
        <v>Zero Balance</v>
      </c>
      <c r="P4585" t="str">
        <f t="shared" si="287"/>
        <v>Long-term</v>
      </c>
    </row>
    <row r="4586" spans="1:16" x14ac:dyDescent="0.25">
      <c r="A4586">
        <v>2025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  <c r="M4586" t="str">
        <f t="shared" si="284"/>
        <v>30-45</v>
      </c>
      <c r="N4586" t="str">
        <f t="shared" si="285"/>
        <v>Medium</v>
      </c>
      <c r="O4586" t="str">
        <f t="shared" si="286"/>
        <v>High Balance</v>
      </c>
      <c r="P4586" t="str">
        <f t="shared" si="287"/>
        <v>Long-term</v>
      </c>
    </row>
    <row r="4587" spans="1:16" x14ac:dyDescent="0.25">
      <c r="A4587">
        <v>2025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  <c r="M4587" t="str">
        <f t="shared" si="284"/>
        <v>30-45</v>
      </c>
      <c r="N4587" t="str">
        <f t="shared" si="285"/>
        <v>Medium</v>
      </c>
      <c r="O4587" t="str">
        <f t="shared" si="286"/>
        <v>Zero Balance</v>
      </c>
      <c r="P4587" t="str">
        <f t="shared" si="287"/>
        <v>Long-term</v>
      </c>
    </row>
    <row r="4588" spans="1:16" x14ac:dyDescent="0.25">
      <c r="A4588">
        <v>2025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  <c r="M4588" t="str">
        <f t="shared" si="284"/>
        <v>&lt;30</v>
      </c>
      <c r="N4588" t="str">
        <f t="shared" si="285"/>
        <v>Medium</v>
      </c>
      <c r="O4588" t="str">
        <f t="shared" si="286"/>
        <v>Zero Balance</v>
      </c>
      <c r="P4588" t="str">
        <f t="shared" si="287"/>
        <v>New</v>
      </c>
    </row>
    <row r="4589" spans="1:16" x14ac:dyDescent="0.25">
      <c r="A4589">
        <v>2025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  <c r="M4589" t="str">
        <f t="shared" si="284"/>
        <v>30-45</v>
      </c>
      <c r="N4589" t="str">
        <f t="shared" si="285"/>
        <v>Medium</v>
      </c>
      <c r="O4589" t="str">
        <f t="shared" si="286"/>
        <v>Zero Balance</v>
      </c>
      <c r="P4589" t="str">
        <f t="shared" si="287"/>
        <v>Mid-term</v>
      </c>
    </row>
    <row r="4590" spans="1:16" x14ac:dyDescent="0.25">
      <c r="A4590">
        <v>2025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  <c r="M4590" t="str">
        <f t="shared" si="284"/>
        <v>30-45</v>
      </c>
      <c r="N4590" t="str">
        <f t="shared" si="285"/>
        <v>Low</v>
      </c>
      <c r="O4590" t="str">
        <f t="shared" si="286"/>
        <v>High Balance</v>
      </c>
      <c r="P4590" t="str">
        <f t="shared" si="287"/>
        <v>Mid-term</v>
      </c>
    </row>
    <row r="4591" spans="1:16" x14ac:dyDescent="0.25">
      <c r="A4591">
        <v>2025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  <c r="M4591" t="str">
        <f t="shared" si="284"/>
        <v>30-45</v>
      </c>
      <c r="N4591" t="str">
        <f t="shared" si="285"/>
        <v>Medium</v>
      </c>
      <c r="O4591" t="str">
        <f t="shared" si="286"/>
        <v>Zero Balance</v>
      </c>
      <c r="P4591" t="str">
        <f t="shared" si="287"/>
        <v>Mid-term</v>
      </c>
    </row>
    <row r="4592" spans="1:16" x14ac:dyDescent="0.25">
      <c r="A4592">
        <v>2025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  <c r="M4592" t="str">
        <f t="shared" si="284"/>
        <v>60+</v>
      </c>
      <c r="N4592" t="str">
        <f t="shared" si="285"/>
        <v>Medium</v>
      </c>
      <c r="O4592" t="str">
        <f t="shared" si="286"/>
        <v>Low Balance</v>
      </c>
      <c r="P4592" t="str">
        <f t="shared" si="287"/>
        <v>Mid-term</v>
      </c>
    </row>
    <row r="4593" spans="1:16" x14ac:dyDescent="0.25">
      <c r="A4593">
        <v>2025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  <c r="M4593" t="str">
        <f t="shared" si="284"/>
        <v>30-45</v>
      </c>
      <c r="N4593" t="str">
        <f t="shared" si="285"/>
        <v>High</v>
      </c>
      <c r="O4593" t="str">
        <f t="shared" si="286"/>
        <v>Zero Balance</v>
      </c>
      <c r="P4593" t="str">
        <f t="shared" si="287"/>
        <v>New</v>
      </c>
    </row>
    <row r="4594" spans="1:16" x14ac:dyDescent="0.25">
      <c r="A4594">
        <v>2025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  <c r="M4594" t="str">
        <f t="shared" si="284"/>
        <v>30-45</v>
      </c>
      <c r="N4594" t="str">
        <f t="shared" si="285"/>
        <v>High</v>
      </c>
      <c r="O4594" t="str">
        <f t="shared" si="286"/>
        <v>High Balance</v>
      </c>
      <c r="P4594" t="str">
        <f t="shared" si="287"/>
        <v>Long-term</v>
      </c>
    </row>
    <row r="4595" spans="1:16" x14ac:dyDescent="0.25">
      <c r="A4595">
        <v>2025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  <c r="M4595" t="str">
        <f t="shared" si="284"/>
        <v>30-45</v>
      </c>
      <c r="N4595" t="str">
        <f t="shared" si="285"/>
        <v>Medium</v>
      </c>
      <c r="O4595" t="str">
        <f t="shared" si="286"/>
        <v>Zero Balance</v>
      </c>
      <c r="P4595" t="str">
        <f t="shared" si="287"/>
        <v>Mid-term</v>
      </c>
    </row>
    <row r="4596" spans="1:16" x14ac:dyDescent="0.25">
      <c r="A4596">
        <v>2025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  <c r="M4596" t="str">
        <f t="shared" si="284"/>
        <v>30-45</v>
      </c>
      <c r="N4596" t="str">
        <f t="shared" si="285"/>
        <v>Medium</v>
      </c>
      <c r="O4596" t="str">
        <f t="shared" si="286"/>
        <v>High Balance</v>
      </c>
      <c r="P4596" t="str">
        <f t="shared" si="287"/>
        <v>New</v>
      </c>
    </row>
    <row r="4597" spans="1:16" x14ac:dyDescent="0.25">
      <c r="A4597">
        <v>2025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  <c r="M4597" t="str">
        <f t="shared" si="284"/>
        <v>60+</v>
      </c>
      <c r="N4597" t="str">
        <f t="shared" si="285"/>
        <v>High</v>
      </c>
      <c r="O4597" t="str">
        <f t="shared" si="286"/>
        <v>High Balance</v>
      </c>
      <c r="P4597" t="str">
        <f t="shared" si="287"/>
        <v>New</v>
      </c>
    </row>
    <row r="4598" spans="1:16" x14ac:dyDescent="0.25">
      <c r="A4598">
        <v>2025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  <c r="M4598" t="str">
        <f t="shared" si="284"/>
        <v>30-45</v>
      </c>
      <c r="N4598" t="str">
        <f t="shared" si="285"/>
        <v>Medium</v>
      </c>
      <c r="O4598" t="str">
        <f t="shared" si="286"/>
        <v>High Balance</v>
      </c>
      <c r="P4598" t="str">
        <f t="shared" si="287"/>
        <v>Mid-term</v>
      </c>
    </row>
    <row r="4599" spans="1:16" x14ac:dyDescent="0.25">
      <c r="A4599">
        <v>2025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  <c r="M4599" t="str">
        <f t="shared" si="284"/>
        <v>46-60</v>
      </c>
      <c r="N4599" t="str">
        <f t="shared" si="285"/>
        <v>High</v>
      </c>
      <c r="O4599" t="str">
        <f t="shared" si="286"/>
        <v>High Balance</v>
      </c>
      <c r="P4599" t="str">
        <f t="shared" si="287"/>
        <v>Mid-term</v>
      </c>
    </row>
    <row r="4600" spans="1:16" x14ac:dyDescent="0.25">
      <c r="A4600">
        <v>2025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  <c r="M4600" t="str">
        <f t="shared" si="284"/>
        <v>46-60</v>
      </c>
      <c r="N4600" t="str">
        <f t="shared" si="285"/>
        <v>Medium</v>
      </c>
      <c r="O4600" t="str">
        <f t="shared" si="286"/>
        <v>High Balance</v>
      </c>
      <c r="P4600" t="str">
        <f t="shared" si="287"/>
        <v>Long-term</v>
      </c>
    </row>
    <row r="4601" spans="1:16" x14ac:dyDescent="0.25">
      <c r="A4601">
        <v>2025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  <c r="M4601" t="str">
        <f t="shared" si="284"/>
        <v>30-45</v>
      </c>
      <c r="N4601" t="str">
        <f t="shared" si="285"/>
        <v>Medium</v>
      </c>
      <c r="O4601" t="str">
        <f t="shared" si="286"/>
        <v>Zero Balance</v>
      </c>
      <c r="P4601" t="str">
        <f t="shared" si="287"/>
        <v>New</v>
      </c>
    </row>
    <row r="4602" spans="1:16" x14ac:dyDescent="0.25">
      <c r="A4602">
        <v>2025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  <c r="M4602" t="str">
        <f t="shared" si="284"/>
        <v>30-45</v>
      </c>
      <c r="N4602" t="str">
        <f t="shared" si="285"/>
        <v>Medium</v>
      </c>
      <c r="O4602" t="str">
        <f t="shared" si="286"/>
        <v>High Balance</v>
      </c>
      <c r="P4602" t="str">
        <f t="shared" si="287"/>
        <v>Mid-term</v>
      </c>
    </row>
    <row r="4603" spans="1:16" x14ac:dyDescent="0.25">
      <c r="A4603">
        <v>2025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  <c r="M4603" t="str">
        <f t="shared" si="284"/>
        <v>30-45</v>
      </c>
      <c r="N4603" t="str">
        <f t="shared" si="285"/>
        <v>Medium</v>
      </c>
      <c r="O4603" t="str">
        <f t="shared" si="286"/>
        <v>High Balance</v>
      </c>
      <c r="P4603" t="str">
        <f t="shared" si="287"/>
        <v>Long-term</v>
      </c>
    </row>
    <row r="4604" spans="1:16" x14ac:dyDescent="0.25">
      <c r="A4604">
        <v>2025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  <c r="M4604" t="str">
        <f t="shared" si="284"/>
        <v>30-45</v>
      </c>
      <c r="N4604" t="str">
        <f t="shared" si="285"/>
        <v>High</v>
      </c>
      <c r="O4604" t="str">
        <f t="shared" si="286"/>
        <v>High Balance</v>
      </c>
      <c r="P4604" t="str">
        <f t="shared" si="287"/>
        <v>New</v>
      </c>
    </row>
    <row r="4605" spans="1:16" x14ac:dyDescent="0.25">
      <c r="A4605">
        <v>2025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  <c r="M4605" t="str">
        <f t="shared" si="284"/>
        <v>&lt;30</v>
      </c>
      <c r="N4605" t="str">
        <f t="shared" si="285"/>
        <v>Medium</v>
      </c>
      <c r="O4605" t="str">
        <f t="shared" si="286"/>
        <v>High Balance</v>
      </c>
      <c r="P4605" t="str">
        <f t="shared" si="287"/>
        <v>New</v>
      </c>
    </row>
    <row r="4606" spans="1:16" x14ac:dyDescent="0.25">
      <c r="A4606">
        <v>2025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  <c r="M4606" t="str">
        <f t="shared" si="284"/>
        <v>&lt;30</v>
      </c>
      <c r="N4606" t="str">
        <f t="shared" si="285"/>
        <v>Medium</v>
      </c>
      <c r="O4606" t="str">
        <f t="shared" si="286"/>
        <v>Zero Balance</v>
      </c>
      <c r="P4606" t="str">
        <f t="shared" si="287"/>
        <v>Mid-term</v>
      </c>
    </row>
    <row r="4607" spans="1:16" x14ac:dyDescent="0.25">
      <c r="A4607">
        <v>2025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  <c r="M4607" t="str">
        <f t="shared" si="284"/>
        <v>30-45</v>
      </c>
      <c r="N4607" t="str">
        <f t="shared" si="285"/>
        <v>Medium</v>
      </c>
      <c r="O4607" t="str">
        <f t="shared" si="286"/>
        <v>Zero Balance</v>
      </c>
      <c r="P4607" t="str">
        <f t="shared" si="287"/>
        <v>Long-term</v>
      </c>
    </row>
    <row r="4608" spans="1:16" x14ac:dyDescent="0.25">
      <c r="A4608">
        <v>2025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  <c r="M4608" t="str">
        <f t="shared" si="284"/>
        <v>46-60</v>
      </c>
      <c r="N4608" t="str">
        <f t="shared" si="285"/>
        <v>High</v>
      </c>
      <c r="O4608" t="str">
        <f t="shared" si="286"/>
        <v>Zero Balance</v>
      </c>
      <c r="P4608" t="str">
        <f t="shared" si="287"/>
        <v>Long-term</v>
      </c>
    </row>
    <row r="4609" spans="1:16" x14ac:dyDescent="0.25">
      <c r="A4609">
        <v>2025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  <c r="M4609" t="str">
        <f t="shared" si="284"/>
        <v>46-60</v>
      </c>
      <c r="N4609" t="str">
        <f t="shared" si="285"/>
        <v>Medium</v>
      </c>
      <c r="O4609" t="str">
        <f t="shared" si="286"/>
        <v>Zero Balance</v>
      </c>
      <c r="P4609" t="str">
        <f t="shared" si="287"/>
        <v>New</v>
      </c>
    </row>
    <row r="4610" spans="1:16" x14ac:dyDescent="0.25">
      <c r="A4610">
        <v>2025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  <c r="M4610" t="str">
        <f t="shared" si="284"/>
        <v>30-45</v>
      </c>
      <c r="N4610" t="str">
        <f t="shared" si="285"/>
        <v>High</v>
      </c>
      <c r="O4610" t="str">
        <f t="shared" si="286"/>
        <v>High Balance</v>
      </c>
      <c r="P4610" t="str">
        <f t="shared" si="287"/>
        <v>Long-term</v>
      </c>
    </row>
    <row r="4611" spans="1:16" x14ac:dyDescent="0.25">
      <c r="A4611">
        <v>2025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  <c r="M4611" t="str">
        <f t="shared" ref="M4611:M4674" si="288">IF(E4611&lt;30,"&lt;30",IF(E4611&lt;=45,"30-45",IF(E4611&lt;=60,"46-60","60+")))</f>
        <v>30-45</v>
      </c>
      <c r="N4611" t="str">
        <f t="shared" ref="N4611:N4674" si="289">IF(B4611&lt;500,"Low",IF(B4611&lt;700,"Medium","High"))</f>
        <v>Medium</v>
      </c>
      <c r="O4611" t="str">
        <f t="shared" ref="O4611:O4674" si="290">IF(G4611=0,"Zero Balance",IF(G4611&lt;100000,"Low Balance","High Balance"))</f>
        <v>Zero Balance</v>
      </c>
      <c r="P4611" t="str">
        <f t="shared" ref="P4611:P4674" si="291">IF(F4611&lt;=3,"New",IF(F4611&lt;=7,"Mid-term","Long-term"))</f>
        <v>New</v>
      </c>
    </row>
    <row r="4612" spans="1:16" x14ac:dyDescent="0.25">
      <c r="A4612">
        <v>2025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  <c r="M4612" t="str">
        <f t="shared" si="288"/>
        <v>30-45</v>
      </c>
      <c r="N4612" t="str">
        <f t="shared" si="289"/>
        <v>Medium</v>
      </c>
      <c r="O4612" t="str">
        <f t="shared" si="290"/>
        <v>Low Balance</v>
      </c>
      <c r="P4612" t="str">
        <f t="shared" si="291"/>
        <v>Long-term</v>
      </c>
    </row>
    <row r="4613" spans="1:16" x14ac:dyDescent="0.25">
      <c r="A4613">
        <v>2025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  <c r="M4613" t="str">
        <f t="shared" si="288"/>
        <v>46-60</v>
      </c>
      <c r="N4613" t="str">
        <f t="shared" si="289"/>
        <v>Medium</v>
      </c>
      <c r="O4613" t="str">
        <f t="shared" si="290"/>
        <v>High Balance</v>
      </c>
      <c r="P4613" t="str">
        <f t="shared" si="291"/>
        <v>New</v>
      </c>
    </row>
    <row r="4614" spans="1:16" x14ac:dyDescent="0.25">
      <c r="A4614">
        <v>2025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  <c r="M4614" t="str">
        <f t="shared" si="288"/>
        <v>46-60</v>
      </c>
      <c r="N4614" t="str">
        <f t="shared" si="289"/>
        <v>High</v>
      </c>
      <c r="O4614" t="str">
        <f t="shared" si="290"/>
        <v>Low Balance</v>
      </c>
      <c r="P4614" t="str">
        <f t="shared" si="291"/>
        <v>Mid-term</v>
      </c>
    </row>
    <row r="4615" spans="1:16" x14ac:dyDescent="0.25">
      <c r="A4615">
        <v>2025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  <c r="M4615" t="str">
        <f t="shared" si="288"/>
        <v>46-60</v>
      </c>
      <c r="N4615" t="str">
        <f t="shared" si="289"/>
        <v>High</v>
      </c>
      <c r="O4615" t="str">
        <f t="shared" si="290"/>
        <v>Zero Balance</v>
      </c>
      <c r="P4615" t="str">
        <f t="shared" si="291"/>
        <v>Mid-term</v>
      </c>
    </row>
    <row r="4616" spans="1:16" x14ac:dyDescent="0.25">
      <c r="A4616">
        <v>2025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  <c r="M4616" t="str">
        <f t="shared" si="288"/>
        <v>30-45</v>
      </c>
      <c r="N4616" t="str">
        <f t="shared" si="289"/>
        <v>High</v>
      </c>
      <c r="O4616" t="str">
        <f t="shared" si="290"/>
        <v>Zero Balance</v>
      </c>
      <c r="P4616" t="str">
        <f t="shared" si="291"/>
        <v>New</v>
      </c>
    </row>
    <row r="4617" spans="1:16" x14ac:dyDescent="0.25">
      <c r="A4617">
        <v>2025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  <c r="M4617" t="str">
        <f t="shared" si="288"/>
        <v>30-45</v>
      </c>
      <c r="N4617" t="str">
        <f t="shared" si="289"/>
        <v>Medium</v>
      </c>
      <c r="O4617" t="str">
        <f t="shared" si="290"/>
        <v>Zero Balance</v>
      </c>
      <c r="P4617" t="str">
        <f t="shared" si="291"/>
        <v>New</v>
      </c>
    </row>
    <row r="4618" spans="1:16" x14ac:dyDescent="0.25">
      <c r="A4618">
        <v>2025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  <c r="M4618" t="str">
        <f t="shared" si="288"/>
        <v>30-45</v>
      </c>
      <c r="N4618" t="str">
        <f t="shared" si="289"/>
        <v>High</v>
      </c>
      <c r="O4618" t="str">
        <f t="shared" si="290"/>
        <v>High Balance</v>
      </c>
      <c r="P4618" t="str">
        <f t="shared" si="291"/>
        <v>New</v>
      </c>
    </row>
    <row r="4619" spans="1:16" x14ac:dyDescent="0.25">
      <c r="A4619">
        <v>2025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  <c r="M4619" t="str">
        <f t="shared" si="288"/>
        <v>&lt;30</v>
      </c>
      <c r="N4619" t="str">
        <f t="shared" si="289"/>
        <v>High</v>
      </c>
      <c r="O4619" t="str">
        <f t="shared" si="290"/>
        <v>Zero Balance</v>
      </c>
      <c r="P4619" t="str">
        <f t="shared" si="291"/>
        <v>Long-term</v>
      </c>
    </row>
    <row r="4620" spans="1:16" x14ac:dyDescent="0.25">
      <c r="A4620">
        <v>2025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  <c r="M4620" t="str">
        <f t="shared" si="288"/>
        <v>30-45</v>
      </c>
      <c r="N4620" t="str">
        <f t="shared" si="289"/>
        <v>Medium</v>
      </c>
      <c r="O4620" t="str">
        <f t="shared" si="290"/>
        <v>Zero Balance</v>
      </c>
      <c r="P4620" t="str">
        <f t="shared" si="291"/>
        <v>New</v>
      </c>
    </row>
    <row r="4621" spans="1:16" x14ac:dyDescent="0.25">
      <c r="A4621">
        <v>2025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  <c r="M4621" t="str">
        <f t="shared" si="288"/>
        <v>46-60</v>
      </c>
      <c r="N4621" t="str">
        <f t="shared" si="289"/>
        <v>High</v>
      </c>
      <c r="O4621" t="str">
        <f t="shared" si="290"/>
        <v>High Balance</v>
      </c>
      <c r="P4621" t="str">
        <f t="shared" si="291"/>
        <v>New</v>
      </c>
    </row>
    <row r="4622" spans="1:16" x14ac:dyDescent="0.25">
      <c r="A4622">
        <v>2025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  <c r="M4622" t="str">
        <f t="shared" si="288"/>
        <v>30-45</v>
      </c>
      <c r="N4622" t="str">
        <f t="shared" si="289"/>
        <v>Medium</v>
      </c>
      <c r="O4622" t="str">
        <f t="shared" si="290"/>
        <v>High Balance</v>
      </c>
      <c r="P4622" t="str">
        <f t="shared" si="291"/>
        <v>New</v>
      </c>
    </row>
    <row r="4623" spans="1:16" x14ac:dyDescent="0.25">
      <c r="A4623">
        <v>2025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  <c r="M4623" t="str">
        <f t="shared" si="288"/>
        <v>30-45</v>
      </c>
      <c r="N4623" t="str">
        <f t="shared" si="289"/>
        <v>Medium</v>
      </c>
      <c r="O4623" t="str">
        <f t="shared" si="290"/>
        <v>High Balance</v>
      </c>
      <c r="P4623" t="str">
        <f t="shared" si="291"/>
        <v>New</v>
      </c>
    </row>
    <row r="4624" spans="1:16" x14ac:dyDescent="0.25">
      <c r="A4624">
        <v>2025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  <c r="M4624" t="str">
        <f t="shared" si="288"/>
        <v>46-60</v>
      </c>
      <c r="N4624" t="str">
        <f t="shared" si="289"/>
        <v>Medium</v>
      </c>
      <c r="O4624" t="str">
        <f t="shared" si="290"/>
        <v>High Balance</v>
      </c>
      <c r="P4624" t="str">
        <f t="shared" si="291"/>
        <v>Mid-term</v>
      </c>
    </row>
    <row r="4625" spans="1:16" x14ac:dyDescent="0.25">
      <c r="A4625">
        <v>2025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  <c r="M4625" t="str">
        <f t="shared" si="288"/>
        <v>&lt;30</v>
      </c>
      <c r="N4625" t="str">
        <f t="shared" si="289"/>
        <v>High</v>
      </c>
      <c r="O4625" t="str">
        <f t="shared" si="290"/>
        <v>High Balance</v>
      </c>
      <c r="P4625" t="str">
        <f t="shared" si="291"/>
        <v>New</v>
      </c>
    </row>
    <row r="4626" spans="1:16" x14ac:dyDescent="0.25">
      <c r="A4626">
        <v>2025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  <c r="M4626" t="str">
        <f t="shared" si="288"/>
        <v>46-60</v>
      </c>
      <c r="N4626" t="str">
        <f t="shared" si="289"/>
        <v>Medium</v>
      </c>
      <c r="O4626" t="str">
        <f t="shared" si="290"/>
        <v>High Balance</v>
      </c>
      <c r="P4626" t="str">
        <f t="shared" si="291"/>
        <v>New</v>
      </c>
    </row>
    <row r="4627" spans="1:16" x14ac:dyDescent="0.25">
      <c r="A4627">
        <v>2025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  <c r="M4627" t="str">
        <f t="shared" si="288"/>
        <v>30-45</v>
      </c>
      <c r="N4627" t="str">
        <f t="shared" si="289"/>
        <v>Medium</v>
      </c>
      <c r="O4627" t="str">
        <f t="shared" si="290"/>
        <v>High Balance</v>
      </c>
      <c r="P4627" t="str">
        <f t="shared" si="291"/>
        <v>Long-term</v>
      </c>
    </row>
    <row r="4628" spans="1:16" x14ac:dyDescent="0.25">
      <c r="A4628">
        <v>2025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  <c r="M4628" t="str">
        <f t="shared" si="288"/>
        <v>30-45</v>
      </c>
      <c r="N4628" t="str">
        <f t="shared" si="289"/>
        <v>Medium</v>
      </c>
      <c r="O4628" t="str">
        <f t="shared" si="290"/>
        <v>Zero Balance</v>
      </c>
      <c r="P4628" t="str">
        <f t="shared" si="291"/>
        <v>New</v>
      </c>
    </row>
    <row r="4629" spans="1:16" x14ac:dyDescent="0.25">
      <c r="A4629">
        <v>2025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  <c r="M4629" t="str">
        <f t="shared" si="288"/>
        <v>30-45</v>
      </c>
      <c r="N4629" t="str">
        <f t="shared" si="289"/>
        <v>Medium</v>
      </c>
      <c r="O4629" t="str">
        <f t="shared" si="290"/>
        <v>Zero Balance</v>
      </c>
      <c r="P4629" t="str">
        <f t="shared" si="291"/>
        <v>Mid-term</v>
      </c>
    </row>
    <row r="4630" spans="1:16" x14ac:dyDescent="0.25">
      <c r="A4630">
        <v>2025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  <c r="M4630" t="str">
        <f t="shared" si="288"/>
        <v>30-45</v>
      </c>
      <c r="N4630" t="str">
        <f t="shared" si="289"/>
        <v>Medium</v>
      </c>
      <c r="O4630" t="str">
        <f t="shared" si="290"/>
        <v>High Balance</v>
      </c>
      <c r="P4630" t="str">
        <f t="shared" si="291"/>
        <v>New</v>
      </c>
    </row>
    <row r="4631" spans="1:16" x14ac:dyDescent="0.25">
      <c r="A4631">
        <v>2025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  <c r="M4631" t="str">
        <f t="shared" si="288"/>
        <v>46-60</v>
      </c>
      <c r="N4631" t="str">
        <f t="shared" si="289"/>
        <v>High</v>
      </c>
      <c r="O4631" t="str">
        <f t="shared" si="290"/>
        <v>Low Balance</v>
      </c>
      <c r="P4631" t="str">
        <f t="shared" si="291"/>
        <v>Long-term</v>
      </c>
    </row>
    <row r="4632" spans="1:16" x14ac:dyDescent="0.25">
      <c r="A4632">
        <v>2025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  <c r="M4632" t="str">
        <f t="shared" si="288"/>
        <v>30-45</v>
      </c>
      <c r="N4632" t="str">
        <f t="shared" si="289"/>
        <v>Low</v>
      </c>
      <c r="O4632" t="str">
        <f t="shared" si="290"/>
        <v>High Balance</v>
      </c>
      <c r="P4632" t="str">
        <f t="shared" si="291"/>
        <v>New</v>
      </c>
    </row>
    <row r="4633" spans="1:16" x14ac:dyDescent="0.25">
      <c r="A4633">
        <v>2025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  <c r="M4633" t="str">
        <f t="shared" si="288"/>
        <v>30-45</v>
      </c>
      <c r="N4633" t="str">
        <f t="shared" si="289"/>
        <v>Medium</v>
      </c>
      <c r="O4633" t="str">
        <f t="shared" si="290"/>
        <v>High Balance</v>
      </c>
      <c r="P4633" t="str">
        <f t="shared" si="291"/>
        <v>Long-term</v>
      </c>
    </row>
    <row r="4634" spans="1:16" x14ac:dyDescent="0.25">
      <c r="A4634">
        <v>2025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  <c r="M4634" t="str">
        <f t="shared" si="288"/>
        <v>30-45</v>
      </c>
      <c r="N4634" t="str">
        <f t="shared" si="289"/>
        <v>High</v>
      </c>
      <c r="O4634" t="str">
        <f t="shared" si="290"/>
        <v>Zero Balance</v>
      </c>
      <c r="P4634" t="str">
        <f t="shared" si="291"/>
        <v>Mid-term</v>
      </c>
    </row>
    <row r="4635" spans="1:16" x14ac:dyDescent="0.25">
      <c r="A4635">
        <v>2025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  <c r="M4635" t="str">
        <f t="shared" si="288"/>
        <v>46-60</v>
      </c>
      <c r="N4635" t="str">
        <f t="shared" si="289"/>
        <v>Low</v>
      </c>
      <c r="O4635" t="str">
        <f t="shared" si="290"/>
        <v>High Balance</v>
      </c>
      <c r="P4635" t="str">
        <f t="shared" si="291"/>
        <v>Long-term</v>
      </c>
    </row>
    <row r="4636" spans="1:16" x14ac:dyDescent="0.25">
      <c r="A4636">
        <v>2025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  <c r="M4636" t="str">
        <f t="shared" si="288"/>
        <v>30-45</v>
      </c>
      <c r="N4636" t="str">
        <f t="shared" si="289"/>
        <v>Medium</v>
      </c>
      <c r="O4636" t="str">
        <f t="shared" si="290"/>
        <v>Zero Balance</v>
      </c>
      <c r="P4636" t="str">
        <f t="shared" si="291"/>
        <v>New</v>
      </c>
    </row>
    <row r="4637" spans="1:16" x14ac:dyDescent="0.25">
      <c r="A4637">
        <v>2025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  <c r="M4637" t="str">
        <f t="shared" si="288"/>
        <v>30-45</v>
      </c>
      <c r="N4637" t="str">
        <f t="shared" si="289"/>
        <v>Medium</v>
      </c>
      <c r="O4637" t="str">
        <f t="shared" si="290"/>
        <v>High Balance</v>
      </c>
      <c r="P4637" t="str">
        <f t="shared" si="291"/>
        <v>New</v>
      </c>
    </row>
    <row r="4638" spans="1:16" x14ac:dyDescent="0.25">
      <c r="A4638">
        <v>2025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  <c r="M4638" t="str">
        <f t="shared" si="288"/>
        <v>30-45</v>
      </c>
      <c r="N4638" t="str">
        <f t="shared" si="289"/>
        <v>Medium</v>
      </c>
      <c r="O4638" t="str">
        <f t="shared" si="290"/>
        <v>Low Balance</v>
      </c>
      <c r="P4638" t="str">
        <f t="shared" si="291"/>
        <v>New</v>
      </c>
    </row>
    <row r="4639" spans="1:16" x14ac:dyDescent="0.25">
      <c r="A4639">
        <v>2025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  <c r="M4639" t="str">
        <f t="shared" si="288"/>
        <v>30-45</v>
      </c>
      <c r="N4639" t="str">
        <f t="shared" si="289"/>
        <v>High</v>
      </c>
      <c r="O4639" t="str">
        <f t="shared" si="290"/>
        <v>High Balance</v>
      </c>
      <c r="P4639" t="str">
        <f t="shared" si="291"/>
        <v>New</v>
      </c>
    </row>
    <row r="4640" spans="1:16" x14ac:dyDescent="0.25">
      <c r="A4640">
        <v>2025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  <c r="M4640" t="str">
        <f t="shared" si="288"/>
        <v>46-60</v>
      </c>
      <c r="N4640" t="str">
        <f t="shared" si="289"/>
        <v>Medium</v>
      </c>
      <c r="O4640" t="str">
        <f t="shared" si="290"/>
        <v>High Balance</v>
      </c>
      <c r="P4640" t="str">
        <f t="shared" si="291"/>
        <v>Mid-term</v>
      </c>
    </row>
    <row r="4641" spans="1:16" x14ac:dyDescent="0.25">
      <c r="A4641">
        <v>2025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  <c r="M4641" t="str">
        <f t="shared" si="288"/>
        <v>&lt;30</v>
      </c>
      <c r="N4641" t="str">
        <f t="shared" si="289"/>
        <v>High</v>
      </c>
      <c r="O4641" t="str">
        <f t="shared" si="290"/>
        <v>Low Balance</v>
      </c>
      <c r="P4641" t="str">
        <f t="shared" si="291"/>
        <v>Long-term</v>
      </c>
    </row>
    <row r="4642" spans="1:16" x14ac:dyDescent="0.25">
      <c r="A4642">
        <v>2025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  <c r="M4642" t="str">
        <f t="shared" si="288"/>
        <v>30-45</v>
      </c>
      <c r="N4642" t="str">
        <f t="shared" si="289"/>
        <v>Medium</v>
      </c>
      <c r="O4642" t="str">
        <f t="shared" si="290"/>
        <v>Zero Balance</v>
      </c>
      <c r="P4642" t="str">
        <f t="shared" si="291"/>
        <v>Long-term</v>
      </c>
    </row>
    <row r="4643" spans="1:16" x14ac:dyDescent="0.25">
      <c r="A4643">
        <v>2025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  <c r="M4643" t="str">
        <f t="shared" si="288"/>
        <v>30-45</v>
      </c>
      <c r="N4643" t="str">
        <f t="shared" si="289"/>
        <v>Low</v>
      </c>
      <c r="O4643" t="str">
        <f t="shared" si="290"/>
        <v>High Balance</v>
      </c>
      <c r="P4643" t="str">
        <f t="shared" si="291"/>
        <v>New</v>
      </c>
    </row>
    <row r="4644" spans="1:16" x14ac:dyDescent="0.25">
      <c r="A4644">
        <v>2025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  <c r="M4644" t="str">
        <f t="shared" si="288"/>
        <v>&lt;30</v>
      </c>
      <c r="N4644" t="str">
        <f t="shared" si="289"/>
        <v>Low</v>
      </c>
      <c r="O4644" t="str">
        <f t="shared" si="290"/>
        <v>High Balance</v>
      </c>
      <c r="P4644" t="str">
        <f t="shared" si="291"/>
        <v>New</v>
      </c>
    </row>
    <row r="4645" spans="1:16" x14ac:dyDescent="0.25">
      <c r="A4645">
        <v>2025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  <c r="M4645" t="str">
        <f t="shared" si="288"/>
        <v>46-60</v>
      </c>
      <c r="N4645" t="str">
        <f t="shared" si="289"/>
        <v>Medium</v>
      </c>
      <c r="O4645" t="str">
        <f t="shared" si="290"/>
        <v>High Balance</v>
      </c>
      <c r="P4645" t="str">
        <f t="shared" si="291"/>
        <v>New</v>
      </c>
    </row>
    <row r="4646" spans="1:16" x14ac:dyDescent="0.25">
      <c r="A4646">
        <v>2025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  <c r="M4646" t="str">
        <f t="shared" si="288"/>
        <v>60+</v>
      </c>
      <c r="N4646" t="str">
        <f t="shared" si="289"/>
        <v>High</v>
      </c>
      <c r="O4646" t="str">
        <f t="shared" si="290"/>
        <v>Zero Balance</v>
      </c>
      <c r="P4646" t="str">
        <f t="shared" si="291"/>
        <v>Mid-term</v>
      </c>
    </row>
    <row r="4647" spans="1:16" x14ac:dyDescent="0.25">
      <c r="A4647">
        <v>2025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  <c r="M4647" t="str">
        <f t="shared" si="288"/>
        <v>30-45</v>
      </c>
      <c r="N4647" t="str">
        <f t="shared" si="289"/>
        <v>Medium</v>
      </c>
      <c r="O4647" t="str">
        <f t="shared" si="290"/>
        <v>Zero Balance</v>
      </c>
      <c r="P4647" t="str">
        <f t="shared" si="291"/>
        <v>New</v>
      </c>
    </row>
    <row r="4648" spans="1:16" x14ac:dyDescent="0.25">
      <c r="A4648">
        <v>2025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  <c r="M4648" t="str">
        <f t="shared" si="288"/>
        <v>&lt;30</v>
      </c>
      <c r="N4648" t="str">
        <f t="shared" si="289"/>
        <v>High</v>
      </c>
      <c r="O4648" t="str">
        <f t="shared" si="290"/>
        <v>Low Balance</v>
      </c>
      <c r="P4648" t="str">
        <f t="shared" si="291"/>
        <v>Long-term</v>
      </c>
    </row>
    <row r="4649" spans="1:16" x14ac:dyDescent="0.25">
      <c r="A4649">
        <v>2025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  <c r="M4649" t="str">
        <f t="shared" si="288"/>
        <v>&lt;30</v>
      </c>
      <c r="N4649" t="str">
        <f t="shared" si="289"/>
        <v>High</v>
      </c>
      <c r="O4649" t="str">
        <f t="shared" si="290"/>
        <v>Zero Balance</v>
      </c>
      <c r="P4649" t="str">
        <f t="shared" si="291"/>
        <v>Mid-term</v>
      </c>
    </row>
    <row r="4650" spans="1:16" x14ac:dyDescent="0.25">
      <c r="A4650">
        <v>2025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  <c r="M4650" t="str">
        <f t="shared" si="288"/>
        <v>46-60</v>
      </c>
      <c r="N4650" t="str">
        <f t="shared" si="289"/>
        <v>Medium</v>
      </c>
      <c r="O4650" t="str">
        <f t="shared" si="290"/>
        <v>Zero Balance</v>
      </c>
      <c r="P4650" t="str">
        <f t="shared" si="291"/>
        <v>Mid-term</v>
      </c>
    </row>
    <row r="4651" spans="1:16" x14ac:dyDescent="0.25">
      <c r="A4651">
        <v>2025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  <c r="M4651" t="str">
        <f t="shared" si="288"/>
        <v>30-45</v>
      </c>
      <c r="N4651" t="str">
        <f t="shared" si="289"/>
        <v>Medium</v>
      </c>
      <c r="O4651" t="str">
        <f t="shared" si="290"/>
        <v>High Balance</v>
      </c>
      <c r="P4651" t="str">
        <f t="shared" si="291"/>
        <v>New</v>
      </c>
    </row>
    <row r="4652" spans="1:16" x14ac:dyDescent="0.25">
      <c r="A4652">
        <v>2025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  <c r="M4652" t="str">
        <f t="shared" si="288"/>
        <v>30-45</v>
      </c>
      <c r="N4652" t="str">
        <f t="shared" si="289"/>
        <v>Medium</v>
      </c>
      <c r="O4652" t="str">
        <f t="shared" si="290"/>
        <v>High Balance</v>
      </c>
      <c r="P4652" t="str">
        <f t="shared" si="291"/>
        <v>New</v>
      </c>
    </row>
    <row r="4653" spans="1:16" x14ac:dyDescent="0.25">
      <c r="A4653">
        <v>2025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  <c r="M4653" t="str">
        <f t="shared" si="288"/>
        <v>&lt;30</v>
      </c>
      <c r="N4653" t="str">
        <f t="shared" si="289"/>
        <v>Medium</v>
      </c>
      <c r="O4653" t="str">
        <f t="shared" si="290"/>
        <v>High Balance</v>
      </c>
      <c r="P4653" t="str">
        <f t="shared" si="291"/>
        <v>Mid-term</v>
      </c>
    </row>
    <row r="4654" spans="1:16" x14ac:dyDescent="0.25">
      <c r="A4654">
        <v>2025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  <c r="M4654" t="str">
        <f t="shared" si="288"/>
        <v>30-45</v>
      </c>
      <c r="N4654" t="str">
        <f t="shared" si="289"/>
        <v>High</v>
      </c>
      <c r="O4654" t="str">
        <f t="shared" si="290"/>
        <v>Low Balance</v>
      </c>
      <c r="P4654" t="str">
        <f t="shared" si="291"/>
        <v>New</v>
      </c>
    </row>
    <row r="4655" spans="1:16" x14ac:dyDescent="0.25">
      <c r="A4655">
        <v>2025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  <c r="M4655" t="str">
        <f t="shared" si="288"/>
        <v>46-60</v>
      </c>
      <c r="N4655" t="str">
        <f t="shared" si="289"/>
        <v>Low</v>
      </c>
      <c r="O4655" t="str">
        <f t="shared" si="290"/>
        <v>Zero Balance</v>
      </c>
      <c r="P4655" t="str">
        <f t="shared" si="291"/>
        <v>New</v>
      </c>
    </row>
    <row r="4656" spans="1:16" x14ac:dyDescent="0.25">
      <c r="A4656">
        <v>2025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  <c r="M4656" t="str">
        <f t="shared" si="288"/>
        <v>30-45</v>
      </c>
      <c r="N4656" t="str">
        <f t="shared" si="289"/>
        <v>Medium</v>
      </c>
      <c r="O4656" t="str">
        <f t="shared" si="290"/>
        <v>High Balance</v>
      </c>
      <c r="P4656" t="str">
        <f t="shared" si="291"/>
        <v>Mid-term</v>
      </c>
    </row>
    <row r="4657" spans="1:16" x14ac:dyDescent="0.25">
      <c r="A4657">
        <v>2025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  <c r="M4657" t="str">
        <f t="shared" si="288"/>
        <v>30-45</v>
      </c>
      <c r="N4657" t="str">
        <f t="shared" si="289"/>
        <v>Medium</v>
      </c>
      <c r="O4657" t="str">
        <f t="shared" si="290"/>
        <v>Zero Balance</v>
      </c>
      <c r="P4657" t="str">
        <f t="shared" si="291"/>
        <v>Long-term</v>
      </c>
    </row>
    <row r="4658" spans="1:16" x14ac:dyDescent="0.25">
      <c r="A4658">
        <v>2025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  <c r="M4658" t="str">
        <f t="shared" si="288"/>
        <v>30-45</v>
      </c>
      <c r="N4658" t="str">
        <f t="shared" si="289"/>
        <v>High</v>
      </c>
      <c r="O4658" t="str">
        <f t="shared" si="290"/>
        <v>High Balance</v>
      </c>
      <c r="P4658" t="str">
        <f t="shared" si="291"/>
        <v>Long-term</v>
      </c>
    </row>
    <row r="4659" spans="1:16" x14ac:dyDescent="0.25">
      <c r="A4659">
        <v>2025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  <c r="M4659" t="str">
        <f t="shared" si="288"/>
        <v>46-60</v>
      </c>
      <c r="N4659" t="str">
        <f t="shared" si="289"/>
        <v>Medium</v>
      </c>
      <c r="O4659" t="str">
        <f t="shared" si="290"/>
        <v>Zero Balance</v>
      </c>
      <c r="P4659" t="str">
        <f t="shared" si="291"/>
        <v>Mid-term</v>
      </c>
    </row>
    <row r="4660" spans="1:16" x14ac:dyDescent="0.25">
      <c r="A4660">
        <v>2025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  <c r="M4660" t="str">
        <f t="shared" si="288"/>
        <v>&lt;30</v>
      </c>
      <c r="N4660" t="str">
        <f t="shared" si="289"/>
        <v>High</v>
      </c>
      <c r="O4660" t="str">
        <f t="shared" si="290"/>
        <v>High Balance</v>
      </c>
      <c r="P4660" t="str">
        <f t="shared" si="291"/>
        <v>Long-term</v>
      </c>
    </row>
    <row r="4661" spans="1:16" x14ac:dyDescent="0.25">
      <c r="A4661">
        <v>2025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  <c r="M4661" t="str">
        <f t="shared" si="288"/>
        <v>46-60</v>
      </c>
      <c r="N4661" t="str">
        <f t="shared" si="289"/>
        <v>Low</v>
      </c>
      <c r="O4661" t="str">
        <f t="shared" si="290"/>
        <v>High Balance</v>
      </c>
      <c r="P4661" t="str">
        <f t="shared" si="291"/>
        <v>New</v>
      </c>
    </row>
    <row r="4662" spans="1:16" x14ac:dyDescent="0.25">
      <c r="A4662">
        <v>2025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  <c r="M4662" t="str">
        <f t="shared" si="288"/>
        <v>30-45</v>
      </c>
      <c r="N4662" t="str">
        <f t="shared" si="289"/>
        <v>Medium</v>
      </c>
      <c r="O4662" t="str">
        <f t="shared" si="290"/>
        <v>Zero Balance</v>
      </c>
      <c r="P4662" t="str">
        <f t="shared" si="291"/>
        <v>New</v>
      </c>
    </row>
    <row r="4663" spans="1:16" x14ac:dyDescent="0.25">
      <c r="A4663">
        <v>2025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  <c r="M4663" t="str">
        <f t="shared" si="288"/>
        <v>30-45</v>
      </c>
      <c r="N4663" t="str">
        <f t="shared" si="289"/>
        <v>High</v>
      </c>
      <c r="O4663" t="str">
        <f t="shared" si="290"/>
        <v>Zero Balance</v>
      </c>
      <c r="P4663" t="str">
        <f t="shared" si="291"/>
        <v>New</v>
      </c>
    </row>
    <row r="4664" spans="1:16" x14ac:dyDescent="0.25">
      <c r="A4664">
        <v>2025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  <c r="M4664" t="str">
        <f t="shared" si="288"/>
        <v>46-60</v>
      </c>
      <c r="N4664" t="str">
        <f t="shared" si="289"/>
        <v>Medium</v>
      </c>
      <c r="O4664" t="str">
        <f t="shared" si="290"/>
        <v>Zero Balance</v>
      </c>
      <c r="P4664" t="str">
        <f t="shared" si="291"/>
        <v>Mid-term</v>
      </c>
    </row>
    <row r="4665" spans="1:16" x14ac:dyDescent="0.25">
      <c r="A4665">
        <v>2025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  <c r="M4665" t="str">
        <f t="shared" si="288"/>
        <v>30-45</v>
      </c>
      <c r="N4665" t="str">
        <f t="shared" si="289"/>
        <v>Medium</v>
      </c>
      <c r="O4665" t="str">
        <f t="shared" si="290"/>
        <v>Low Balance</v>
      </c>
      <c r="P4665" t="str">
        <f t="shared" si="291"/>
        <v>New</v>
      </c>
    </row>
    <row r="4666" spans="1:16" x14ac:dyDescent="0.25">
      <c r="A4666">
        <v>2025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  <c r="M4666" t="str">
        <f t="shared" si="288"/>
        <v>&lt;30</v>
      </c>
      <c r="N4666" t="str">
        <f t="shared" si="289"/>
        <v>Medium</v>
      </c>
      <c r="O4666" t="str">
        <f t="shared" si="290"/>
        <v>Zero Balance</v>
      </c>
      <c r="P4666" t="str">
        <f t="shared" si="291"/>
        <v>Long-term</v>
      </c>
    </row>
    <row r="4667" spans="1:16" x14ac:dyDescent="0.25">
      <c r="A4667">
        <v>2025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  <c r="M4667" t="str">
        <f t="shared" si="288"/>
        <v>30-45</v>
      </c>
      <c r="N4667" t="str">
        <f t="shared" si="289"/>
        <v>High</v>
      </c>
      <c r="O4667" t="str">
        <f t="shared" si="290"/>
        <v>Zero Balance</v>
      </c>
      <c r="P4667" t="str">
        <f t="shared" si="291"/>
        <v>New</v>
      </c>
    </row>
    <row r="4668" spans="1:16" x14ac:dyDescent="0.25">
      <c r="A4668">
        <v>2025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  <c r="M4668" t="str">
        <f t="shared" si="288"/>
        <v>30-45</v>
      </c>
      <c r="N4668" t="str">
        <f t="shared" si="289"/>
        <v>High</v>
      </c>
      <c r="O4668" t="str">
        <f t="shared" si="290"/>
        <v>High Balance</v>
      </c>
      <c r="P4668" t="str">
        <f t="shared" si="291"/>
        <v>Mid-term</v>
      </c>
    </row>
    <row r="4669" spans="1:16" x14ac:dyDescent="0.25">
      <c r="A4669">
        <v>2025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  <c r="M4669" t="str">
        <f t="shared" si="288"/>
        <v>46-60</v>
      </c>
      <c r="N4669" t="str">
        <f t="shared" si="289"/>
        <v>High</v>
      </c>
      <c r="O4669" t="str">
        <f t="shared" si="290"/>
        <v>High Balance</v>
      </c>
      <c r="P4669" t="str">
        <f t="shared" si="291"/>
        <v>New</v>
      </c>
    </row>
    <row r="4670" spans="1:16" x14ac:dyDescent="0.25">
      <c r="A4670">
        <v>2025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  <c r="M4670" t="str">
        <f t="shared" si="288"/>
        <v>30-45</v>
      </c>
      <c r="N4670" t="str">
        <f t="shared" si="289"/>
        <v>Low</v>
      </c>
      <c r="O4670" t="str">
        <f t="shared" si="290"/>
        <v>High Balance</v>
      </c>
      <c r="P4670" t="str">
        <f t="shared" si="291"/>
        <v>Mid-term</v>
      </c>
    </row>
    <row r="4671" spans="1:16" x14ac:dyDescent="0.25">
      <c r="A4671">
        <v>2025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  <c r="M4671" t="str">
        <f t="shared" si="288"/>
        <v>46-60</v>
      </c>
      <c r="N4671" t="str">
        <f t="shared" si="289"/>
        <v>Low</v>
      </c>
      <c r="O4671" t="str">
        <f t="shared" si="290"/>
        <v>High Balance</v>
      </c>
      <c r="P4671" t="str">
        <f t="shared" si="291"/>
        <v>New</v>
      </c>
    </row>
    <row r="4672" spans="1:16" x14ac:dyDescent="0.25">
      <c r="A4672">
        <v>2025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  <c r="M4672" t="str">
        <f t="shared" si="288"/>
        <v>30-45</v>
      </c>
      <c r="N4672" t="str">
        <f t="shared" si="289"/>
        <v>Medium</v>
      </c>
      <c r="O4672" t="str">
        <f t="shared" si="290"/>
        <v>High Balance</v>
      </c>
      <c r="P4672" t="str">
        <f t="shared" si="291"/>
        <v>New</v>
      </c>
    </row>
    <row r="4673" spans="1:16" x14ac:dyDescent="0.25">
      <c r="A4673">
        <v>2025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  <c r="M4673" t="str">
        <f t="shared" si="288"/>
        <v>30-45</v>
      </c>
      <c r="N4673" t="str">
        <f t="shared" si="289"/>
        <v>Medium</v>
      </c>
      <c r="O4673" t="str">
        <f t="shared" si="290"/>
        <v>High Balance</v>
      </c>
      <c r="P4673" t="str">
        <f t="shared" si="291"/>
        <v>Mid-term</v>
      </c>
    </row>
    <row r="4674" spans="1:16" x14ac:dyDescent="0.25">
      <c r="A4674">
        <v>2025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  <c r="M4674" t="str">
        <f t="shared" si="288"/>
        <v>&lt;30</v>
      </c>
      <c r="N4674" t="str">
        <f t="shared" si="289"/>
        <v>High</v>
      </c>
      <c r="O4674" t="str">
        <f t="shared" si="290"/>
        <v>High Balance</v>
      </c>
      <c r="P4674" t="str">
        <f t="shared" si="291"/>
        <v>New</v>
      </c>
    </row>
    <row r="4675" spans="1:16" x14ac:dyDescent="0.25">
      <c r="A4675">
        <v>2025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  <c r="M4675" t="str">
        <f t="shared" ref="M4675:M4738" si="292">IF(E4675&lt;30,"&lt;30",IF(E4675&lt;=45,"30-45",IF(E4675&lt;=60,"46-60","60+")))</f>
        <v>30-45</v>
      </c>
      <c r="N4675" t="str">
        <f t="shared" ref="N4675:N4738" si="293">IF(B4675&lt;500,"Low",IF(B4675&lt;700,"Medium","High"))</f>
        <v>Medium</v>
      </c>
      <c r="O4675" t="str">
        <f t="shared" ref="O4675:O4738" si="294">IF(G4675=0,"Zero Balance",IF(G4675&lt;100000,"Low Balance","High Balance"))</f>
        <v>Zero Balance</v>
      </c>
      <c r="P4675" t="str">
        <f t="shared" ref="P4675:P4738" si="295">IF(F4675&lt;=3,"New",IF(F4675&lt;=7,"Mid-term","Long-term"))</f>
        <v>New</v>
      </c>
    </row>
    <row r="4676" spans="1:16" x14ac:dyDescent="0.25">
      <c r="A4676">
        <v>2025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  <c r="M4676" t="str">
        <f t="shared" si="292"/>
        <v>30-45</v>
      </c>
      <c r="N4676" t="str">
        <f t="shared" si="293"/>
        <v>High</v>
      </c>
      <c r="O4676" t="str">
        <f t="shared" si="294"/>
        <v>High Balance</v>
      </c>
      <c r="P4676" t="str">
        <f t="shared" si="295"/>
        <v>New</v>
      </c>
    </row>
    <row r="4677" spans="1:16" x14ac:dyDescent="0.25">
      <c r="A4677">
        <v>2025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  <c r="M4677" t="str">
        <f t="shared" si="292"/>
        <v>30-45</v>
      </c>
      <c r="N4677" t="str">
        <f t="shared" si="293"/>
        <v>High</v>
      </c>
      <c r="O4677" t="str">
        <f t="shared" si="294"/>
        <v>Low Balance</v>
      </c>
      <c r="P4677" t="str">
        <f t="shared" si="295"/>
        <v>Long-term</v>
      </c>
    </row>
    <row r="4678" spans="1:16" x14ac:dyDescent="0.25">
      <c r="A4678">
        <v>2025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  <c r="M4678" t="str">
        <f t="shared" si="292"/>
        <v>30-45</v>
      </c>
      <c r="N4678" t="str">
        <f t="shared" si="293"/>
        <v>Medium</v>
      </c>
      <c r="O4678" t="str">
        <f t="shared" si="294"/>
        <v>High Balance</v>
      </c>
      <c r="P4678" t="str">
        <f t="shared" si="295"/>
        <v>New</v>
      </c>
    </row>
    <row r="4679" spans="1:16" x14ac:dyDescent="0.25">
      <c r="A4679">
        <v>2025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  <c r="M4679" t="str">
        <f t="shared" si="292"/>
        <v>46-60</v>
      </c>
      <c r="N4679" t="str">
        <f t="shared" si="293"/>
        <v>High</v>
      </c>
      <c r="O4679" t="str">
        <f t="shared" si="294"/>
        <v>High Balance</v>
      </c>
      <c r="P4679" t="str">
        <f t="shared" si="295"/>
        <v>Long-term</v>
      </c>
    </row>
    <row r="4680" spans="1:16" x14ac:dyDescent="0.25">
      <c r="A4680">
        <v>2025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  <c r="M4680" t="str">
        <f t="shared" si="292"/>
        <v>60+</v>
      </c>
      <c r="N4680" t="str">
        <f t="shared" si="293"/>
        <v>Medium</v>
      </c>
      <c r="O4680" t="str">
        <f t="shared" si="294"/>
        <v>High Balance</v>
      </c>
      <c r="P4680" t="str">
        <f t="shared" si="295"/>
        <v>Long-term</v>
      </c>
    </row>
    <row r="4681" spans="1:16" x14ac:dyDescent="0.25">
      <c r="A4681">
        <v>2025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  <c r="M4681" t="str">
        <f t="shared" si="292"/>
        <v>30-45</v>
      </c>
      <c r="N4681" t="str">
        <f t="shared" si="293"/>
        <v>High</v>
      </c>
      <c r="O4681" t="str">
        <f t="shared" si="294"/>
        <v>Zero Balance</v>
      </c>
      <c r="P4681" t="str">
        <f t="shared" si="295"/>
        <v>New</v>
      </c>
    </row>
    <row r="4682" spans="1:16" x14ac:dyDescent="0.25">
      <c r="A4682">
        <v>2025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  <c r="M4682" t="str">
        <f t="shared" si="292"/>
        <v>46-60</v>
      </c>
      <c r="N4682" t="str">
        <f t="shared" si="293"/>
        <v>Medium</v>
      </c>
      <c r="O4682" t="str">
        <f t="shared" si="294"/>
        <v>Low Balance</v>
      </c>
      <c r="P4682" t="str">
        <f t="shared" si="295"/>
        <v>New</v>
      </c>
    </row>
    <row r="4683" spans="1:16" x14ac:dyDescent="0.25">
      <c r="A4683">
        <v>2025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  <c r="M4683" t="str">
        <f t="shared" si="292"/>
        <v>30-45</v>
      </c>
      <c r="N4683" t="str">
        <f t="shared" si="293"/>
        <v>High</v>
      </c>
      <c r="O4683" t="str">
        <f t="shared" si="294"/>
        <v>High Balance</v>
      </c>
      <c r="P4683" t="str">
        <f t="shared" si="295"/>
        <v>New</v>
      </c>
    </row>
    <row r="4684" spans="1:16" x14ac:dyDescent="0.25">
      <c r="A4684">
        <v>2025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  <c r="M4684" t="str">
        <f t="shared" si="292"/>
        <v>&lt;30</v>
      </c>
      <c r="N4684" t="str">
        <f t="shared" si="293"/>
        <v>High</v>
      </c>
      <c r="O4684" t="str">
        <f t="shared" si="294"/>
        <v>High Balance</v>
      </c>
      <c r="P4684" t="str">
        <f t="shared" si="295"/>
        <v>Mid-term</v>
      </c>
    </row>
    <row r="4685" spans="1:16" x14ac:dyDescent="0.25">
      <c r="A4685">
        <v>2025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  <c r="M4685" t="str">
        <f t="shared" si="292"/>
        <v>30-45</v>
      </c>
      <c r="N4685" t="str">
        <f t="shared" si="293"/>
        <v>Medium</v>
      </c>
      <c r="O4685" t="str">
        <f t="shared" si="294"/>
        <v>High Balance</v>
      </c>
      <c r="P4685" t="str">
        <f t="shared" si="295"/>
        <v>New</v>
      </c>
    </row>
    <row r="4686" spans="1:16" x14ac:dyDescent="0.25">
      <c r="A4686">
        <v>2025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  <c r="M4686" t="str">
        <f t="shared" si="292"/>
        <v>30-45</v>
      </c>
      <c r="N4686" t="str">
        <f t="shared" si="293"/>
        <v>Medium</v>
      </c>
      <c r="O4686" t="str">
        <f t="shared" si="294"/>
        <v>Zero Balance</v>
      </c>
      <c r="P4686" t="str">
        <f t="shared" si="295"/>
        <v>New</v>
      </c>
    </row>
    <row r="4687" spans="1:16" x14ac:dyDescent="0.25">
      <c r="A4687">
        <v>2025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  <c r="M4687" t="str">
        <f t="shared" si="292"/>
        <v>30-45</v>
      </c>
      <c r="N4687" t="str">
        <f t="shared" si="293"/>
        <v>Medium</v>
      </c>
      <c r="O4687" t="str">
        <f t="shared" si="294"/>
        <v>High Balance</v>
      </c>
      <c r="P4687" t="str">
        <f t="shared" si="295"/>
        <v>New</v>
      </c>
    </row>
    <row r="4688" spans="1:16" x14ac:dyDescent="0.25">
      <c r="A4688">
        <v>2025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  <c r="M4688" t="str">
        <f t="shared" si="292"/>
        <v>46-60</v>
      </c>
      <c r="N4688" t="str">
        <f t="shared" si="293"/>
        <v>Medium</v>
      </c>
      <c r="O4688" t="str">
        <f t="shared" si="294"/>
        <v>High Balance</v>
      </c>
      <c r="P4688" t="str">
        <f t="shared" si="295"/>
        <v>New</v>
      </c>
    </row>
    <row r="4689" spans="1:16" x14ac:dyDescent="0.25">
      <c r="A4689">
        <v>2025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  <c r="M4689" t="str">
        <f t="shared" si="292"/>
        <v>46-60</v>
      </c>
      <c r="N4689" t="str">
        <f t="shared" si="293"/>
        <v>High</v>
      </c>
      <c r="O4689" t="str">
        <f t="shared" si="294"/>
        <v>Low Balance</v>
      </c>
      <c r="P4689" t="str">
        <f t="shared" si="295"/>
        <v>New</v>
      </c>
    </row>
    <row r="4690" spans="1:16" x14ac:dyDescent="0.25">
      <c r="A4690">
        <v>2025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  <c r="M4690" t="str">
        <f t="shared" si="292"/>
        <v>30-45</v>
      </c>
      <c r="N4690" t="str">
        <f t="shared" si="293"/>
        <v>Medium</v>
      </c>
      <c r="O4690" t="str">
        <f t="shared" si="294"/>
        <v>Zero Balance</v>
      </c>
      <c r="P4690" t="str">
        <f t="shared" si="295"/>
        <v>Mid-term</v>
      </c>
    </row>
    <row r="4691" spans="1:16" x14ac:dyDescent="0.25">
      <c r="A4691">
        <v>2025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  <c r="M4691" t="str">
        <f t="shared" si="292"/>
        <v>30-45</v>
      </c>
      <c r="N4691" t="str">
        <f t="shared" si="293"/>
        <v>High</v>
      </c>
      <c r="O4691" t="str">
        <f t="shared" si="294"/>
        <v>High Balance</v>
      </c>
      <c r="P4691" t="str">
        <f t="shared" si="295"/>
        <v>New</v>
      </c>
    </row>
    <row r="4692" spans="1:16" x14ac:dyDescent="0.25">
      <c r="A4692">
        <v>2025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  <c r="M4692" t="str">
        <f t="shared" si="292"/>
        <v>&lt;30</v>
      </c>
      <c r="N4692" t="str">
        <f t="shared" si="293"/>
        <v>Low</v>
      </c>
      <c r="O4692" t="str">
        <f t="shared" si="294"/>
        <v>High Balance</v>
      </c>
      <c r="P4692" t="str">
        <f t="shared" si="295"/>
        <v>Mid-term</v>
      </c>
    </row>
    <row r="4693" spans="1:16" x14ac:dyDescent="0.25">
      <c r="A4693">
        <v>2025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  <c r="M4693" t="str">
        <f t="shared" si="292"/>
        <v>30-45</v>
      </c>
      <c r="N4693" t="str">
        <f t="shared" si="293"/>
        <v>Medium</v>
      </c>
      <c r="O4693" t="str">
        <f t="shared" si="294"/>
        <v>Zero Balance</v>
      </c>
      <c r="P4693" t="str">
        <f t="shared" si="295"/>
        <v>Mid-term</v>
      </c>
    </row>
    <row r="4694" spans="1:16" x14ac:dyDescent="0.25">
      <c r="A4694">
        <v>2025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  <c r="M4694" t="str">
        <f t="shared" si="292"/>
        <v>30-45</v>
      </c>
      <c r="N4694" t="str">
        <f t="shared" si="293"/>
        <v>Medium</v>
      </c>
      <c r="O4694" t="str">
        <f t="shared" si="294"/>
        <v>High Balance</v>
      </c>
      <c r="P4694" t="str">
        <f t="shared" si="295"/>
        <v>Long-term</v>
      </c>
    </row>
    <row r="4695" spans="1:16" x14ac:dyDescent="0.25">
      <c r="A4695">
        <v>2025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  <c r="M4695" t="str">
        <f t="shared" si="292"/>
        <v>30-45</v>
      </c>
      <c r="N4695" t="str">
        <f t="shared" si="293"/>
        <v>Medium</v>
      </c>
      <c r="O4695" t="str">
        <f t="shared" si="294"/>
        <v>High Balance</v>
      </c>
      <c r="P4695" t="str">
        <f t="shared" si="295"/>
        <v>Mid-term</v>
      </c>
    </row>
    <row r="4696" spans="1:16" x14ac:dyDescent="0.25">
      <c r="A4696">
        <v>2025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  <c r="M4696" t="str">
        <f t="shared" si="292"/>
        <v>30-45</v>
      </c>
      <c r="N4696" t="str">
        <f t="shared" si="293"/>
        <v>Medium</v>
      </c>
      <c r="O4696" t="str">
        <f t="shared" si="294"/>
        <v>High Balance</v>
      </c>
      <c r="P4696" t="str">
        <f t="shared" si="295"/>
        <v>Mid-term</v>
      </c>
    </row>
    <row r="4697" spans="1:16" x14ac:dyDescent="0.25">
      <c r="A4697">
        <v>2025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  <c r="M4697" t="str">
        <f t="shared" si="292"/>
        <v>30-45</v>
      </c>
      <c r="N4697" t="str">
        <f t="shared" si="293"/>
        <v>Medium</v>
      </c>
      <c r="O4697" t="str">
        <f t="shared" si="294"/>
        <v>High Balance</v>
      </c>
      <c r="P4697" t="str">
        <f t="shared" si="295"/>
        <v>New</v>
      </c>
    </row>
    <row r="4698" spans="1:16" x14ac:dyDescent="0.25">
      <c r="A4698">
        <v>2025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  <c r="M4698" t="str">
        <f t="shared" si="292"/>
        <v>30-45</v>
      </c>
      <c r="N4698" t="str">
        <f t="shared" si="293"/>
        <v>Medium</v>
      </c>
      <c r="O4698" t="str">
        <f t="shared" si="294"/>
        <v>Zero Balance</v>
      </c>
      <c r="P4698" t="str">
        <f t="shared" si="295"/>
        <v>New</v>
      </c>
    </row>
    <row r="4699" spans="1:16" x14ac:dyDescent="0.25">
      <c r="A4699">
        <v>2025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  <c r="M4699" t="str">
        <f t="shared" si="292"/>
        <v>46-60</v>
      </c>
      <c r="N4699" t="str">
        <f t="shared" si="293"/>
        <v>Medium</v>
      </c>
      <c r="O4699" t="str">
        <f t="shared" si="294"/>
        <v>High Balance</v>
      </c>
      <c r="P4699" t="str">
        <f t="shared" si="295"/>
        <v>Mid-term</v>
      </c>
    </row>
    <row r="4700" spans="1:16" x14ac:dyDescent="0.25">
      <c r="A4700">
        <v>2025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  <c r="M4700" t="str">
        <f t="shared" si="292"/>
        <v>60+</v>
      </c>
      <c r="N4700" t="str">
        <f t="shared" si="293"/>
        <v>High</v>
      </c>
      <c r="O4700" t="str">
        <f t="shared" si="294"/>
        <v>Zero Balance</v>
      </c>
      <c r="P4700" t="str">
        <f t="shared" si="295"/>
        <v>New</v>
      </c>
    </row>
    <row r="4701" spans="1:16" x14ac:dyDescent="0.25">
      <c r="A4701">
        <v>2025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  <c r="M4701" t="str">
        <f t="shared" si="292"/>
        <v>46-60</v>
      </c>
      <c r="N4701" t="str">
        <f t="shared" si="293"/>
        <v>High</v>
      </c>
      <c r="O4701" t="str">
        <f t="shared" si="294"/>
        <v>Low Balance</v>
      </c>
      <c r="P4701" t="str">
        <f t="shared" si="295"/>
        <v>Mid-term</v>
      </c>
    </row>
    <row r="4702" spans="1:16" x14ac:dyDescent="0.25">
      <c r="A4702">
        <v>2025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  <c r="M4702" t="str">
        <f t="shared" si="292"/>
        <v>30-45</v>
      </c>
      <c r="N4702" t="str">
        <f t="shared" si="293"/>
        <v>High</v>
      </c>
      <c r="O4702" t="str">
        <f t="shared" si="294"/>
        <v>Zero Balance</v>
      </c>
      <c r="P4702" t="str">
        <f t="shared" si="295"/>
        <v>New</v>
      </c>
    </row>
    <row r="4703" spans="1:16" x14ac:dyDescent="0.25">
      <c r="A4703">
        <v>2025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  <c r="M4703" t="str">
        <f t="shared" si="292"/>
        <v>&lt;30</v>
      </c>
      <c r="N4703" t="str">
        <f t="shared" si="293"/>
        <v>Medium</v>
      </c>
      <c r="O4703" t="str">
        <f t="shared" si="294"/>
        <v>High Balance</v>
      </c>
      <c r="P4703" t="str">
        <f t="shared" si="295"/>
        <v>Long-term</v>
      </c>
    </row>
    <row r="4704" spans="1:16" x14ac:dyDescent="0.25">
      <c r="A4704">
        <v>2025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  <c r="M4704" t="str">
        <f t="shared" si="292"/>
        <v>30-45</v>
      </c>
      <c r="N4704" t="str">
        <f t="shared" si="293"/>
        <v>Medium</v>
      </c>
      <c r="O4704" t="str">
        <f t="shared" si="294"/>
        <v>Low Balance</v>
      </c>
      <c r="P4704" t="str">
        <f t="shared" si="295"/>
        <v>New</v>
      </c>
    </row>
    <row r="4705" spans="1:16" x14ac:dyDescent="0.25">
      <c r="A4705">
        <v>2025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  <c r="M4705" t="str">
        <f t="shared" si="292"/>
        <v>30-45</v>
      </c>
      <c r="N4705" t="str">
        <f t="shared" si="293"/>
        <v>Medium</v>
      </c>
      <c r="O4705" t="str">
        <f t="shared" si="294"/>
        <v>Zero Balance</v>
      </c>
      <c r="P4705" t="str">
        <f t="shared" si="295"/>
        <v>Long-term</v>
      </c>
    </row>
    <row r="4706" spans="1:16" x14ac:dyDescent="0.25">
      <c r="A4706">
        <v>2025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  <c r="M4706" t="str">
        <f t="shared" si="292"/>
        <v>30-45</v>
      </c>
      <c r="N4706" t="str">
        <f t="shared" si="293"/>
        <v>Medium</v>
      </c>
      <c r="O4706" t="str">
        <f t="shared" si="294"/>
        <v>Zero Balance</v>
      </c>
      <c r="P4706" t="str">
        <f t="shared" si="295"/>
        <v>New</v>
      </c>
    </row>
    <row r="4707" spans="1:16" x14ac:dyDescent="0.25">
      <c r="A4707">
        <v>2025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  <c r="M4707" t="str">
        <f t="shared" si="292"/>
        <v>&lt;30</v>
      </c>
      <c r="N4707" t="str">
        <f t="shared" si="293"/>
        <v>Medium</v>
      </c>
      <c r="O4707" t="str">
        <f t="shared" si="294"/>
        <v>High Balance</v>
      </c>
      <c r="P4707" t="str">
        <f t="shared" si="295"/>
        <v>Long-term</v>
      </c>
    </row>
    <row r="4708" spans="1:16" x14ac:dyDescent="0.25">
      <c r="A4708">
        <v>2025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  <c r="M4708" t="str">
        <f t="shared" si="292"/>
        <v>30-45</v>
      </c>
      <c r="N4708" t="str">
        <f t="shared" si="293"/>
        <v>High</v>
      </c>
      <c r="O4708" t="str">
        <f t="shared" si="294"/>
        <v>High Balance</v>
      </c>
      <c r="P4708" t="str">
        <f t="shared" si="295"/>
        <v>Mid-term</v>
      </c>
    </row>
    <row r="4709" spans="1:16" x14ac:dyDescent="0.25">
      <c r="A4709">
        <v>2025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  <c r="M4709" t="str">
        <f t="shared" si="292"/>
        <v>&lt;30</v>
      </c>
      <c r="N4709" t="str">
        <f t="shared" si="293"/>
        <v>Medium</v>
      </c>
      <c r="O4709" t="str">
        <f t="shared" si="294"/>
        <v>Zero Balance</v>
      </c>
      <c r="P4709" t="str">
        <f t="shared" si="295"/>
        <v>Long-term</v>
      </c>
    </row>
    <row r="4710" spans="1:16" x14ac:dyDescent="0.25">
      <c r="A4710">
        <v>2025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  <c r="M4710" t="str">
        <f t="shared" si="292"/>
        <v>30-45</v>
      </c>
      <c r="N4710" t="str">
        <f t="shared" si="293"/>
        <v>Medium</v>
      </c>
      <c r="O4710" t="str">
        <f t="shared" si="294"/>
        <v>Zero Balance</v>
      </c>
      <c r="P4710" t="str">
        <f t="shared" si="295"/>
        <v>Mid-term</v>
      </c>
    </row>
    <row r="4711" spans="1:16" x14ac:dyDescent="0.25">
      <c r="A4711">
        <v>2025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  <c r="M4711" t="str">
        <f t="shared" si="292"/>
        <v>30-45</v>
      </c>
      <c r="N4711" t="str">
        <f t="shared" si="293"/>
        <v>Medium</v>
      </c>
      <c r="O4711" t="str">
        <f t="shared" si="294"/>
        <v>Zero Balance</v>
      </c>
      <c r="P4711" t="str">
        <f t="shared" si="295"/>
        <v>New</v>
      </c>
    </row>
    <row r="4712" spans="1:16" x14ac:dyDescent="0.25">
      <c r="A4712">
        <v>2025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  <c r="M4712" t="str">
        <f t="shared" si="292"/>
        <v>30-45</v>
      </c>
      <c r="N4712" t="str">
        <f t="shared" si="293"/>
        <v>Medium</v>
      </c>
      <c r="O4712" t="str">
        <f t="shared" si="294"/>
        <v>High Balance</v>
      </c>
      <c r="P4712" t="str">
        <f t="shared" si="295"/>
        <v>New</v>
      </c>
    </row>
    <row r="4713" spans="1:16" x14ac:dyDescent="0.25">
      <c r="A4713">
        <v>2025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  <c r="M4713" t="str">
        <f t="shared" si="292"/>
        <v>30-45</v>
      </c>
      <c r="N4713" t="str">
        <f t="shared" si="293"/>
        <v>High</v>
      </c>
      <c r="O4713" t="str">
        <f t="shared" si="294"/>
        <v>Low Balance</v>
      </c>
      <c r="P4713" t="str">
        <f t="shared" si="295"/>
        <v>New</v>
      </c>
    </row>
    <row r="4714" spans="1:16" x14ac:dyDescent="0.25">
      <c r="A4714">
        <v>2025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  <c r="M4714" t="str">
        <f t="shared" si="292"/>
        <v>46-60</v>
      </c>
      <c r="N4714" t="str">
        <f t="shared" si="293"/>
        <v>Low</v>
      </c>
      <c r="O4714" t="str">
        <f t="shared" si="294"/>
        <v>Zero Balance</v>
      </c>
      <c r="P4714" t="str">
        <f t="shared" si="295"/>
        <v>New</v>
      </c>
    </row>
    <row r="4715" spans="1:16" x14ac:dyDescent="0.25">
      <c r="A4715">
        <v>2025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  <c r="M4715" t="str">
        <f t="shared" si="292"/>
        <v>30-45</v>
      </c>
      <c r="N4715" t="str">
        <f t="shared" si="293"/>
        <v>High</v>
      </c>
      <c r="O4715" t="str">
        <f t="shared" si="294"/>
        <v>High Balance</v>
      </c>
      <c r="P4715" t="str">
        <f t="shared" si="295"/>
        <v>New</v>
      </c>
    </row>
    <row r="4716" spans="1:16" x14ac:dyDescent="0.25">
      <c r="A4716">
        <v>2025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  <c r="M4716" t="str">
        <f t="shared" si="292"/>
        <v>&lt;30</v>
      </c>
      <c r="N4716" t="str">
        <f t="shared" si="293"/>
        <v>Medium</v>
      </c>
      <c r="O4716" t="str">
        <f t="shared" si="294"/>
        <v>Low Balance</v>
      </c>
      <c r="P4716" t="str">
        <f t="shared" si="295"/>
        <v>Long-term</v>
      </c>
    </row>
    <row r="4717" spans="1:16" x14ac:dyDescent="0.25">
      <c r="A4717">
        <v>2025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  <c r="M4717" t="str">
        <f t="shared" si="292"/>
        <v>30-45</v>
      </c>
      <c r="N4717" t="str">
        <f t="shared" si="293"/>
        <v>High</v>
      </c>
      <c r="O4717" t="str">
        <f t="shared" si="294"/>
        <v>Zero Balance</v>
      </c>
      <c r="P4717" t="str">
        <f t="shared" si="295"/>
        <v>New</v>
      </c>
    </row>
    <row r="4718" spans="1:16" x14ac:dyDescent="0.25">
      <c r="A4718">
        <v>2025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  <c r="M4718" t="str">
        <f t="shared" si="292"/>
        <v>&lt;30</v>
      </c>
      <c r="N4718" t="str">
        <f t="shared" si="293"/>
        <v>Medium</v>
      </c>
      <c r="O4718" t="str">
        <f t="shared" si="294"/>
        <v>Zero Balance</v>
      </c>
      <c r="P4718" t="str">
        <f t="shared" si="295"/>
        <v>Long-term</v>
      </c>
    </row>
    <row r="4719" spans="1:16" x14ac:dyDescent="0.25">
      <c r="A4719">
        <v>2025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  <c r="M4719" t="str">
        <f t="shared" si="292"/>
        <v>30-45</v>
      </c>
      <c r="N4719" t="str">
        <f t="shared" si="293"/>
        <v>Medium</v>
      </c>
      <c r="O4719" t="str">
        <f t="shared" si="294"/>
        <v>High Balance</v>
      </c>
      <c r="P4719" t="str">
        <f t="shared" si="295"/>
        <v>Long-term</v>
      </c>
    </row>
    <row r="4720" spans="1:16" x14ac:dyDescent="0.25">
      <c r="A4720">
        <v>2025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  <c r="M4720" t="str">
        <f t="shared" si="292"/>
        <v>&lt;30</v>
      </c>
      <c r="N4720" t="str">
        <f t="shared" si="293"/>
        <v>Medium</v>
      </c>
      <c r="O4720" t="str">
        <f t="shared" si="294"/>
        <v>High Balance</v>
      </c>
      <c r="P4720" t="str">
        <f t="shared" si="295"/>
        <v>Long-term</v>
      </c>
    </row>
    <row r="4721" spans="1:16" x14ac:dyDescent="0.25">
      <c r="A4721">
        <v>2025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  <c r="M4721" t="str">
        <f t="shared" si="292"/>
        <v>30-45</v>
      </c>
      <c r="N4721" t="str">
        <f t="shared" si="293"/>
        <v>Medium</v>
      </c>
      <c r="O4721" t="str">
        <f t="shared" si="294"/>
        <v>High Balance</v>
      </c>
      <c r="P4721" t="str">
        <f t="shared" si="295"/>
        <v>New</v>
      </c>
    </row>
    <row r="4722" spans="1:16" x14ac:dyDescent="0.25">
      <c r="A4722">
        <v>2025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  <c r="M4722" t="str">
        <f t="shared" si="292"/>
        <v>30-45</v>
      </c>
      <c r="N4722" t="str">
        <f t="shared" si="293"/>
        <v>Medium</v>
      </c>
      <c r="O4722" t="str">
        <f t="shared" si="294"/>
        <v>High Balance</v>
      </c>
      <c r="P4722" t="str">
        <f t="shared" si="295"/>
        <v>New</v>
      </c>
    </row>
    <row r="4723" spans="1:16" x14ac:dyDescent="0.25">
      <c r="A4723">
        <v>2025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  <c r="M4723" t="str">
        <f t="shared" si="292"/>
        <v>30-45</v>
      </c>
      <c r="N4723" t="str">
        <f t="shared" si="293"/>
        <v>High</v>
      </c>
      <c r="O4723" t="str">
        <f t="shared" si="294"/>
        <v>High Balance</v>
      </c>
      <c r="P4723" t="str">
        <f t="shared" si="295"/>
        <v>Mid-term</v>
      </c>
    </row>
    <row r="4724" spans="1:16" x14ac:dyDescent="0.25">
      <c r="A4724">
        <v>2025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  <c r="M4724" t="str">
        <f t="shared" si="292"/>
        <v>30-45</v>
      </c>
      <c r="N4724" t="str">
        <f t="shared" si="293"/>
        <v>Medium</v>
      </c>
      <c r="O4724" t="str">
        <f t="shared" si="294"/>
        <v>Zero Balance</v>
      </c>
      <c r="P4724" t="str">
        <f t="shared" si="295"/>
        <v>New</v>
      </c>
    </row>
    <row r="4725" spans="1:16" x14ac:dyDescent="0.25">
      <c r="A4725">
        <v>2025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  <c r="M4725" t="str">
        <f t="shared" si="292"/>
        <v>30-45</v>
      </c>
      <c r="N4725" t="str">
        <f t="shared" si="293"/>
        <v>Medium</v>
      </c>
      <c r="O4725" t="str">
        <f t="shared" si="294"/>
        <v>Low Balance</v>
      </c>
      <c r="P4725" t="str">
        <f t="shared" si="295"/>
        <v>Long-term</v>
      </c>
    </row>
    <row r="4726" spans="1:16" x14ac:dyDescent="0.25">
      <c r="A4726">
        <v>2025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  <c r="M4726" t="str">
        <f t="shared" si="292"/>
        <v>46-60</v>
      </c>
      <c r="N4726" t="str">
        <f t="shared" si="293"/>
        <v>Medium</v>
      </c>
      <c r="O4726" t="str">
        <f t="shared" si="294"/>
        <v>Low Balance</v>
      </c>
      <c r="P4726" t="str">
        <f t="shared" si="295"/>
        <v>Mid-term</v>
      </c>
    </row>
    <row r="4727" spans="1:16" x14ac:dyDescent="0.25">
      <c r="A4727">
        <v>2025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  <c r="M4727" t="str">
        <f t="shared" si="292"/>
        <v>30-45</v>
      </c>
      <c r="N4727" t="str">
        <f t="shared" si="293"/>
        <v>Medium</v>
      </c>
      <c r="O4727" t="str">
        <f t="shared" si="294"/>
        <v>High Balance</v>
      </c>
      <c r="P4727" t="str">
        <f t="shared" si="295"/>
        <v>Mid-term</v>
      </c>
    </row>
    <row r="4728" spans="1:16" x14ac:dyDescent="0.25">
      <c r="A4728">
        <v>2025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  <c r="M4728" t="str">
        <f t="shared" si="292"/>
        <v>46-60</v>
      </c>
      <c r="N4728" t="str">
        <f t="shared" si="293"/>
        <v>Medium</v>
      </c>
      <c r="O4728" t="str">
        <f t="shared" si="294"/>
        <v>Low Balance</v>
      </c>
      <c r="P4728" t="str">
        <f t="shared" si="295"/>
        <v>Mid-term</v>
      </c>
    </row>
    <row r="4729" spans="1:16" x14ac:dyDescent="0.25">
      <c r="A4729">
        <v>2025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  <c r="M4729" t="str">
        <f t="shared" si="292"/>
        <v>&lt;30</v>
      </c>
      <c r="N4729" t="str">
        <f t="shared" si="293"/>
        <v>Medium</v>
      </c>
      <c r="O4729" t="str">
        <f t="shared" si="294"/>
        <v>Zero Balance</v>
      </c>
      <c r="P4729" t="str">
        <f t="shared" si="295"/>
        <v>New</v>
      </c>
    </row>
    <row r="4730" spans="1:16" x14ac:dyDescent="0.25">
      <c r="A4730">
        <v>2025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  <c r="M4730" t="str">
        <f t="shared" si="292"/>
        <v>30-45</v>
      </c>
      <c r="N4730" t="str">
        <f t="shared" si="293"/>
        <v>Medium</v>
      </c>
      <c r="O4730" t="str">
        <f t="shared" si="294"/>
        <v>High Balance</v>
      </c>
      <c r="P4730" t="str">
        <f t="shared" si="295"/>
        <v>Mid-term</v>
      </c>
    </row>
    <row r="4731" spans="1:16" x14ac:dyDescent="0.25">
      <c r="A4731">
        <v>2025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  <c r="M4731" t="str">
        <f t="shared" si="292"/>
        <v>30-45</v>
      </c>
      <c r="N4731" t="str">
        <f t="shared" si="293"/>
        <v>Medium</v>
      </c>
      <c r="O4731" t="str">
        <f t="shared" si="294"/>
        <v>High Balance</v>
      </c>
      <c r="P4731" t="str">
        <f t="shared" si="295"/>
        <v>Mid-term</v>
      </c>
    </row>
    <row r="4732" spans="1:16" x14ac:dyDescent="0.25">
      <c r="A4732">
        <v>2025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  <c r="M4732" t="str">
        <f t="shared" si="292"/>
        <v>30-45</v>
      </c>
      <c r="N4732" t="str">
        <f t="shared" si="293"/>
        <v>Medium</v>
      </c>
      <c r="O4732" t="str">
        <f t="shared" si="294"/>
        <v>Zero Balance</v>
      </c>
      <c r="P4732" t="str">
        <f t="shared" si="295"/>
        <v>New</v>
      </c>
    </row>
    <row r="4733" spans="1:16" x14ac:dyDescent="0.25">
      <c r="A4733">
        <v>2025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  <c r="M4733" t="str">
        <f t="shared" si="292"/>
        <v>30-45</v>
      </c>
      <c r="N4733" t="str">
        <f t="shared" si="293"/>
        <v>High</v>
      </c>
      <c r="O4733" t="str">
        <f t="shared" si="294"/>
        <v>Zero Balance</v>
      </c>
      <c r="P4733" t="str">
        <f t="shared" si="295"/>
        <v>New</v>
      </c>
    </row>
    <row r="4734" spans="1:16" x14ac:dyDescent="0.25">
      <c r="A4734">
        <v>2025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  <c r="M4734" t="str">
        <f t="shared" si="292"/>
        <v>46-60</v>
      </c>
      <c r="N4734" t="str">
        <f t="shared" si="293"/>
        <v>Medium</v>
      </c>
      <c r="O4734" t="str">
        <f t="shared" si="294"/>
        <v>High Balance</v>
      </c>
      <c r="P4734" t="str">
        <f t="shared" si="295"/>
        <v>New</v>
      </c>
    </row>
    <row r="4735" spans="1:16" x14ac:dyDescent="0.25">
      <c r="A4735">
        <v>2025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  <c r="M4735" t="str">
        <f t="shared" si="292"/>
        <v>30-45</v>
      </c>
      <c r="N4735" t="str">
        <f t="shared" si="293"/>
        <v>High</v>
      </c>
      <c r="O4735" t="str">
        <f t="shared" si="294"/>
        <v>Zero Balance</v>
      </c>
      <c r="P4735" t="str">
        <f t="shared" si="295"/>
        <v>New</v>
      </c>
    </row>
    <row r="4736" spans="1:16" x14ac:dyDescent="0.25">
      <c r="A4736">
        <v>2025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  <c r="M4736" t="str">
        <f t="shared" si="292"/>
        <v>46-60</v>
      </c>
      <c r="N4736" t="str">
        <f t="shared" si="293"/>
        <v>Medium</v>
      </c>
      <c r="O4736" t="str">
        <f t="shared" si="294"/>
        <v>Zero Balance</v>
      </c>
      <c r="P4736" t="str">
        <f t="shared" si="295"/>
        <v>Mid-term</v>
      </c>
    </row>
    <row r="4737" spans="1:16" x14ac:dyDescent="0.25">
      <c r="A4737">
        <v>2025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  <c r="M4737" t="str">
        <f t="shared" si="292"/>
        <v>30-45</v>
      </c>
      <c r="N4737" t="str">
        <f t="shared" si="293"/>
        <v>High</v>
      </c>
      <c r="O4737" t="str">
        <f t="shared" si="294"/>
        <v>High Balance</v>
      </c>
      <c r="P4737" t="str">
        <f t="shared" si="295"/>
        <v>New</v>
      </c>
    </row>
    <row r="4738" spans="1:16" x14ac:dyDescent="0.25">
      <c r="A4738">
        <v>2025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  <c r="M4738" t="str">
        <f t="shared" si="292"/>
        <v>30-45</v>
      </c>
      <c r="N4738" t="str">
        <f t="shared" si="293"/>
        <v>Medium</v>
      </c>
      <c r="O4738" t="str">
        <f t="shared" si="294"/>
        <v>Zero Balance</v>
      </c>
      <c r="P4738" t="str">
        <f t="shared" si="295"/>
        <v>New</v>
      </c>
    </row>
    <row r="4739" spans="1:16" x14ac:dyDescent="0.25">
      <c r="A4739">
        <v>2025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  <c r="M4739" t="str">
        <f t="shared" ref="M4739:M4802" si="296">IF(E4739&lt;30,"&lt;30",IF(E4739&lt;=45,"30-45",IF(E4739&lt;=60,"46-60","60+")))</f>
        <v>30-45</v>
      </c>
      <c r="N4739" t="str">
        <f t="shared" ref="N4739:N4802" si="297">IF(B4739&lt;500,"Low",IF(B4739&lt;700,"Medium","High"))</f>
        <v>High</v>
      </c>
      <c r="O4739" t="str">
        <f t="shared" ref="O4739:O4802" si="298">IF(G4739=0,"Zero Balance",IF(G4739&lt;100000,"Low Balance","High Balance"))</f>
        <v>High Balance</v>
      </c>
      <c r="P4739" t="str">
        <f t="shared" ref="P4739:P4802" si="299">IF(F4739&lt;=3,"New",IF(F4739&lt;=7,"Mid-term","Long-term"))</f>
        <v>Mid-term</v>
      </c>
    </row>
    <row r="4740" spans="1:16" x14ac:dyDescent="0.25">
      <c r="A4740">
        <v>2025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  <c r="M4740" t="str">
        <f t="shared" si="296"/>
        <v>30-45</v>
      </c>
      <c r="N4740" t="str">
        <f t="shared" si="297"/>
        <v>High</v>
      </c>
      <c r="O4740" t="str">
        <f t="shared" si="298"/>
        <v>High Balance</v>
      </c>
      <c r="P4740" t="str">
        <f t="shared" si="299"/>
        <v>New</v>
      </c>
    </row>
    <row r="4741" spans="1:16" x14ac:dyDescent="0.25">
      <c r="A4741">
        <v>2025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  <c r="M4741" t="str">
        <f t="shared" si="296"/>
        <v>30-45</v>
      </c>
      <c r="N4741" t="str">
        <f t="shared" si="297"/>
        <v>Medium</v>
      </c>
      <c r="O4741" t="str">
        <f t="shared" si="298"/>
        <v>Zero Balance</v>
      </c>
      <c r="P4741" t="str">
        <f t="shared" si="299"/>
        <v>Mid-term</v>
      </c>
    </row>
    <row r="4742" spans="1:16" x14ac:dyDescent="0.25">
      <c r="A4742">
        <v>2025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  <c r="M4742" t="str">
        <f t="shared" si="296"/>
        <v>30-45</v>
      </c>
      <c r="N4742" t="str">
        <f t="shared" si="297"/>
        <v>Medium</v>
      </c>
      <c r="O4742" t="str">
        <f t="shared" si="298"/>
        <v>High Balance</v>
      </c>
      <c r="P4742" t="str">
        <f t="shared" si="299"/>
        <v>Mid-term</v>
      </c>
    </row>
    <row r="4743" spans="1:16" x14ac:dyDescent="0.25">
      <c r="A4743">
        <v>2025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  <c r="M4743" t="str">
        <f t="shared" si="296"/>
        <v>30-45</v>
      </c>
      <c r="N4743" t="str">
        <f t="shared" si="297"/>
        <v>Medium</v>
      </c>
      <c r="O4743" t="str">
        <f t="shared" si="298"/>
        <v>High Balance</v>
      </c>
      <c r="P4743" t="str">
        <f t="shared" si="299"/>
        <v>New</v>
      </c>
    </row>
    <row r="4744" spans="1:16" x14ac:dyDescent="0.25">
      <c r="A4744">
        <v>2025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  <c r="M4744" t="str">
        <f t="shared" si="296"/>
        <v>46-60</v>
      </c>
      <c r="N4744" t="str">
        <f t="shared" si="297"/>
        <v>Medium</v>
      </c>
      <c r="O4744" t="str">
        <f t="shared" si="298"/>
        <v>High Balance</v>
      </c>
      <c r="P4744" t="str">
        <f t="shared" si="299"/>
        <v>Long-term</v>
      </c>
    </row>
    <row r="4745" spans="1:16" x14ac:dyDescent="0.25">
      <c r="A4745">
        <v>2025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  <c r="M4745" t="str">
        <f t="shared" si="296"/>
        <v>46-60</v>
      </c>
      <c r="N4745" t="str">
        <f t="shared" si="297"/>
        <v>Medium</v>
      </c>
      <c r="O4745" t="str">
        <f t="shared" si="298"/>
        <v>High Balance</v>
      </c>
      <c r="P4745" t="str">
        <f t="shared" si="299"/>
        <v>Long-term</v>
      </c>
    </row>
    <row r="4746" spans="1:16" x14ac:dyDescent="0.25">
      <c r="A4746">
        <v>2025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  <c r="M4746" t="str">
        <f t="shared" si="296"/>
        <v>46-60</v>
      </c>
      <c r="N4746" t="str">
        <f t="shared" si="297"/>
        <v>High</v>
      </c>
      <c r="O4746" t="str">
        <f t="shared" si="298"/>
        <v>Zero Balance</v>
      </c>
      <c r="P4746" t="str">
        <f t="shared" si="299"/>
        <v>New</v>
      </c>
    </row>
    <row r="4747" spans="1:16" x14ac:dyDescent="0.25">
      <c r="A4747">
        <v>2025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  <c r="M4747" t="str">
        <f t="shared" si="296"/>
        <v>46-60</v>
      </c>
      <c r="N4747" t="str">
        <f t="shared" si="297"/>
        <v>High</v>
      </c>
      <c r="O4747" t="str">
        <f t="shared" si="298"/>
        <v>High Balance</v>
      </c>
      <c r="P4747" t="str">
        <f t="shared" si="299"/>
        <v>New</v>
      </c>
    </row>
    <row r="4748" spans="1:16" x14ac:dyDescent="0.25">
      <c r="A4748">
        <v>2025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  <c r="M4748" t="str">
        <f t="shared" si="296"/>
        <v>30-45</v>
      </c>
      <c r="N4748" t="str">
        <f t="shared" si="297"/>
        <v>High</v>
      </c>
      <c r="O4748" t="str">
        <f t="shared" si="298"/>
        <v>Zero Balance</v>
      </c>
      <c r="P4748" t="str">
        <f t="shared" si="299"/>
        <v>Long-term</v>
      </c>
    </row>
    <row r="4749" spans="1:16" x14ac:dyDescent="0.25">
      <c r="A4749">
        <v>2025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  <c r="M4749" t="str">
        <f t="shared" si="296"/>
        <v>60+</v>
      </c>
      <c r="N4749" t="str">
        <f t="shared" si="297"/>
        <v>Medium</v>
      </c>
      <c r="O4749" t="str">
        <f t="shared" si="298"/>
        <v>Zero Balance</v>
      </c>
      <c r="P4749" t="str">
        <f t="shared" si="299"/>
        <v>Mid-term</v>
      </c>
    </row>
    <row r="4750" spans="1:16" x14ac:dyDescent="0.25">
      <c r="A4750">
        <v>2025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  <c r="M4750" t="str">
        <f t="shared" si="296"/>
        <v>30-45</v>
      </c>
      <c r="N4750" t="str">
        <f t="shared" si="297"/>
        <v>Medium</v>
      </c>
      <c r="O4750" t="str">
        <f t="shared" si="298"/>
        <v>High Balance</v>
      </c>
      <c r="P4750" t="str">
        <f t="shared" si="299"/>
        <v>Mid-term</v>
      </c>
    </row>
    <row r="4751" spans="1:16" x14ac:dyDescent="0.25">
      <c r="A4751">
        <v>2025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  <c r="M4751" t="str">
        <f t="shared" si="296"/>
        <v>&lt;30</v>
      </c>
      <c r="N4751" t="str">
        <f t="shared" si="297"/>
        <v>Medium</v>
      </c>
      <c r="O4751" t="str">
        <f t="shared" si="298"/>
        <v>High Balance</v>
      </c>
      <c r="P4751" t="str">
        <f t="shared" si="299"/>
        <v>Mid-term</v>
      </c>
    </row>
    <row r="4752" spans="1:16" x14ac:dyDescent="0.25">
      <c r="A4752">
        <v>2025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  <c r="M4752" t="str">
        <f t="shared" si="296"/>
        <v>30-45</v>
      </c>
      <c r="N4752" t="str">
        <f t="shared" si="297"/>
        <v>High</v>
      </c>
      <c r="O4752" t="str">
        <f t="shared" si="298"/>
        <v>Zero Balance</v>
      </c>
      <c r="P4752" t="str">
        <f t="shared" si="299"/>
        <v>Mid-term</v>
      </c>
    </row>
    <row r="4753" spans="1:16" x14ac:dyDescent="0.25">
      <c r="A4753">
        <v>2025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  <c r="M4753" t="str">
        <f t="shared" si="296"/>
        <v>60+</v>
      </c>
      <c r="N4753" t="str">
        <f t="shared" si="297"/>
        <v>Medium</v>
      </c>
      <c r="O4753" t="str">
        <f t="shared" si="298"/>
        <v>High Balance</v>
      </c>
      <c r="P4753" t="str">
        <f t="shared" si="299"/>
        <v>Long-term</v>
      </c>
    </row>
    <row r="4754" spans="1:16" x14ac:dyDescent="0.25">
      <c r="A4754">
        <v>2025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  <c r="M4754" t="str">
        <f t="shared" si="296"/>
        <v>46-60</v>
      </c>
      <c r="N4754" t="str">
        <f t="shared" si="297"/>
        <v>Medium</v>
      </c>
      <c r="O4754" t="str">
        <f t="shared" si="298"/>
        <v>High Balance</v>
      </c>
      <c r="P4754" t="str">
        <f t="shared" si="299"/>
        <v>Long-term</v>
      </c>
    </row>
    <row r="4755" spans="1:16" x14ac:dyDescent="0.25">
      <c r="A4755">
        <v>2025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  <c r="M4755" t="str">
        <f t="shared" si="296"/>
        <v>30-45</v>
      </c>
      <c r="N4755" t="str">
        <f t="shared" si="297"/>
        <v>Low</v>
      </c>
      <c r="O4755" t="str">
        <f t="shared" si="298"/>
        <v>High Balance</v>
      </c>
      <c r="P4755" t="str">
        <f t="shared" si="299"/>
        <v>New</v>
      </c>
    </row>
    <row r="4756" spans="1:16" x14ac:dyDescent="0.25">
      <c r="A4756">
        <v>2025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  <c r="M4756" t="str">
        <f t="shared" si="296"/>
        <v>46-60</v>
      </c>
      <c r="N4756" t="str">
        <f t="shared" si="297"/>
        <v>High</v>
      </c>
      <c r="O4756" t="str">
        <f t="shared" si="298"/>
        <v>Zero Balance</v>
      </c>
      <c r="P4756" t="str">
        <f t="shared" si="299"/>
        <v>New</v>
      </c>
    </row>
    <row r="4757" spans="1:16" x14ac:dyDescent="0.25">
      <c r="A4757">
        <v>2025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  <c r="M4757" t="str">
        <f t="shared" si="296"/>
        <v>30-45</v>
      </c>
      <c r="N4757" t="str">
        <f t="shared" si="297"/>
        <v>High</v>
      </c>
      <c r="O4757" t="str">
        <f t="shared" si="298"/>
        <v>High Balance</v>
      </c>
      <c r="P4757" t="str">
        <f t="shared" si="299"/>
        <v>New</v>
      </c>
    </row>
    <row r="4758" spans="1:16" x14ac:dyDescent="0.25">
      <c r="A4758">
        <v>2025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  <c r="M4758" t="str">
        <f t="shared" si="296"/>
        <v>30-45</v>
      </c>
      <c r="N4758" t="str">
        <f t="shared" si="297"/>
        <v>High</v>
      </c>
      <c r="O4758" t="str">
        <f t="shared" si="298"/>
        <v>High Balance</v>
      </c>
      <c r="P4758" t="str">
        <f t="shared" si="299"/>
        <v>New</v>
      </c>
    </row>
    <row r="4759" spans="1:16" x14ac:dyDescent="0.25">
      <c r="A4759">
        <v>2025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  <c r="M4759" t="str">
        <f t="shared" si="296"/>
        <v>30-45</v>
      </c>
      <c r="N4759" t="str">
        <f t="shared" si="297"/>
        <v>High</v>
      </c>
      <c r="O4759" t="str">
        <f t="shared" si="298"/>
        <v>Low Balance</v>
      </c>
      <c r="P4759" t="str">
        <f t="shared" si="299"/>
        <v>Long-term</v>
      </c>
    </row>
    <row r="4760" spans="1:16" x14ac:dyDescent="0.25">
      <c r="A4760">
        <v>2025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  <c r="M4760" t="str">
        <f t="shared" si="296"/>
        <v>46-60</v>
      </c>
      <c r="N4760" t="str">
        <f t="shared" si="297"/>
        <v>Low</v>
      </c>
      <c r="O4760" t="str">
        <f t="shared" si="298"/>
        <v>Zero Balance</v>
      </c>
      <c r="P4760" t="str">
        <f t="shared" si="299"/>
        <v>Mid-term</v>
      </c>
    </row>
    <row r="4761" spans="1:16" x14ac:dyDescent="0.25">
      <c r="A4761">
        <v>2025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  <c r="M4761" t="str">
        <f t="shared" si="296"/>
        <v>30-45</v>
      </c>
      <c r="N4761" t="str">
        <f t="shared" si="297"/>
        <v>Medium</v>
      </c>
      <c r="O4761" t="str">
        <f t="shared" si="298"/>
        <v>Zero Balance</v>
      </c>
      <c r="P4761" t="str">
        <f t="shared" si="299"/>
        <v>New</v>
      </c>
    </row>
    <row r="4762" spans="1:16" x14ac:dyDescent="0.25">
      <c r="A4762">
        <v>2025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  <c r="M4762" t="str">
        <f t="shared" si="296"/>
        <v>30-45</v>
      </c>
      <c r="N4762" t="str">
        <f t="shared" si="297"/>
        <v>High</v>
      </c>
      <c r="O4762" t="str">
        <f t="shared" si="298"/>
        <v>Low Balance</v>
      </c>
      <c r="P4762" t="str">
        <f t="shared" si="299"/>
        <v>New</v>
      </c>
    </row>
    <row r="4763" spans="1:16" x14ac:dyDescent="0.25">
      <c r="A4763">
        <v>2025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  <c r="M4763" t="str">
        <f t="shared" si="296"/>
        <v>30-45</v>
      </c>
      <c r="N4763" t="str">
        <f t="shared" si="297"/>
        <v>High</v>
      </c>
      <c r="O4763" t="str">
        <f t="shared" si="298"/>
        <v>High Balance</v>
      </c>
      <c r="P4763" t="str">
        <f t="shared" si="299"/>
        <v>New</v>
      </c>
    </row>
    <row r="4764" spans="1:16" x14ac:dyDescent="0.25">
      <c r="A4764">
        <v>2025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  <c r="M4764" t="str">
        <f t="shared" si="296"/>
        <v>30-45</v>
      </c>
      <c r="N4764" t="str">
        <f t="shared" si="297"/>
        <v>High</v>
      </c>
      <c r="O4764" t="str">
        <f t="shared" si="298"/>
        <v>High Balance</v>
      </c>
      <c r="P4764" t="str">
        <f t="shared" si="299"/>
        <v>New</v>
      </c>
    </row>
    <row r="4765" spans="1:16" x14ac:dyDescent="0.25">
      <c r="A4765">
        <v>2025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  <c r="M4765" t="str">
        <f t="shared" si="296"/>
        <v>30-45</v>
      </c>
      <c r="N4765" t="str">
        <f t="shared" si="297"/>
        <v>High</v>
      </c>
      <c r="O4765" t="str">
        <f t="shared" si="298"/>
        <v>High Balance</v>
      </c>
      <c r="P4765" t="str">
        <f t="shared" si="299"/>
        <v>New</v>
      </c>
    </row>
    <row r="4766" spans="1:16" x14ac:dyDescent="0.25">
      <c r="A4766">
        <v>2025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  <c r="M4766" t="str">
        <f t="shared" si="296"/>
        <v>30-45</v>
      </c>
      <c r="N4766" t="str">
        <f t="shared" si="297"/>
        <v>Medium</v>
      </c>
      <c r="O4766" t="str">
        <f t="shared" si="298"/>
        <v>Zero Balance</v>
      </c>
      <c r="P4766" t="str">
        <f t="shared" si="299"/>
        <v>New</v>
      </c>
    </row>
    <row r="4767" spans="1:16" x14ac:dyDescent="0.25">
      <c r="A4767">
        <v>2025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  <c r="M4767" t="str">
        <f t="shared" si="296"/>
        <v>46-60</v>
      </c>
      <c r="N4767" t="str">
        <f t="shared" si="297"/>
        <v>Medium</v>
      </c>
      <c r="O4767" t="str">
        <f t="shared" si="298"/>
        <v>Zero Balance</v>
      </c>
      <c r="P4767" t="str">
        <f t="shared" si="299"/>
        <v>New</v>
      </c>
    </row>
    <row r="4768" spans="1:16" x14ac:dyDescent="0.25">
      <c r="A4768">
        <v>2025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  <c r="M4768" t="str">
        <f t="shared" si="296"/>
        <v>30-45</v>
      </c>
      <c r="N4768" t="str">
        <f t="shared" si="297"/>
        <v>Medium</v>
      </c>
      <c r="O4768" t="str">
        <f t="shared" si="298"/>
        <v>Zero Balance</v>
      </c>
      <c r="P4768" t="str">
        <f t="shared" si="299"/>
        <v>Long-term</v>
      </c>
    </row>
    <row r="4769" spans="1:16" x14ac:dyDescent="0.25">
      <c r="A4769">
        <v>2025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  <c r="M4769" t="str">
        <f t="shared" si="296"/>
        <v>30-45</v>
      </c>
      <c r="N4769" t="str">
        <f t="shared" si="297"/>
        <v>Medium</v>
      </c>
      <c r="O4769" t="str">
        <f t="shared" si="298"/>
        <v>Zero Balance</v>
      </c>
      <c r="P4769" t="str">
        <f t="shared" si="299"/>
        <v>Long-term</v>
      </c>
    </row>
    <row r="4770" spans="1:16" x14ac:dyDescent="0.25">
      <c r="A4770">
        <v>2025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  <c r="M4770" t="str">
        <f t="shared" si="296"/>
        <v>30-45</v>
      </c>
      <c r="N4770" t="str">
        <f t="shared" si="297"/>
        <v>Medium</v>
      </c>
      <c r="O4770" t="str">
        <f t="shared" si="298"/>
        <v>Zero Balance</v>
      </c>
      <c r="P4770" t="str">
        <f t="shared" si="299"/>
        <v>New</v>
      </c>
    </row>
    <row r="4771" spans="1:16" x14ac:dyDescent="0.25">
      <c r="A4771">
        <v>2025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  <c r="M4771" t="str">
        <f t="shared" si="296"/>
        <v>30-45</v>
      </c>
      <c r="N4771" t="str">
        <f t="shared" si="297"/>
        <v>Medium</v>
      </c>
      <c r="O4771" t="str">
        <f t="shared" si="298"/>
        <v>High Balance</v>
      </c>
      <c r="P4771" t="str">
        <f t="shared" si="299"/>
        <v>New</v>
      </c>
    </row>
    <row r="4772" spans="1:16" x14ac:dyDescent="0.25">
      <c r="A4772">
        <v>2025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  <c r="M4772" t="str">
        <f t="shared" si="296"/>
        <v>&lt;30</v>
      </c>
      <c r="N4772" t="str">
        <f t="shared" si="297"/>
        <v>Medium</v>
      </c>
      <c r="O4772" t="str">
        <f t="shared" si="298"/>
        <v>Zero Balance</v>
      </c>
      <c r="P4772" t="str">
        <f t="shared" si="299"/>
        <v>Mid-term</v>
      </c>
    </row>
    <row r="4773" spans="1:16" x14ac:dyDescent="0.25">
      <c r="A4773">
        <v>2025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  <c r="M4773" t="str">
        <f t="shared" si="296"/>
        <v>30-45</v>
      </c>
      <c r="N4773" t="str">
        <f t="shared" si="297"/>
        <v>Medium</v>
      </c>
      <c r="O4773" t="str">
        <f t="shared" si="298"/>
        <v>Low Balance</v>
      </c>
      <c r="P4773" t="str">
        <f t="shared" si="299"/>
        <v>New</v>
      </c>
    </row>
    <row r="4774" spans="1:16" x14ac:dyDescent="0.25">
      <c r="A4774">
        <v>2025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  <c r="M4774" t="str">
        <f t="shared" si="296"/>
        <v>30-45</v>
      </c>
      <c r="N4774" t="str">
        <f t="shared" si="297"/>
        <v>Low</v>
      </c>
      <c r="O4774" t="str">
        <f t="shared" si="298"/>
        <v>Low Balance</v>
      </c>
      <c r="P4774" t="str">
        <f t="shared" si="299"/>
        <v>Mid-term</v>
      </c>
    </row>
    <row r="4775" spans="1:16" x14ac:dyDescent="0.25">
      <c r="A4775">
        <v>2025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  <c r="M4775" t="str">
        <f t="shared" si="296"/>
        <v>30-45</v>
      </c>
      <c r="N4775" t="str">
        <f t="shared" si="297"/>
        <v>Medium</v>
      </c>
      <c r="O4775" t="str">
        <f t="shared" si="298"/>
        <v>High Balance</v>
      </c>
      <c r="P4775" t="str">
        <f t="shared" si="299"/>
        <v>New</v>
      </c>
    </row>
    <row r="4776" spans="1:16" x14ac:dyDescent="0.25">
      <c r="A4776">
        <v>2025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  <c r="M4776" t="str">
        <f t="shared" si="296"/>
        <v>30-45</v>
      </c>
      <c r="N4776" t="str">
        <f t="shared" si="297"/>
        <v>High</v>
      </c>
      <c r="O4776" t="str">
        <f t="shared" si="298"/>
        <v>Zero Balance</v>
      </c>
      <c r="P4776" t="str">
        <f t="shared" si="299"/>
        <v>Mid-term</v>
      </c>
    </row>
    <row r="4777" spans="1:16" x14ac:dyDescent="0.25">
      <c r="A4777">
        <v>2025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  <c r="M4777" t="str">
        <f t="shared" si="296"/>
        <v>30-45</v>
      </c>
      <c r="N4777" t="str">
        <f t="shared" si="297"/>
        <v>Medium</v>
      </c>
      <c r="O4777" t="str">
        <f t="shared" si="298"/>
        <v>Zero Balance</v>
      </c>
      <c r="P4777" t="str">
        <f t="shared" si="299"/>
        <v>Mid-term</v>
      </c>
    </row>
    <row r="4778" spans="1:16" x14ac:dyDescent="0.25">
      <c r="A4778">
        <v>2025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  <c r="M4778" t="str">
        <f t="shared" si="296"/>
        <v>30-45</v>
      </c>
      <c r="N4778" t="str">
        <f t="shared" si="297"/>
        <v>High</v>
      </c>
      <c r="O4778" t="str">
        <f t="shared" si="298"/>
        <v>Zero Balance</v>
      </c>
      <c r="P4778" t="str">
        <f t="shared" si="299"/>
        <v>Mid-term</v>
      </c>
    </row>
    <row r="4779" spans="1:16" x14ac:dyDescent="0.25">
      <c r="A4779">
        <v>2025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  <c r="M4779" t="str">
        <f t="shared" si="296"/>
        <v>30-45</v>
      </c>
      <c r="N4779" t="str">
        <f t="shared" si="297"/>
        <v>Medium</v>
      </c>
      <c r="O4779" t="str">
        <f t="shared" si="298"/>
        <v>Low Balance</v>
      </c>
      <c r="P4779" t="str">
        <f t="shared" si="299"/>
        <v>New</v>
      </c>
    </row>
    <row r="4780" spans="1:16" x14ac:dyDescent="0.25">
      <c r="A4780">
        <v>2025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  <c r="M4780" t="str">
        <f t="shared" si="296"/>
        <v>30-45</v>
      </c>
      <c r="N4780" t="str">
        <f t="shared" si="297"/>
        <v>High</v>
      </c>
      <c r="O4780" t="str">
        <f t="shared" si="298"/>
        <v>Zero Balance</v>
      </c>
      <c r="P4780" t="str">
        <f t="shared" si="299"/>
        <v>New</v>
      </c>
    </row>
    <row r="4781" spans="1:16" x14ac:dyDescent="0.25">
      <c r="A4781">
        <v>2025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  <c r="M4781" t="str">
        <f t="shared" si="296"/>
        <v>30-45</v>
      </c>
      <c r="N4781" t="str">
        <f t="shared" si="297"/>
        <v>Medium</v>
      </c>
      <c r="O4781" t="str">
        <f t="shared" si="298"/>
        <v>High Balance</v>
      </c>
      <c r="P4781" t="str">
        <f t="shared" si="299"/>
        <v>New</v>
      </c>
    </row>
    <row r="4782" spans="1:16" x14ac:dyDescent="0.25">
      <c r="A4782">
        <v>2025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  <c r="M4782" t="str">
        <f t="shared" si="296"/>
        <v>30-45</v>
      </c>
      <c r="N4782" t="str">
        <f t="shared" si="297"/>
        <v>High</v>
      </c>
      <c r="O4782" t="str">
        <f t="shared" si="298"/>
        <v>Zero Balance</v>
      </c>
      <c r="P4782" t="str">
        <f t="shared" si="299"/>
        <v>Long-term</v>
      </c>
    </row>
    <row r="4783" spans="1:16" x14ac:dyDescent="0.25">
      <c r="A4783">
        <v>2025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  <c r="M4783" t="str">
        <f t="shared" si="296"/>
        <v>46-60</v>
      </c>
      <c r="N4783" t="str">
        <f t="shared" si="297"/>
        <v>High</v>
      </c>
      <c r="O4783" t="str">
        <f t="shared" si="298"/>
        <v>Low Balance</v>
      </c>
      <c r="P4783" t="str">
        <f t="shared" si="299"/>
        <v>Mid-term</v>
      </c>
    </row>
    <row r="4784" spans="1:16" x14ac:dyDescent="0.25">
      <c r="A4784">
        <v>2025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  <c r="M4784" t="str">
        <f t="shared" si="296"/>
        <v>46-60</v>
      </c>
      <c r="N4784" t="str">
        <f t="shared" si="297"/>
        <v>High</v>
      </c>
      <c r="O4784" t="str">
        <f t="shared" si="298"/>
        <v>High Balance</v>
      </c>
      <c r="P4784" t="str">
        <f t="shared" si="299"/>
        <v>Long-term</v>
      </c>
    </row>
    <row r="4785" spans="1:16" x14ac:dyDescent="0.25">
      <c r="A4785">
        <v>2025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  <c r="M4785" t="str">
        <f t="shared" si="296"/>
        <v>30-45</v>
      </c>
      <c r="N4785" t="str">
        <f t="shared" si="297"/>
        <v>High</v>
      </c>
      <c r="O4785" t="str">
        <f t="shared" si="298"/>
        <v>Zero Balance</v>
      </c>
      <c r="P4785" t="str">
        <f t="shared" si="299"/>
        <v>Mid-term</v>
      </c>
    </row>
    <row r="4786" spans="1:16" x14ac:dyDescent="0.25">
      <c r="A4786">
        <v>2025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  <c r="M4786" t="str">
        <f t="shared" si="296"/>
        <v>46-60</v>
      </c>
      <c r="N4786" t="str">
        <f t="shared" si="297"/>
        <v>Medium</v>
      </c>
      <c r="O4786" t="str">
        <f t="shared" si="298"/>
        <v>High Balance</v>
      </c>
      <c r="P4786" t="str">
        <f t="shared" si="299"/>
        <v>Mid-term</v>
      </c>
    </row>
    <row r="4787" spans="1:16" x14ac:dyDescent="0.25">
      <c r="A4787">
        <v>2025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  <c r="M4787" t="str">
        <f t="shared" si="296"/>
        <v>&lt;30</v>
      </c>
      <c r="N4787" t="str">
        <f t="shared" si="297"/>
        <v>Medium</v>
      </c>
      <c r="O4787" t="str">
        <f t="shared" si="298"/>
        <v>High Balance</v>
      </c>
      <c r="P4787" t="str">
        <f t="shared" si="299"/>
        <v>New</v>
      </c>
    </row>
    <row r="4788" spans="1:16" x14ac:dyDescent="0.25">
      <c r="A4788">
        <v>2025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  <c r="M4788" t="str">
        <f t="shared" si="296"/>
        <v>30-45</v>
      </c>
      <c r="N4788" t="str">
        <f t="shared" si="297"/>
        <v>Medium</v>
      </c>
      <c r="O4788" t="str">
        <f t="shared" si="298"/>
        <v>Zero Balance</v>
      </c>
      <c r="P4788" t="str">
        <f t="shared" si="299"/>
        <v>New</v>
      </c>
    </row>
    <row r="4789" spans="1:16" x14ac:dyDescent="0.25">
      <c r="A4789">
        <v>2025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  <c r="M4789" t="str">
        <f t="shared" si="296"/>
        <v>30-45</v>
      </c>
      <c r="N4789" t="str">
        <f t="shared" si="297"/>
        <v>Medium</v>
      </c>
      <c r="O4789" t="str">
        <f t="shared" si="298"/>
        <v>High Balance</v>
      </c>
      <c r="P4789" t="str">
        <f t="shared" si="299"/>
        <v>New</v>
      </c>
    </row>
    <row r="4790" spans="1:16" x14ac:dyDescent="0.25">
      <c r="A4790">
        <v>2025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  <c r="M4790" t="str">
        <f t="shared" si="296"/>
        <v>30-45</v>
      </c>
      <c r="N4790" t="str">
        <f t="shared" si="297"/>
        <v>High</v>
      </c>
      <c r="O4790" t="str">
        <f t="shared" si="298"/>
        <v>Zero Balance</v>
      </c>
      <c r="P4790" t="str">
        <f t="shared" si="299"/>
        <v>Long-term</v>
      </c>
    </row>
    <row r="4791" spans="1:16" x14ac:dyDescent="0.25">
      <c r="A4791">
        <v>2025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  <c r="M4791" t="str">
        <f t="shared" si="296"/>
        <v>30-45</v>
      </c>
      <c r="N4791" t="str">
        <f t="shared" si="297"/>
        <v>Medium</v>
      </c>
      <c r="O4791" t="str">
        <f t="shared" si="298"/>
        <v>Zero Balance</v>
      </c>
      <c r="P4791" t="str">
        <f t="shared" si="299"/>
        <v>New</v>
      </c>
    </row>
    <row r="4792" spans="1:16" x14ac:dyDescent="0.25">
      <c r="A4792">
        <v>2025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  <c r="M4792" t="str">
        <f t="shared" si="296"/>
        <v>30-45</v>
      </c>
      <c r="N4792" t="str">
        <f t="shared" si="297"/>
        <v>Medium</v>
      </c>
      <c r="O4792" t="str">
        <f t="shared" si="298"/>
        <v>Zero Balance</v>
      </c>
      <c r="P4792" t="str">
        <f t="shared" si="299"/>
        <v>Long-term</v>
      </c>
    </row>
    <row r="4793" spans="1:16" x14ac:dyDescent="0.25">
      <c r="A4793">
        <v>2025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  <c r="M4793" t="str">
        <f t="shared" si="296"/>
        <v>30-45</v>
      </c>
      <c r="N4793" t="str">
        <f t="shared" si="297"/>
        <v>High</v>
      </c>
      <c r="O4793" t="str">
        <f t="shared" si="298"/>
        <v>Zero Balance</v>
      </c>
      <c r="P4793" t="str">
        <f t="shared" si="299"/>
        <v>New</v>
      </c>
    </row>
    <row r="4794" spans="1:16" x14ac:dyDescent="0.25">
      <c r="A4794">
        <v>2025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  <c r="M4794" t="str">
        <f t="shared" si="296"/>
        <v>&lt;30</v>
      </c>
      <c r="N4794" t="str">
        <f t="shared" si="297"/>
        <v>High</v>
      </c>
      <c r="O4794" t="str">
        <f t="shared" si="298"/>
        <v>High Balance</v>
      </c>
      <c r="P4794" t="str">
        <f t="shared" si="299"/>
        <v>Mid-term</v>
      </c>
    </row>
    <row r="4795" spans="1:16" x14ac:dyDescent="0.25">
      <c r="A4795">
        <v>2025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  <c r="M4795" t="str">
        <f t="shared" si="296"/>
        <v>30-45</v>
      </c>
      <c r="N4795" t="str">
        <f t="shared" si="297"/>
        <v>High</v>
      </c>
      <c r="O4795" t="str">
        <f t="shared" si="298"/>
        <v>Zero Balance</v>
      </c>
      <c r="P4795" t="str">
        <f t="shared" si="299"/>
        <v>Mid-term</v>
      </c>
    </row>
    <row r="4796" spans="1:16" x14ac:dyDescent="0.25">
      <c r="A4796">
        <v>2025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  <c r="M4796" t="str">
        <f t="shared" si="296"/>
        <v>30-45</v>
      </c>
      <c r="N4796" t="str">
        <f t="shared" si="297"/>
        <v>High</v>
      </c>
      <c r="O4796" t="str">
        <f t="shared" si="298"/>
        <v>High Balance</v>
      </c>
      <c r="P4796" t="str">
        <f t="shared" si="299"/>
        <v>Mid-term</v>
      </c>
    </row>
    <row r="4797" spans="1:16" x14ac:dyDescent="0.25">
      <c r="A4797">
        <v>2025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  <c r="M4797" t="str">
        <f t="shared" si="296"/>
        <v>&lt;30</v>
      </c>
      <c r="N4797" t="str">
        <f t="shared" si="297"/>
        <v>Low</v>
      </c>
      <c r="O4797" t="str">
        <f t="shared" si="298"/>
        <v>Zero Balance</v>
      </c>
      <c r="P4797" t="str">
        <f t="shared" si="299"/>
        <v>Long-term</v>
      </c>
    </row>
    <row r="4798" spans="1:16" x14ac:dyDescent="0.25">
      <c r="A4798">
        <v>2025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  <c r="M4798" t="str">
        <f t="shared" si="296"/>
        <v>30-45</v>
      </c>
      <c r="N4798" t="str">
        <f t="shared" si="297"/>
        <v>High</v>
      </c>
      <c r="O4798" t="str">
        <f t="shared" si="298"/>
        <v>High Balance</v>
      </c>
      <c r="P4798" t="str">
        <f t="shared" si="299"/>
        <v>New</v>
      </c>
    </row>
    <row r="4799" spans="1:16" x14ac:dyDescent="0.25">
      <c r="A4799">
        <v>2025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  <c r="M4799" t="str">
        <f t="shared" si="296"/>
        <v>30-45</v>
      </c>
      <c r="N4799" t="str">
        <f t="shared" si="297"/>
        <v>High</v>
      </c>
      <c r="O4799" t="str">
        <f t="shared" si="298"/>
        <v>Low Balance</v>
      </c>
      <c r="P4799" t="str">
        <f t="shared" si="299"/>
        <v>New</v>
      </c>
    </row>
    <row r="4800" spans="1:16" x14ac:dyDescent="0.25">
      <c r="A4800">
        <v>2025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  <c r="M4800" t="str">
        <f t="shared" si="296"/>
        <v>30-45</v>
      </c>
      <c r="N4800" t="str">
        <f t="shared" si="297"/>
        <v>Medium</v>
      </c>
      <c r="O4800" t="str">
        <f t="shared" si="298"/>
        <v>Zero Balance</v>
      </c>
      <c r="P4800" t="str">
        <f t="shared" si="299"/>
        <v>Mid-term</v>
      </c>
    </row>
    <row r="4801" spans="1:16" x14ac:dyDescent="0.25">
      <c r="A4801">
        <v>2025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  <c r="M4801" t="str">
        <f t="shared" si="296"/>
        <v>46-60</v>
      </c>
      <c r="N4801" t="str">
        <f t="shared" si="297"/>
        <v>Medium</v>
      </c>
      <c r="O4801" t="str">
        <f t="shared" si="298"/>
        <v>Zero Balance</v>
      </c>
      <c r="P4801" t="str">
        <f t="shared" si="299"/>
        <v>New</v>
      </c>
    </row>
    <row r="4802" spans="1:16" x14ac:dyDescent="0.25">
      <c r="A4802">
        <v>2025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  <c r="M4802" t="str">
        <f t="shared" si="296"/>
        <v>30-45</v>
      </c>
      <c r="N4802" t="str">
        <f t="shared" si="297"/>
        <v>Medium</v>
      </c>
      <c r="O4802" t="str">
        <f t="shared" si="298"/>
        <v>Zero Balance</v>
      </c>
      <c r="P4802" t="str">
        <f t="shared" si="299"/>
        <v>Mid-term</v>
      </c>
    </row>
    <row r="4803" spans="1:16" x14ac:dyDescent="0.25">
      <c r="A4803">
        <v>2025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  <c r="M4803" t="str">
        <f t="shared" ref="M4803:M4866" si="300">IF(E4803&lt;30,"&lt;30",IF(E4803&lt;=45,"30-45",IF(E4803&lt;=60,"46-60","60+")))</f>
        <v>60+</v>
      </c>
      <c r="N4803" t="str">
        <f t="shared" ref="N4803:N4866" si="301">IF(B4803&lt;500,"Low",IF(B4803&lt;700,"Medium","High"))</f>
        <v>High</v>
      </c>
      <c r="O4803" t="str">
        <f t="shared" ref="O4803:O4866" si="302">IF(G4803=0,"Zero Balance",IF(G4803&lt;100000,"Low Balance","High Balance"))</f>
        <v>High Balance</v>
      </c>
      <c r="P4803" t="str">
        <f t="shared" ref="P4803:P4866" si="303">IF(F4803&lt;=3,"New",IF(F4803&lt;=7,"Mid-term","Long-term"))</f>
        <v>Mid-term</v>
      </c>
    </row>
    <row r="4804" spans="1:16" x14ac:dyDescent="0.25">
      <c r="A4804">
        <v>2025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  <c r="M4804" t="str">
        <f t="shared" si="300"/>
        <v>30-45</v>
      </c>
      <c r="N4804" t="str">
        <f t="shared" si="301"/>
        <v>Medium</v>
      </c>
      <c r="O4804" t="str">
        <f t="shared" si="302"/>
        <v>Zero Balance</v>
      </c>
      <c r="P4804" t="str">
        <f t="shared" si="303"/>
        <v>New</v>
      </c>
    </row>
    <row r="4805" spans="1:16" x14ac:dyDescent="0.25">
      <c r="A4805">
        <v>2025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  <c r="M4805" t="str">
        <f t="shared" si="300"/>
        <v>30-45</v>
      </c>
      <c r="N4805" t="str">
        <f t="shared" si="301"/>
        <v>High</v>
      </c>
      <c r="O4805" t="str">
        <f t="shared" si="302"/>
        <v>Zero Balance</v>
      </c>
      <c r="P4805" t="str">
        <f t="shared" si="303"/>
        <v>Mid-term</v>
      </c>
    </row>
    <row r="4806" spans="1:16" x14ac:dyDescent="0.25">
      <c r="A4806">
        <v>2025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  <c r="M4806" t="str">
        <f t="shared" si="300"/>
        <v>30-45</v>
      </c>
      <c r="N4806" t="str">
        <f t="shared" si="301"/>
        <v>Low</v>
      </c>
      <c r="O4806" t="str">
        <f t="shared" si="302"/>
        <v>Zero Balance</v>
      </c>
      <c r="P4806" t="str">
        <f t="shared" si="303"/>
        <v>New</v>
      </c>
    </row>
    <row r="4807" spans="1:16" x14ac:dyDescent="0.25">
      <c r="A4807">
        <v>2025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  <c r="M4807" t="str">
        <f t="shared" si="300"/>
        <v>30-45</v>
      </c>
      <c r="N4807" t="str">
        <f t="shared" si="301"/>
        <v>Medium</v>
      </c>
      <c r="O4807" t="str">
        <f t="shared" si="302"/>
        <v>Low Balance</v>
      </c>
      <c r="P4807" t="str">
        <f t="shared" si="303"/>
        <v>New</v>
      </c>
    </row>
    <row r="4808" spans="1:16" x14ac:dyDescent="0.25">
      <c r="A4808">
        <v>2025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  <c r="M4808" t="str">
        <f t="shared" si="300"/>
        <v>30-45</v>
      </c>
      <c r="N4808" t="str">
        <f t="shared" si="301"/>
        <v>Medium</v>
      </c>
      <c r="O4808" t="str">
        <f t="shared" si="302"/>
        <v>Low Balance</v>
      </c>
      <c r="P4808" t="str">
        <f t="shared" si="303"/>
        <v>New</v>
      </c>
    </row>
    <row r="4809" spans="1:16" x14ac:dyDescent="0.25">
      <c r="A4809">
        <v>2025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  <c r="M4809" t="str">
        <f t="shared" si="300"/>
        <v>&lt;30</v>
      </c>
      <c r="N4809" t="str">
        <f t="shared" si="301"/>
        <v>Medium</v>
      </c>
      <c r="O4809" t="str">
        <f t="shared" si="302"/>
        <v>Zero Balance</v>
      </c>
      <c r="P4809" t="str">
        <f t="shared" si="303"/>
        <v>New</v>
      </c>
    </row>
    <row r="4810" spans="1:16" x14ac:dyDescent="0.25">
      <c r="A4810">
        <v>2025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  <c r="M4810" t="str">
        <f t="shared" si="300"/>
        <v>30-45</v>
      </c>
      <c r="N4810" t="str">
        <f t="shared" si="301"/>
        <v>Medium</v>
      </c>
      <c r="O4810" t="str">
        <f t="shared" si="302"/>
        <v>High Balance</v>
      </c>
      <c r="P4810" t="str">
        <f t="shared" si="303"/>
        <v>New</v>
      </c>
    </row>
    <row r="4811" spans="1:16" x14ac:dyDescent="0.25">
      <c r="A4811">
        <v>2025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  <c r="M4811" t="str">
        <f t="shared" si="300"/>
        <v>30-45</v>
      </c>
      <c r="N4811" t="str">
        <f t="shared" si="301"/>
        <v>High</v>
      </c>
      <c r="O4811" t="str">
        <f t="shared" si="302"/>
        <v>High Balance</v>
      </c>
      <c r="P4811" t="str">
        <f t="shared" si="303"/>
        <v>New</v>
      </c>
    </row>
    <row r="4812" spans="1:16" x14ac:dyDescent="0.25">
      <c r="A4812">
        <v>2025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  <c r="M4812" t="str">
        <f t="shared" si="300"/>
        <v>30-45</v>
      </c>
      <c r="N4812" t="str">
        <f t="shared" si="301"/>
        <v>Medium</v>
      </c>
      <c r="O4812" t="str">
        <f t="shared" si="302"/>
        <v>Zero Balance</v>
      </c>
      <c r="P4812" t="str">
        <f t="shared" si="303"/>
        <v>Mid-term</v>
      </c>
    </row>
    <row r="4813" spans="1:16" x14ac:dyDescent="0.25">
      <c r="A4813">
        <v>2025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  <c r="M4813" t="str">
        <f t="shared" si="300"/>
        <v>&lt;30</v>
      </c>
      <c r="N4813" t="str">
        <f t="shared" si="301"/>
        <v>Medium</v>
      </c>
      <c r="O4813" t="str">
        <f t="shared" si="302"/>
        <v>Zero Balance</v>
      </c>
      <c r="P4813" t="str">
        <f t="shared" si="303"/>
        <v>Mid-term</v>
      </c>
    </row>
    <row r="4814" spans="1:16" x14ac:dyDescent="0.25">
      <c r="A4814">
        <v>2025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  <c r="M4814" t="str">
        <f t="shared" si="300"/>
        <v>30-45</v>
      </c>
      <c r="N4814" t="str">
        <f t="shared" si="301"/>
        <v>Medium</v>
      </c>
      <c r="O4814" t="str">
        <f t="shared" si="302"/>
        <v>Low Balance</v>
      </c>
      <c r="P4814" t="str">
        <f t="shared" si="303"/>
        <v>Mid-term</v>
      </c>
    </row>
    <row r="4815" spans="1:16" x14ac:dyDescent="0.25">
      <c r="A4815">
        <v>2025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  <c r="M4815" t="str">
        <f t="shared" si="300"/>
        <v>30-45</v>
      </c>
      <c r="N4815" t="str">
        <f t="shared" si="301"/>
        <v>Medium</v>
      </c>
      <c r="O4815" t="str">
        <f t="shared" si="302"/>
        <v>Zero Balance</v>
      </c>
      <c r="P4815" t="str">
        <f t="shared" si="303"/>
        <v>New</v>
      </c>
    </row>
    <row r="4816" spans="1:16" x14ac:dyDescent="0.25">
      <c r="A4816">
        <v>2025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  <c r="M4816" t="str">
        <f t="shared" si="300"/>
        <v>30-45</v>
      </c>
      <c r="N4816" t="str">
        <f t="shared" si="301"/>
        <v>Medium</v>
      </c>
      <c r="O4816" t="str">
        <f t="shared" si="302"/>
        <v>Zero Balance</v>
      </c>
      <c r="P4816" t="str">
        <f t="shared" si="303"/>
        <v>Long-term</v>
      </c>
    </row>
    <row r="4817" spans="1:16" x14ac:dyDescent="0.25">
      <c r="A4817">
        <v>2025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  <c r="M4817" t="str">
        <f t="shared" si="300"/>
        <v>60+</v>
      </c>
      <c r="N4817" t="str">
        <f t="shared" si="301"/>
        <v>High</v>
      </c>
      <c r="O4817" t="str">
        <f t="shared" si="302"/>
        <v>High Balance</v>
      </c>
      <c r="P4817" t="str">
        <f t="shared" si="303"/>
        <v>Mid-term</v>
      </c>
    </row>
    <row r="4818" spans="1:16" x14ac:dyDescent="0.25">
      <c r="A4818">
        <v>2025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  <c r="M4818" t="str">
        <f t="shared" si="300"/>
        <v>&lt;30</v>
      </c>
      <c r="N4818" t="str">
        <f t="shared" si="301"/>
        <v>Medium</v>
      </c>
      <c r="O4818" t="str">
        <f t="shared" si="302"/>
        <v>Zero Balance</v>
      </c>
      <c r="P4818" t="str">
        <f t="shared" si="303"/>
        <v>Long-term</v>
      </c>
    </row>
    <row r="4819" spans="1:16" x14ac:dyDescent="0.25">
      <c r="A4819">
        <v>2025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  <c r="M4819" t="str">
        <f t="shared" si="300"/>
        <v>&lt;30</v>
      </c>
      <c r="N4819" t="str">
        <f t="shared" si="301"/>
        <v>Medium</v>
      </c>
      <c r="O4819" t="str">
        <f t="shared" si="302"/>
        <v>Zero Balance</v>
      </c>
      <c r="P4819" t="str">
        <f t="shared" si="303"/>
        <v>Mid-term</v>
      </c>
    </row>
    <row r="4820" spans="1:16" x14ac:dyDescent="0.25">
      <c r="A4820">
        <v>2025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  <c r="M4820" t="str">
        <f t="shared" si="300"/>
        <v>30-45</v>
      </c>
      <c r="N4820" t="str">
        <f t="shared" si="301"/>
        <v>High</v>
      </c>
      <c r="O4820" t="str">
        <f t="shared" si="302"/>
        <v>Low Balance</v>
      </c>
      <c r="P4820" t="str">
        <f t="shared" si="303"/>
        <v>New</v>
      </c>
    </row>
    <row r="4821" spans="1:16" x14ac:dyDescent="0.25">
      <c r="A4821">
        <v>2025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  <c r="M4821" t="str">
        <f t="shared" si="300"/>
        <v>&lt;30</v>
      </c>
      <c r="N4821" t="str">
        <f t="shared" si="301"/>
        <v>Medium</v>
      </c>
      <c r="O4821" t="str">
        <f t="shared" si="302"/>
        <v>High Balance</v>
      </c>
      <c r="P4821" t="str">
        <f t="shared" si="303"/>
        <v>Mid-term</v>
      </c>
    </row>
    <row r="4822" spans="1:16" x14ac:dyDescent="0.25">
      <c r="A4822">
        <v>2025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  <c r="M4822" t="str">
        <f t="shared" si="300"/>
        <v>30-45</v>
      </c>
      <c r="N4822" t="str">
        <f t="shared" si="301"/>
        <v>Low</v>
      </c>
      <c r="O4822" t="str">
        <f t="shared" si="302"/>
        <v>Zero Balance</v>
      </c>
      <c r="P4822" t="str">
        <f t="shared" si="303"/>
        <v>New</v>
      </c>
    </row>
    <row r="4823" spans="1:16" x14ac:dyDescent="0.25">
      <c r="A4823">
        <v>2025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  <c r="M4823" t="str">
        <f t="shared" si="300"/>
        <v>30-45</v>
      </c>
      <c r="N4823" t="str">
        <f t="shared" si="301"/>
        <v>Medium</v>
      </c>
      <c r="O4823" t="str">
        <f t="shared" si="302"/>
        <v>Zero Balance</v>
      </c>
      <c r="P4823" t="str">
        <f t="shared" si="303"/>
        <v>New</v>
      </c>
    </row>
    <row r="4824" spans="1:16" x14ac:dyDescent="0.25">
      <c r="A4824">
        <v>2025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  <c r="M4824" t="str">
        <f t="shared" si="300"/>
        <v>30-45</v>
      </c>
      <c r="N4824" t="str">
        <f t="shared" si="301"/>
        <v>High</v>
      </c>
      <c r="O4824" t="str">
        <f t="shared" si="302"/>
        <v>Zero Balance</v>
      </c>
      <c r="P4824" t="str">
        <f t="shared" si="303"/>
        <v>New</v>
      </c>
    </row>
    <row r="4825" spans="1:16" x14ac:dyDescent="0.25">
      <c r="A4825">
        <v>2025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  <c r="M4825" t="str">
        <f t="shared" si="300"/>
        <v>30-45</v>
      </c>
      <c r="N4825" t="str">
        <f t="shared" si="301"/>
        <v>High</v>
      </c>
      <c r="O4825" t="str">
        <f t="shared" si="302"/>
        <v>High Balance</v>
      </c>
      <c r="P4825" t="str">
        <f t="shared" si="303"/>
        <v>Mid-term</v>
      </c>
    </row>
    <row r="4826" spans="1:16" x14ac:dyDescent="0.25">
      <c r="A4826">
        <v>2025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  <c r="M4826" t="str">
        <f t="shared" si="300"/>
        <v>30-45</v>
      </c>
      <c r="N4826" t="str">
        <f t="shared" si="301"/>
        <v>High</v>
      </c>
      <c r="O4826" t="str">
        <f t="shared" si="302"/>
        <v>High Balance</v>
      </c>
      <c r="P4826" t="str">
        <f t="shared" si="303"/>
        <v>Mid-term</v>
      </c>
    </row>
    <row r="4827" spans="1:16" x14ac:dyDescent="0.25">
      <c r="A4827">
        <v>2025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  <c r="M4827" t="str">
        <f t="shared" si="300"/>
        <v>30-45</v>
      </c>
      <c r="N4827" t="str">
        <f t="shared" si="301"/>
        <v>Medium</v>
      </c>
      <c r="O4827" t="str">
        <f t="shared" si="302"/>
        <v>High Balance</v>
      </c>
      <c r="P4827" t="str">
        <f t="shared" si="303"/>
        <v>Mid-term</v>
      </c>
    </row>
    <row r="4828" spans="1:16" x14ac:dyDescent="0.25">
      <c r="A4828">
        <v>2025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  <c r="M4828" t="str">
        <f t="shared" si="300"/>
        <v>&lt;30</v>
      </c>
      <c r="N4828" t="str">
        <f t="shared" si="301"/>
        <v>High</v>
      </c>
      <c r="O4828" t="str">
        <f t="shared" si="302"/>
        <v>High Balance</v>
      </c>
      <c r="P4828" t="str">
        <f t="shared" si="303"/>
        <v>Long-term</v>
      </c>
    </row>
    <row r="4829" spans="1:16" x14ac:dyDescent="0.25">
      <c r="A4829">
        <v>2025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  <c r="M4829" t="str">
        <f t="shared" si="300"/>
        <v>46-60</v>
      </c>
      <c r="N4829" t="str">
        <f t="shared" si="301"/>
        <v>Medium</v>
      </c>
      <c r="O4829" t="str">
        <f t="shared" si="302"/>
        <v>High Balance</v>
      </c>
      <c r="P4829" t="str">
        <f t="shared" si="303"/>
        <v>Mid-term</v>
      </c>
    </row>
    <row r="4830" spans="1:16" x14ac:dyDescent="0.25">
      <c r="A4830">
        <v>2025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  <c r="M4830" t="str">
        <f t="shared" si="300"/>
        <v>30-45</v>
      </c>
      <c r="N4830" t="str">
        <f t="shared" si="301"/>
        <v>High</v>
      </c>
      <c r="O4830" t="str">
        <f t="shared" si="302"/>
        <v>High Balance</v>
      </c>
      <c r="P4830" t="str">
        <f t="shared" si="303"/>
        <v>Long-term</v>
      </c>
    </row>
    <row r="4831" spans="1:16" x14ac:dyDescent="0.25">
      <c r="A4831">
        <v>2025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  <c r="M4831" t="str">
        <f t="shared" si="300"/>
        <v>30-45</v>
      </c>
      <c r="N4831" t="str">
        <f t="shared" si="301"/>
        <v>Medium</v>
      </c>
      <c r="O4831" t="str">
        <f t="shared" si="302"/>
        <v>High Balance</v>
      </c>
      <c r="P4831" t="str">
        <f t="shared" si="303"/>
        <v>Mid-term</v>
      </c>
    </row>
    <row r="4832" spans="1:16" x14ac:dyDescent="0.25">
      <c r="A4832">
        <v>2025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  <c r="M4832" t="str">
        <f t="shared" si="300"/>
        <v>30-45</v>
      </c>
      <c r="N4832" t="str">
        <f t="shared" si="301"/>
        <v>Medium</v>
      </c>
      <c r="O4832" t="str">
        <f t="shared" si="302"/>
        <v>Zero Balance</v>
      </c>
      <c r="P4832" t="str">
        <f t="shared" si="303"/>
        <v>Mid-term</v>
      </c>
    </row>
    <row r="4833" spans="1:16" x14ac:dyDescent="0.25">
      <c r="A4833">
        <v>2025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  <c r="M4833" t="str">
        <f t="shared" si="300"/>
        <v>30-45</v>
      </c>
      <c r="N4833" t="str">
        <f t="shared" si="301"/>
        <v>Medium</v>
      </c>
      <c r="O4833" t="str">
        <f t="shared" si="302"/>
        <v>Zero Balance</v>
      </c>
      <c r="P4833" t="str">
        <f t="shared" si="303"/>
        <v>Mid-term</v>
      </c>
    </row>
    <row r="4834" spans="1:16" x14ac:dyDescent="0.25">
      <c r="A4834">
        <v>2025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  <c r="M4834" t="str">
        <f t="shared" si="300"/>
        <v>60+</v>
      </c>
      <c r="N4834" t="str">
        <f t="shared" si="301"/>
        <v>Medium</v>
      </c>
      <c r="O4834" t="str">
        <f t="shared" si="302"/>
        <v>Zero Balance</v>
      </c>
      <c r="P4834" t="str">
        <f t="shared" si="303"/>
        <v>Mid-term</v>
      </c>
    </row>
    <row r="4835" spans="1:16" x14ac:dyDescent="0.25">
      <c r="A4835">
        <v>2025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  <c r="M4835" t="str">
        <f t="shared" si="300"/>
        <v>30-45</v>
      </c>
      <c r="N4835" t="str">
        <f t="shared" si="301"/>
        <v>High</v>
      </c>
      <c r="O4835" t="str">
        <f t="shared" si="302"/>
        <v>High Balance</v>
      </c>
      <c r="P4835" t="str">
        <f t="shared" si="303"/>
        <v>Long-term</v>
      </c>
    </row>
    <row r="4836" spans="1:16" x14ac:dyDescent="0.25">
      <c r="A4836">
        <v>2025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  <c r="M4836" t="str">
        <f t="shared" si="300"/>
        <v>30-45</v>
      </c>
      <c r="N4836" t="str">
        <f t="shared" si="301"/>
        <v>High</v>
      </c>
      <c r="O4836" t="str">
        <f t="shared" si="302"/>
        <v>Zero Balance</v>
      </c>
      <c r="P4836" t="str">
        <f t="shared" si="303"/>
        <v>New</v>
      </c>
    </row>
    <row r="4837" spans="1:16" x14ac:dyDescent="0.25">
      <c r="A4837">
        <v>2025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  <c r="M4837" t="str">
        <f t="shared" si="300"/>
        <v>30-45</v>
      </c>
      <c r="N4837" t="str">
        <f t="shared" si="301"/>
        <v>Medium</v>
      </c>
      <c r="O4837" t="str">
        <f t="shared" si="302"/>
        <v>Low Balance</v>
      </c>
      <c r="P4837" t="str">
        <f t="shared" si="303"/>
        <v>Mid-term</v>
      </c>
    </row>
    <row r="4838" spans="1:16" x14ac:dyDescent="0.25">
      <c r="A4838">
        <v>2025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  <c r="M4838" t="str">
        <f t="shared" si="300"/>
        <v>&lt;30</v>
      </c>
      <c r="N4838" t="str">
        <f t="shared" si="301"/>
        <v>Medium</v>
      </c>
      <c r="O4838" t="str">
        <f t="shared" si="302"/>
        <v>High Balance</v>
      </c>
      <c r="P4838" t="str">
        <f t="shared" si="303"/>
        <v>Long-term</v>
      </c>
    </row>
    <row r="4839" spans="1:16" x14ac:dyDescent="0.25">
      <c r="A4839">
        <v>2025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  <c r="M4839" t="str">
        <f t="shared" si="300"/>
        <v>&lt;30</v>
      </c>
      <c r="N4839" t="str">
        <f t="shared" si="301"/>
        <v>High</v>
      </c>
      <c r="O4839" t="str">
        <f t="shared" si="302"/>
        <v>Zero Balance</v>
      </c>
      <c r="P4839" t="str">
        <f t="shared" si="303"/>
        <v>New</v>
      </c>
    </row>
    <row r="4840" spans="1:16" x14ac:dyDescent="0.25">
      <c r="A4840">
        <v>2025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  <c r="M4840" t="str">
        <f t="shared" si="300"/>
        <v>30-45</v>
      </c>
      <c r="N4840" t="str">
        <f t="shared" si="301"/>
        <v>Medium</v>
      </c>
      <c r="O4840" t="str">
        <f t="shared" si="302"/>
        <v>High Balance</v>
      </c>
      <c r="P4840" t="str">
        <f t="shared" si="303"/>
        <v>Long-term</v>
      </c>
    </row>
    <row r="4841" spans="1:16" x14ac:dyDescent="0.25">
      <c r="A4841">
        <v>2025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  <c r="M4841" t="str">
        <f t="shared" si="300"/>
        <v>46-60</v>
      </c>
      <c r="N4841" t="str">
        <f t="shared" si="301"/>
        <v>Medium</v>
      </c>
      <c r="O4841" t="str">
        <f t="shared" si="302"/>
        <v>High Balance</v>
      </c>
      <c r="P4841" t="str">
        <f t="shared" si="303"/>
        <v>Mid-term</v>
      </c>
    </row>
    <row r="4842" spans="1:16" x14ac:dyDescent="0.25">
      <c r="A4842">
        <v>2025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  <c r="M4842" t="str">
        <f t="shared" si="300"/>
        <v>30-45</v>
      </c>
      <c r="N4842" t="str">
        <f t="shared" si="301"/>
        <v>Low</v>
      </c>
      <c r="O4842" t="str">
        <f t="shared" si="302"/>
        <v>Zero Balance</v>
      </c>
      <c r="P4842" t="str">
        <f t="shared" si="303"/>
        <v>New</v>
      </c>
    </row>
    <row r="4843" spans="1:16" x14ac:dyDescent="0.25">
      <c r="A4843">
        <v>2025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  <c r="M4843" t="str">
        <f t="shared" si="300"/>
        <v>30-45</v>
      </c>
      <c r="N4843" t="str">
        <f t="shared" si="301"/>
        <v>Medium</v>
      </c>
      <c r="O4843" t="str">
        <f t="shared" si="302"/>
        <v>High Balance</v>
      </c>
      <c r="P4843" t="str">
        <f t="shared" si="303"/>
        <v>Mid-term</v>
      </c>
    </row>
    <row r="4844" spans="1:16" x14ac:dyDescent="0.25">
      <c r="A4844">
        <v>2025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  <c r="M4844" t="str">
        <f t="shared" si="300"/>
        <v>46-60</v>
      </c>
      <c r="N4844" t="str">
        <f t="shared" si="301"/>
        <v>Medium</v>
      </c>
      <c r="O4844" t="str">
        <f t="shared" si="302"/>
        <v>Low Balance</v>
      </c>
      <c r="P4844" t="str">
        <f t="shared" si="303"/>
        <v>Mid-term</v>
      </c>
    </row>
    <row r="4845" spans="1:16" x14ac:dyDescent="0.25">
      <c r="A4845">
        <v>2025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  <c r="M4845" t="str">
        <f t="shared" si="300"/>
        <v>&lt;30</v>
      </c>
      <c r="N4845" t="str">
        <f t="shared" si="301"/>
        <v>Medium</v>
      </c>
      <c r="O4845" t="str">
        <f t="shared" si="302"/>
        <v>Low Balance</v>
      </c>
      <c r="P4845" t="str">
        <f t="shared" si="303"/>
        <v>New</v>
      </c>
    </row>
    <row r="4846" spans="1:16" x14ac:dyDescent="0.25">
      <c r="A4846">
        <v>2025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  <c r="M4846" t="str">
        <f t="shared" si="300"/>
        <v>30-45</v>
      </c>
      <c r="N4846" t="str">
        <f t="shared" si="301"/>
        <v>Medium</v>
      </c>
      <c r="O4846" t="str">
        <f t="shared" si="302"/>
        <v>Low Balance</v>
      </c>
      <c r="P4846" t="str">
        <f t="shared" si="303"/>
        <v>New</v>
      </c>
    </row>
    <row r="4847" spans="1:16" x14ac:dyDescent="0.25">
      <c r="A4847">
        <v>2025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  <c r="M4847" t="str">
        <f t="shared" si="300"/>
        <v>30-45</v>
      </c>
      <c r="N4847" t="str">
        <f t="shared" si="301"/>
        <v>Medium</v>
      </c>
      <c r="O4847" t="str">
        <f t="shared" si="302"/>
        <v>High Balance</v>
      </c>
      <c r="P4847" t="str">
        <f t="shared" si="303"/>
        <v>New</v>
      </c>
    </row>
    <row r="4848" spans="1:16" x14ac:dyDescent="0.25">
      <c r="A4848">
        <v>2025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  <c r="M4848" t="str">
        <f t="shared" si="300"/>
        <v>30-45</v>
      </c>
      <c r="N4848" t="str">
        <f t="shared" si="301"/>
        <v>High</v>
      </c>
      <c r="O4848" t="str">
        <f t="shared" si="302"/>
        <v>Zero Balance</v>
      </c>
      <c r="P4848" t="str">
        <f t="shared" si="303"/>
        <v>Mid-term</v>
      </c>
    </row>
    <row r="4849" spans="1:16" x14ac:dyDescent="0.25">
      <c r="A4849">
        <v>2025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  <c r="M4849" t="str">
        <f t="shared" si="300"/>
        <v>&lt;30</v>
      </c>
      <c r="N4849" t="str">
        <f t="shared" si="301"/>
        <v>Medium</v>
      </c>
      <c r="O4849" t="str">
        <f t="shared" si="302"/>
        <v>High Balance</v>
      </c>
      <c r="P4849" t="str">
        <f t="shared" si="303"/>
        <v>Mid-term</v>
      </c>
    </row>
    <row r="4850" spans="1:16" x14ac:dyDescent="0.25">
      <c r="A4850">
        <v>2025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  <c r="M4850" t="str">
        <f t="shared" si="300"/>
        <v>30-45</v>
      </c>
      <c r="N4850" t="str">
        <f t="shared" si="301"/>
        <v>Medium</v>
      </c>
      <c r="O4850" t="str">
        <f t="shared" si="302"/>
        <v>High Balance</v>
      </c>
      <c r="P4850" t="str">
        <f t="shared" si="303"/>
        <v>New</v>
      </c>
    </row>
    <row r="4851" spans="1:16" x14ac:dyDescent="0.25">
      <c r="A4851">
        <v>2025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  <c r="M4851" t="str">
        <f t="shared" si="300"/>
        <v>60+</v>
      </c>
      <c r="N4851" t="str">
        <f t="shared" si="301"/>
        <v>Low</v>
      </c>
      <c r="O4851" t="str">
        <f t="shared" si="302"/>
        <v>High Balance</v>
      </c>
      <c r="P4851" t="str">
        <f t="shared" si="303"/>
        <v>Mid-term</v>
      </c>
    </row>
    <row r="4852" spans="1:16" x14ac:dyDescent="0.25">
      <c r="A4852">
        <v>2025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  <c r="M4852" t="str">
        <f t="shared" si="300"/>
        <v>&lt;30</v>
      </c>
      <c r="N4852" t="str">
        <f t="shared" si="301"/>
        <v>Medium</v>
      </c>
      <c r="O4852" t="str">
        <f t="shared" si="302"/>
        <v>Zero Balance</v>
      </c>
      <c r="P4852" t="str">
        <f t="shared" si="303"/>
        <v>Long-term</v>
      </c>
    </row>
    <row r="4853" spans="1:16" x14ac:dyDescent="0.25">
      <c r="A4853">
        <v>2025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  <c r="M4853" t="str">
        <f t="shared" si="300"/>
        <v>46-60</v>
      </c>
      <c r="N4853" t="str">
        <f t="shared" si="301"/>
        <v>Medium</v>
      </c>
      <c r="O4853" t="str">
        <f t="shared" si="302"/>
        <v>Zero Balance</v>
      </c>
      <c r="P4853" t="str">
        <f t="shared" si="303"/>
        <v>New</v>
      </c>
    </row>
    <row r="4854" spans="1:16" x14ac:dyDescent="0.25">
      <c r="A4854">
        <v>2025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  <c r="M4854" t="str">
        <f t="shared" si="300"/>
        <v>30-45</v>
      </c>
      <c r="N4854" t="str">
        <f t="shared" si="301"/>
        <v>Medium</v>
      </c>
      <c r="O4854" t="str">
        <f t="shared" si="302"/>
        <v>Zero Balance</v>
      </c>
      <c r="P4854" t="str">
        <f t="shared" si="303"/>
        <v>New</v>
      </c>
    </row>
    <row r="4855" spans="1:16" x14ac:dyDescent="0.25">
      <c r="A4855">
        <v>2025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  <c r="M4855" t="str">
        <f t="shared" si="300"/>
        <v>30-45</v>
      </c>
      <c r="N4855" t="str">
        <f t="shared" si="301"/>
        <v>Medium</v>
      </c>
      <c r="O4855" t="str">
        <f t="shared" si="302"/>
        <v>High Balance</v>
      </c>
      <c r="P4855" t="str">
        <f t="shared" si="303"/>
        <v>Mid-term</v>
      </c>
    </row>
    <row r="4856" spans="1:16" x14ac:dyDescent="0.25">
      <c r="A4856">
        <v>2025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  <c r="M4856" t="str">
        <f t="shared" si="300"/>
        <v>&lt;30</v>
      </c>
      <c r="N4856" t="str">
        <f t="shared" si="301"/>
        <v>High</v>
      </c>
      <c r="O4856" t="str">
        <f t="shared" si="302"/>
        <v>Low Balance</v>
      </c>
      <c r="P4856" t="str">
        <f t="shared" si="303"/>
        <v>New</v>
      </c>
    </row>
    <row r="4857" spans="1:16" x14ac:dyDescent="0.25">
      <c r="A4857">
        <v>2025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  <c r="M4857" t="str">
        <f t="shared" si="300"/>
        <v>30-45</v>
      </c>
      <c r="N4857" t="str">
        <f t="shared" si="301"/>
        <v>Low</v>
      </c>
      <c r="O4857" t="str">
        <f t="shared" si="302"/>
        <v>Low Balance</v>
      </c>
      <c r="P4857" t="str">
        <f t="shared" si="303"/>
        <v>Mid-term</v>
      </c>
    </row>
    <row r="4858" spans="1:16" x14ac:dyDescent="0.25">
      <c r="A4858">
        <v>2025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  <c r="M4858" t="str">
        <f t="shared" si="300"/>
        <v>30-45</v>
      </c>
      <c r="N4858" t="str">
        <f t="shared" si="301"/>
        <v>High</v>
      </c>
      <c r="O4858" t="str">
        <f t="shared" si="302"/>
        <v>High Balance</v>
      </c>
      <c r="P4858" t="str">
        <f t="shared" si="303"/>
        <v>Long-term</v>
      </c>
    </row>
    <row r="4859" spans="1:16" x14ac:dyDescent="0.25">
      <c r="A4859">
        <v>2025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  <c r="M4859" t="str">
        <f t="shared" si="300"/>
        <v>&lt;30</v>
      </c>
      <c r="N4859" t="str">
        <f t="shared" si="301"/>
        <v>High</v>
      </c>
      <c r="O4859" t="str">
        <f t="shared" si="302"/>
        <v>Zero Balance</v>
      </c>
      <c r="P4859" t="str">
        <f t="shared" si="303"/>
        <v>New</v>
      </c>
    </row>
    <row r="4860" spans="1:16" x14ac:dyDescent="0.25">
      <c r="A4860">
        <v>2025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  <c r="M4860" t="str">
        <f t="shared" si="300"/>
        <v>30-45</v>
      </c>
      <c r="N4860" t="str">
        <f t="shared" si="301"/>
        <v>High</v>
      </c>
      <c r="O4860" t="str">
        <f t="shared" si="302"/>
        <v>Low Balance</v>
      </c>
      <c r="P4860" t="str">
        <f t="shared" si="303"/>
        <v>Long-term</v>
      </c>
    </row>
    <row r="4861" spans="1:16" x14ac:dyDescent="0.25">
      <c r="A4861">
        <v>2025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  <c r="M4861" t="str">
        <f t="shared" si="300"/>
        <v>&lt;30</v>
      </c>
      <c r="N4861" t="str">
        <f t="shared" si="301"/>
        <v>High</v>
      </c>
      <c r="O4861" t="str">
        <f t="shared" si="302"/>
        <v>High Balance</v>
      </c>
      <c r="P4861" t="str">
        <f t="shared" si="303"/>
        <v>Mid-term</v>
      </c>
    </row>
    <row r="4862" spans="1:16" x14ac:dyDescent="0.25">
      <c r="A4862">
        <v>2025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  <c r="M4862" t="str">
        <f t="shared" si="300"/>
        <v>30-45</v>
      </c>
      <c r="N4862" t="str">
        <f t="shared" si="301"/>
        <v>High</v>
      </c>
      <c r="O4862" t="str">
        <f t="shared" si="302"/>
        <v>High Balance</v>
      </c>
      <c r="P4862" t="str">
        <f t="shared" si="303"/>
        <v>Mid-term</v>
      </c>
    </row>
    <row r="4863" spans="1:16" x14ac:dyDescent="0.25">
      <c r="A4863">
        <v>2025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  <c r="M4863" t="str">
        <f t="shared" si="300"/>
        <v>&lt;30</v>
      </c>
      <c r="N4863" t="str">
        <f t="shared" si="301"/>
        <v>Medium</v>
      </c>
      <c r="O4863" t="str">
        <f t="shared" si="302"/>
        <v>Zero Balance</v>
      </c>
      <c r="P4863" t="str">
        <f t="shared" si="303"/>
        <v>Long-term</v>
      </c>
    </row>
    <row r="4864" spans="1:16" x14ac:dyDescent="0.25">
      <c r="A4864">
        <v>2025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  <c r="M4864" t="str">
        <f t="shared" si="300"/>
        <v>46-60</v>
      </c>
      <c r="N4864" t="str">
        <f t="shared" si="301"/>
        <v>Medium</v>
      </c>
      <c r="O4864" t="str">
        <f t="shared" si="302"/>
        <v>High Balance</v>
      </c>
      <c r="P4864" t="str">
        <f t="shared" si="303"/>
        <v>New</v>
      </c>
    </row>
    <row r="4865" spans="1:16" x14ac:dyDescent="0.25">
      <c r="A4865">
        <v>2025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  <c r="M4865" t="str">
        <f t="shared" si="300"/>
        <v>30-45</v>
      </c>
      <c r="N4865" t="str">
        <f t="shared" si="301"/>
        <v>Low</v>
      </c>
      <c r="O4865" t="str">
        <f t="shared" si="302"/>
        <v>High Balance</v>
      </c>
      <c r="P4865" t="str">
        <f t="shared" si="303"/>
        <v>Long-term</v>
      </c>
    </row>
    <row r="4866" spans="1:16" x14ac:dyDescent="0.25">
      <c r="A4866">
        <v>2025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  <c r="M4866" t="str">
        <f t="shared" si="300"/>
        <v>46-60</v>
      </c>
      <c r="N4866" t="str">
        <f t="shared" si="301"/>
        <v>High</v>
      </c>
      <c r="O4866" t="str">
        <f t="shared" si="302"/>
        <v>Zero Balance</v>
      </c>
      <c r="P4866" t="str">
        <f t="shared" si="303"/>
        <v>Long-term</v>
      </c>
    </row>
    <row r="4867" spans="1:16" x14ac:dyDescent="0.25">
      <c r="A4867">
        <v>2025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  <c r="M4867" t="str">
        <f t="shared" ref="M4867:M4930" si="304">IF(E4867&lt;30,"&lt;30",IF(E4867&lt;=45,"30-45",IF(E4867&lt;=60,"46-60","60+")))</f>
        <v>&lt;30</v>
      </c>
      <c r="N4867" t="str">
        <f t="shared" ref="N4867:N4930" si="305">IF(B4867&lt;500,"Low",IF(B4867&lt;700,"Medium","High"))</f>
        <v>Medium</v>
      </c>
      <c r="O4867" t="str">
        <f t="shared" ref="O4867:O4930" si="306">IF(G4867=0,"Zero Balance",IF(G4867&lt;100000,"Low Balance","High Balance"))</f>
        <v>Zero Balance</v>
      </c>
      <c r="P4867" t="str">
        <f t="shared" ref="P4867:P4930" si="307">IF(F4867&lt;=3,"New",IF(F4867&lt;=7,"Mid-term","Long-term"))</f>
        <v>Mid-term</v>
      </c>
    </row>
    <row r="4868" spans="1:16" x14ac:dyDescent="0.25">
      <c r="A4868">
        <v>2025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  <c r="M4868" t="str">
        <f t="shared" si="304"/>
        <v>30-45</v>
      </c>
      <c r="N4868" t="str">
        <f t="shared" si="305"/>
        <v>Medium</v>
      </c>
      <c r="O4868" t="str">
        <f t="shared" si="306"/>
        <v>Low Balance</v>
      </c>
      <c r="P4868" t="str">
        <f t="shared" si="307"/>
        <v>New</v>
      </c>
    </row>
    <row r="4869" spans="1:16" x14ac:dyDescent="0.25">
      <c r="A4869">
        <v>2025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  <c r="M4869" t="str">
        <f t="shared" si="304"/>
        <v>30-45</v>
      </c>
      <c r="N4869" t="str">
        <f t="shared" si="305"/>
        <v>Medium</v>
      </c>
      <c r="O4869" t="str">
        <f t="shared" si="306"/>
        <v>Zero Balance</v>
      </c>
      <c r="P4869" t="str">
        <f t="shared" si="307"/>
        <v>New</v>
      </c>
    </row>
    <row r="4870" spans="1:16" x14ac:dyDescent="0.25">
      <c r="A4870">
        <v>2025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  <c r="M4870" t="str">
        <f t="shared" si="304"/>
        <v>30-45</v>
      </c>
      <c r="N4870" t="str">
        <f t="shared" si="305"/>
        <v>High</v>
      </c>
      <c r="O4870" t="str">
        <f t="shared" si="306"/>
        <v>Zero Balance</v>
      </c>
      <c r="P4870" t="str">
        <f t="shared" si="307"/>
        <v>Mid-term</v>
      </c>
    </row>
    <row r="4871" spans="1:16" x14ac:dyDescent="0.25">
      <c r="A4871">
        <v>2025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  <c r="M4871" t="str">
        <f t="shared" si="304"/>
        <v>46-60</v>
      </c>
      <c r="N4871" t="str">
        <f t="shared" si="305"/>
        <v>Medium</v>
      </c>
      <c r="O4871" t="str">
        <f t="shared" si="306"/>
        <v>High Balance</v>
      </c>
      <c r="P4871" t="str">
        <f t="shared" si="307"/>
        <v>Mid-term</v>
      </c>
    </row>
    <row r="4872" spans="1:16" x14ac:dyDescent="0.25">
      <c r="A4872">
        <v>2025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  <c r="M4872" t="str">
        <f t="shared" si="304"/>
        <v>30-45</v>
      </c>
      <c r="N4872" t="str">
        <f t="shared" si="305"/>
        <v>Medium</v>
      </c>
      <c r="O4872" t="str">
        <f t="shared" si="306"/>
        <v>High Balance</v>
      </c>
      <c r="P4872" t="str">
        <f t="shared" si="307"/>
        <v>New</v>
      </c>
    </row>
    <row r="4873" spans="1:16" x14ac:dyDescent="0.25">
      <c r="A4873">
        <v>2025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  <c r="M4873" t="str">
        <f t="shared" si="304"/>
        <v>30-45</v>
      </c>
      <c r="N4873" t="str">
        <f t="shared" si="305"/>
        <v>High</v>
      </c>
      <c r="O4873" t="str">
        <f t="shared" si="306"/>
        <v>Zero Balance</v>
      </c>
      <c r="P4873" t="str">
        <f t="shared" si="307"/>
        <v>New</v>
      </c>
    </row>
    <row r="4874" spans="1:16" x14ac:dyDescent="0.25">
      <c r="A4874">
        <v>2025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  <c r="M4874" t="str">
        <f t="shared" si="304"/>
        <v>30-45</v>
      </c>
      <c r="N4874" t="str">
        <f t="shared" si="305"/>
        <v>High</v>
      </c>
      <c r="O4874" t="str">
        <f t="shared" si="306"/>
        <v>Zero Balance</v>
      </c>
      <c r="P4874" t="str">
        <f t="shared" si="307"/>
        <v>New</v>
      </c>
    </row>
    <row r="4875" spans="1:16" x14ac:dyDescent="0.25">
      <c r="A4875">
        <v>2025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  <c r="M4875" t="str">
        <f t="shared" si="304"/>
        <v>30-45</v>
      </c>
      <c r="N4875" t="str">
        <f t="shared" si="305"/>
        <v>Medium</v>
      </c>
      <c r="O4875" t="str">
        <f t="shared" si="306"/>
        <v>Zero Balance</v>
      </c>
      <c r="P4875" t="str">
        <f t="shared" si="307"/>
        <v>Mid-term</v>
      </c>
    </row>
    <row r="4876" spans="1:16" x14ac:dyDescent="0.25">
      <c r="A4876">
        <v>2025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  <c r="M4876" t="str">
        <f t="shared" si="304"/>
        <v>30-45</v>
      </c>
      <c r="N4876" t="str">
        <f t="shared" si="305"/>
        <v>High</v>
      </c>
      <c r="O4876" t="str">
        <f t="shared" si="306"/>
        <v>Zero Balance</v>
      </c>
      <c r="P4876" t="str">
        <f t="shared" si="307"/>
        <v>Long-term</v>
      </c>
    </row>
    <row r="4877" spans="1:16" x14ac:dyDescent="0.25">
      <c r="A4877">
        <v>2025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  <c r="M4877" t="str">
        <f t="shared" si="304"/>
        <v>30-45</v>
      </c>
      <c r="N4877" t="str">
        <f t="shared" si="305"/>
        <v>Medium</v>
      </c>
      <c r="O4877" t="str">
        <f t="shared" si="306"/>
        <v>High Balance</v>
      </c>
      <c r="P4877" t="str">
        <f t="shared" si="307"/>
        <v>Long-term</v>
      </c>
    </row>
    <row r="4878" spans="1:16" x14ac:dyDescent="0.25">
      <c r="A4878">
        <v>2025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  <c r="M4878" t="str">
        <f t="shared" si="304"/>
        <v>&lt;30</v>
      </c>
      <c r="N4878" t="str">
        <f t="shared" si="305"/>
        <v>Medium</v>
      </c>
      <c r="O4878" t="str">
        <f t="shared" si="306"/>
        <v>Zero Balance</v>
      </c>
      <c r="P4878" t="str">
        <f t="shared" si="307"/>
        <v>Long-term</v>
      </c>
    </row>
    <row r="4879" spans="1:16" x14ac:dyDescent="0.25">
      <c r="A4879">
        <v>2025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  <c r="M4879" t="str">
        <f t="shared" si="304"/>
        <v>30-45</v>
      </c>
      <c r="N4879" t="str">
        <f t="shared" si="305"/>
        <v>High</v>
      </c>
      <c r="O4879" t="str">
        <f t="shared" si="306"/>
        <v>Zero Balance</v>
      </c>
      <c r="P4879" t="str">
        <f t="shared" si="307"/>
        <v>Mid-term</v>
      </c>
    </row>
    <row r="4880" spans="1:16" x14ac:dyDescent="0.25">
      <c r="A4880">
        <v>2025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  <c r="M4880" t="str">
        <f t="shared" si="304"/>
        <v>&lt;30</v>
      </c>
      <c r="N4880" t="str">
        <f t="shared" si="305"/>
        <v>High</v>
      </c>
      <c r="O4880" t="str">
        <f t="shared" si="306"/>
        <v>Low Balance</v>
      </c>
      <c r="P4880" t="str">
        <f t="shared" si="307"/>
        <v>Long-term</v>
      </c>
    </row>
    <row r="4881" spans="1:16" x14ac:dyDescent="0.25">
      <c r="A4881">
        <v>2025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  <c r="M4881" t="str">
        <f t="shared" si="304"/>
        <v>30-45</v>
      </c>
      <c r="N4881" t="str">
        <f t="shared" si="305"/>
        <v>High</v>
      </c>
      <c r="O4881" t="str">
        <f t="shared" si="306"/>
        <v>Low Balance</v>
      </c>
      <c r="P4881" t="str">
        <f t="shared" si="307"/>
        <v>New</v>
      </c>
    </row>
    <row r="4882" spans="1:16" x14ac:dyDescent="0.25">
      <c r="A4882">
        <v>2025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  <c r="M4882" t="str">
        <f t="shared" si="304"/>
        <v>30-45</v>
      </c>
      <c r="N4882" t="str">
        <f t="shared" si="305"/>
        <v>High</v>
      </c>
      <c r="O4882" t="str">
        <f t="shared" si="306"/>
        <v>Low Balance</v>
      </c>
      <c r="P4882" t="str">
        <f t="shared" si="307"/>
        <v>Mid-term</v>
      </c>
    </row>
    <row r="4883" spans="1:16" x14ac:dyDescent="0.25">
      <c r="A4883">
        <v>2025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  <c r="M4883" t="str">
        <f t="shared" si="304"/>
        <v>30-45</v>
      </c>
      <c r="N4883" t="str">
        <f t="shared" si="305"/>
        <v>Medium</v>
      </c>
      <c r="O4883" t="str">
        <f t="shared" si="306"/>
        <v>Zero Balance</v>
      </c>
      <c r="P4883" t="str">
        <f t="shared" si="307"/>
        <v>Mid-term</v>
      </c>
    </row>
    <row r="4884" spans="1:16" x14ac:dyDescent="0.25">
      <c r="A4884">
        <v>2025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  <c r="M4884" t="str">
        <f t="shared" si="304"/>
        <v>30-45</v>
      </c>
      <c r="N4884" t="str">
        <f t="shared" si="305"/>
        <v>Medium</v>
      </c>
      <c r="O4884" t="str">
        <f t="shared" si="306"/>
        <v>High Balance</v>
      </c>
      <c r="P4884" t="str">
        <f t="shared" si="307"/>
        <v>Long-term</v>
      </c>
    </row>
    <row r="4885" spans="1:16" x14ac:dyDescent="0.25">
      <c r="A4885">
        <v>2025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  <c r="M4885" t="str">
        <f t="shared" si="304"/>
        <v>30-45</v>
      </c>
      <c r="N4885" t="str">
        <f t="shared" si="305"/>
        <v>Medium</v>
      </c>
      <c r="O4885" t="str">
        <f t="shared" si="306"/>
        <v>High Balance</v>
      </c>
      <c r="P4885" t="str">
        <f t="shared" si="307"/>
        <v>Long-term</v>
      </c>
    </row>
    <row r="4886" spans="1:16" x14ac:dyDescent="0.25">
      <c r="A4886">
        <v>2025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  <c r="M4886" t="str">
        <f t="shared" si="304"/>
        <v>46-60</v>
      </c>
      <c r="N4886" t="str">
        <f t="shared" si="305"/>
        <v>Medium</v>
      </c>
      <c r="O4886" t="str">
        <f t="shared" si="306"/>
        <v>High Balance</v>
      </c>
      <c r="P4886" t="str">
        <f t="shared" si="307"/>
        <v>New</v>
      </c>
    </row>
    <row r="4887" spans="1:16" x14ac:dyDescent="0.25">
      <c r="A4887">
        <v>2025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  <c r="M4887" t="str">
        <f t="shared" si="304"/>
        <v>30-45</v>
      </c>
      <c r="N4887" t="str">
        <f t="shared" si="305"/>
        <v>Medium</v>
      </c>
      <c r="O4887" t="str">
        <f t="shared" si="306"/>
        <v>High Balance</v>
      </c>
      <c r="P4887" t="str">
        <f t="shared" si="307"/>
        <v>Mid-term</v>
      </c>
    </row>
    <row r="4888" spans="1:16" x14ac:dyDescent="0.25">
      <c r="A4888">
        <v>2025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  <c r="M4888" t="str">
        <f t="shared" si="304"/>
        <v>46-60</v>
      </c>
      <c r="N4888" t="str">
        <f t="shared" si="305"/>
        <v>High</v>
      </c>
      <c r="O4888" t="str">
        <f t="shared" si="306"/>
        <v>High Balance</v>
      </c>
      <c r="P4888" t="str">
        <f t="shared" si="307"/>
        <v>Mid-term</v>
      </c>
    </row>
    <row r="4889" spans="1:16" x14ac:dyDescent="0.25">
      <c r="A4889">
        <v>2025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  <c r="M4889" t="str">
        <f t="shared" si="304"/>
        <v>30-45</v>
      </c>
      <c r="N4889" t="str">
        <f t="shared" si="305"/>
        <v>Medium</v>
      </c>
      <c r="O4889" t="str">
        <f t="shared" si="306"/>
        <v>High Balance</v>
      </c>
      <c r="P4889" t="str">
        <f t="shared" si="307"/>
        <v>New</v>
      </c>
    </row>
    <row r="4890" spans="1:16" x14ac:dyDescent="0.25">
      <c r="A4890">
        <v>2025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  <c r="M4890" t="str">
        <f t="shared" si="304"/>
        <v>46-60</v>
      </c>
      <c r="N4890" t="str">
        <f t="shared" si="305"/>
        <v>Low</v>
      </c>
      <c r="O4890" t="str">
        <f t="shared" si="306"/>
        <v>High Balance</v>
      </c>
      <c r="P4890" t="str">
        <f t="shared" si="307"/>
        <v>Long-term</v>
      </c>
    </row>
    <row r="4891" spans="1:16" x14ac:dyDescent="0.25">
      <c r="A4891">
        <v>2025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  <c r="M4891" t="str">
        <f t="shared" si="304"/>
        <v>30-45</v>
      </c>
      <c r="N4891" t="str">
        <f t="shared" si="305"/>
        <v>Medium</v>
      </c>
      <c r="O4891" t="str">
        <f t="shared" si="306"/>
        <v>High Balance</v>
      </c>
      <c r="P4891" t="str">
        <f t="shared" si="307"/>
        <v>Long-term</v>
      </c>
    </row>
    <row r="4892" spans="1:16" x14ac:dyDescent="0.25">
      <c r="A4892">
        <v>2025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  <c r="M4892" t="str">
        <f t="shared" si="304"/>
        <v>30-45</v>
      </c>
      <c r="N4892" t="str">
        <f t="shared" si="305"/>
        <v>Medium</v>
      </c>
      <c r="O4892" t="str">
        <f t="shared" si="306"/>
        <v>Zero Balance</v>
      </c>
      <c r="P4892" t="str">
        <f t="shared" si="307"/>
        <v>Mid-term</v>
      </c>
    </row>
    <row r="4893" spans="1:16" x14ac:dyDescent="0.25">
      <c r="A4893">
        <v>2025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  <c r="M4893" t="str">
        <f t="shared" si="304"/>
        <v>30-45</v>
      </c>
      <c r="N4893" t="str">
        <f t="shared" si="305"/>
        <v>High</v>
      </c>
      <c r="O4893" t="str">
        <f t="shared" si="306"/>
        <v>Low Balance</v>
      </c>
      <c r="P4893" t="str">
        <f t="shared" si="307"/>
        <v>Mid-term</v>
      </c>
    </row>
    <row r="4894" spans="1:16" x14ac:dyDescent="0.25">
      <c r="A4894">
        <v>2025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  <c r="M4894" t="str">
        <f t="shared" si="304"/>
        <v>46-60</v>
      </c>
      <c r="N4894" t="str">
        <f t="shared" si="305"/>
        <v>High</v>
      </c>
      <c r="O4894" t="str">
        <f t="shared" si="306"/>
        <v>Low Balance</v>
      </c>
      <c r="P4894" t="str">
        <f t="shared" si="307"/>
        <v>Long-term</v>
      </c>
    </row>
    <row r="4895" spans="1:16" x14ac:dyDescent="0.25">
      <c r="A4895">
        <v>2025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  <c r="M4895" t="str">
        <f t="shared" si="304"/>
        <v>&lt;30</v>
      </c>
      <c r="N4895" t="str">
        <f t="shared" si="305"/>
        <v>High</v>
      </c>
      <c r="O4895" t="str">
        <f t="shared" si="306"/>
        <v>Zero Balance</v>
      </c>
      <c r="P4895" t="str">
        <f t="shared" si="307"/>
        <v>Mid-term</v>
      </c>
    </row>
    <row r="4896" spans="1:16" x14ac:dyDescent="0.25">
      <c r="A4896">
        <v>2025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  <c r="M4896" t="str">
        <f t="shared" si="304"/>
        <v>30-45</v>
      </c>
      <c r="N4896" t="str">
        <f t="shared" si="305"/>
        <v>Medium</v>
      </c>
      <c r="O4896" t="str">
        <f t="shared" si="306"/>
        <v>High Balance</v>
      </c>
      <c r="P4896" t="str">
        <f t="shared" si="307"/>
        <v>Long-term</v>
      </c>
    </row>
    <row r="4897" spans="1:16" x14ac:dyDescent="0.25">
      <c r="A4897">
        <v>2025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  <c r="M4897" t="str">
        <f t="shared" si="304"/>
        <v>30-45</v>
      </c>
      <c r="N4897" t="str">
        <f t="shared" si="305"/>
        <v>High</v>
      </c>
      <c r="O4897" t="str">
        <f t="shared" si="306"/>
        <v>Zero Balance</v>
      </c>
      <c r="P4897" t="str">
        <f t="shared" si="307"/>
        <v>Mid-term</v>
      </c>
    </row>
    <row r="4898" spans="1:16" x14ac:dyDescent="0.25">
      <c r="A4898">
        <v>2025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  <c r="M4898" t="str">
        <f t="shared" si="304"/>
        <v>30-45</v>
      </c>
      <c r="N4898" t="str">
        <f t="shared" si="305"/>
        <v>Medium</v>
      </c>
      <c r="O4898" t="str">
        <f t="shared" si="306"/>
        <v>Low Balance</v>
      </c>
      <c r="P4898" t="str">
        <f t="shared" si="307"/>
        <v>Mid-term</v>
      </c>
    </row>
    <row r="4899" spans="1:16" x14ac:dyDescent="0.25">
      <c r="A4899">
        <v>2025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  <c r="M4899" t="str">
        <f t="shared" si="304"/>
        <v>30-45</v>
      </c>
      <c r="N4899" t="str">
        <f t="shared" si="305"/>
        <v>Medium</v>
      </c>
      <c r="O4899" t="str">
        <f t="shared" si="306"/>
        <v>Zero Balance</v>
      </c>
      <c r="P4899" t="str">
        <f t="shared" si="307"/>
        <v>New</v>
      </c>
    </row>
    <row r="4900" spans="1:16" x14ac:dyDescent="0.25">
      <c r="A4900">
        <v>2025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  <c r="M4900" t="str">
        <f t="shared" si="304"/>
        <v>30-45</v>
      </c>
      <c r="N4900" t="str">
        <f t="shared" si="305"/>
        <v>Medium</v>
      </c>
      <c r="O4900" t="str">
        <f t="shared" si="306"/>
        <v>Zero Balance</v>
      </c>
      <c r="P4900" t="str">
        <f t="shared" si="307"/>
        <v>Mid-term</v>
      </c>
    </row>
    <row r="4901" spans="1:16" x14ac:dyDescent="0.25">
      <c r="A4901">
        <v>2025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  <c r="M4901" t="str">
        <f t="shared" si="304"/>
        <v>30-45</v>
      </c>
      <c r="N4901" t="str">
        <f t="shared" si="305"/>
        <v>High</v>
      </c>
      <c r="O4901" t="str">
        <f t="shared" si="306"/>
        <v>High Balance</v>
      </c>
      <c r="P4901" t="str">
        <f t="shared" si="307"/>
        <v>Long-term</v>
      </c>
    </row>
    <row r="4902" spans="1:16" x14ac:dyDescent="0.25">
      <c r="A4902">
        <v>2025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  <c r="M4902" t="str">
        <f t="shared" si="304"/>
        <v>30-45</v>
      </c>
      <c r="N4902" t="str">
        <f t="shared" si="305"/>
        <v>High</v>
      </c>
      <c r="O4902" t="str">
        <f t="shared" si="306"/>
        <v>High Balance</v>
      </c>
      <c r="P4902" t="str">
        <f t="shared" si="307"/>
        <v>Mid-term</v>
      </c>
    </row>
    <row r="4903" spans="1:16" x14ac:dyDescent="0.25">
      <c r="A4903">
        <v>2025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  <c r="M4903" t="str">
        <f t="shared" si="304"/>
        <v>46-60</v>
      </c>
      <c r="N4903" t="str">
        <f t="shared" si="305"/>
        <v>Medium</v>
      </c>
      <c r="O4903" t="str">
        <f t="shared" si="306"/>
        <v>High Balance</v>
      </c>
      <c r="P4903" t="str">
        <f t="shared" si="307"/>
        <v>New</v>
      </c>
    </row>
    <row r="4904" spans="1:16" x14ac:dyDescent="0.25">
      <c r="A4904">
        <v>2025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  <c r="M4904" t="str">
        <f t="shared" si="304"/>
        <v>30-45</v>
      </c>
      <c r="N4904" t="str">
        <f t="shared" si="305"/>
        <v>Medium</v>
      </c>
      <c r="O4904" t="str">
        <f t="shared" si="306"/>
        <v>High Balance</v>
      </c>
      <c r="P4904" t="str">
        <f t="shared" si="307"/>
        <v>New</v>
      </c>
    </row>
    <row r="4905" spans="1:16" x14ac:dyDescent="0.25">
      <c r="A4905">
        <v>2025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  <c r="M4905" t="str">
        <f t="shared" si="304"/>
        <v>30-45</v>
      </c>
      <c r="N4905" t="str">
        <f t="shared" si="305"/>
        <v>Medium</v>
      </c>
      <c r="O4905" t="str">
        <f t="shared" si="306"/>
        <v>High Balance</v>
      </c>
      <c r="P4905" t="str">
        <f t="shared" si="307"/>
        <v>New</v>
      </c>
    </row>
    <row r="4906" spans="1:16" x14ac:dyDescent="0.25">
      <c r="A4906">
        <v>2025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  <c r="M4906" t="str">
        <f t="shared" si="304"/>
        <v>30-45</v>
      </c>
      <c r="N4906" t="str">
        <f t="shared" si="305"/>
        <v>High</v>
      </c>
      <c r="O4906" t="str">
        <f t="shared" si="306"/>
        <v>Zero Balance</v>
      </c>
      <c r="P4906" t="str">
        <f t="shared" si="307"/>
        <v>Mid-term</v>
      </c>
    </row>
    <row r="4907" spans="1:16" x14ac:dyDescent="0.25">
      <c r="A4907">
        <v>2025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  <c r="M4907" t="str">
        <f t="shared" si="304"/>
        <v>30-45</v>
      </c>
      <c r="N4907" t="str">
        <f t="shared" si="305"/>
        <v>Medium</v>
      </c>
      <c r="O4907" t="str">
        <f t="shared" si="306"/>
        <v>Zero Balance</v>
      </c>
      <c r="P4907" t="str">
        <f t="shared" si="307"/>
        <v>New</v>
      </c>
    </row>
    <row r="4908" spans="1:16" x14ac:dyDescent="0.25">
      <c r="A4908">
        <v>2025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  <c r="M4908" t="str">
        <f t="shared" si="304"/>
        <v>30-45</v>
      </c>
      <c r="N4908" t="str">
        <f t="shared" si="305"/>
        <v>High</v>
      </c>
      <c r="O4908" t="str">
        <f t="shared" si="306"/>
        <v>Zero Balance</v>
      </c>
      <c r="P4908" t="str">
        <f t="shared" si="307"/>
        <v>New</v>
      </c>
    </row>
    <row r="4909" spans="1:16" x14ac:dyDescent="0.25">
      <c r="A4909">
        <v>2025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  <c r="M4909" t="str">
        <f t="shared" si="304"/>
        <v>30-45</v>
      </c>
      <c r="N4909" t="str">
        <f t="shared" si="305"/>
        <v>Medium</v>
      </c>
      <c r="O4909" t="str">
        <f t="shared" si="306"/>
        <v>High Balance</v>
      </c>
      <c r="P4909" t="str">
        <f t="shared" si="307"/>
        <v>New</v>
      </c>
    </row>
    <row r="4910" spans="1:16" x14ac:dyDescent="0.25">
      <c r="A4910">
        <v>2025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  <c r="M4910" t="str">
        <f t="shared" si="304"/>
        <v>46-60</v>
      </c>
      <c r="N4910" t="str">
        <f t="shared" si="305"/>
        <v>Medium</v>
      </c>
      <c r="O4910" t="str">
        <f t="shared" si="306"/>
        <v>High Balance</v>
      </c>
      <c r="P4910" t="str">
        <f t="shared" si="307"/>
        <v>New</v>
      </c>
    </row>
    <row r="4911" spans="1:16" x14ac:dyDescent="0.25">
      <c r="A4911">
        <v>2025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  <c r="M4911" t="str">
        <f t="shared" si="304"/>
        <v>&lt;30</v>
      </c>
      <c r="N4911" t="str">
        <f t="shared" si="305"/>
        <v>Medium</v>
      </c>
      <c r="O4911" t="str">
        <f t="shared" si="306"/>
        <v>Zero Balance</v>
      </c>
      <c r="P4911" t="str">
        <f t="shared" si="307"/>
        <v>Mid-term</v>
      </c>
    </row>
    <row r="4912" spans="1:16" x14ac:dyDescent="0.25">
      <c r="A4912">
        <v>2025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  <c r="M4912" t="str">
        <f t="shared" si="304"/>
        <v>30-45</v>
      </c>
      <c r="N4912" t="str">
        <f t="shared" si="305"/>
        <v>Medium</v>
      </c>
      <c r="O4912" t="str">
        <f t="shared" si="306"/>
        <v>Zero Balance</v>
      </c>
      <c r="P4912" t="str">
        <f t="shared" si="307"/>
        <v>Long-term</v>
      </c>
    </row>
    <row r="4913" spans="1:16" x14ac:dyDescent="0.25">
      <c r="A4913">
        <v>2025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  <c r="M4913" t="str">
        <f t="shared" si="304"/>
        <v>30-45</v>
      </c>
      <c r="N4913" t="str">
        <f t="shared" si="305"/>
        <v>Low</v>
      </c>
      <c r="O4913" t="str">
        <f t="shared" si="306"/>
        <v>Zero Balance</v>
      </c>
      <c r="P4913" t="str">
        <f t="shared" si="307"/>
        <v>New</v>
      </c>
    </row>
    <row r="4914" spans="1:16" x14ac:dyDescent="0.25">
      <c r="A4914">
        <v>2025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  <c r="M4914" t="str">
        <f t="shared" si="304"/>
        <v>46-60</v>
      </c>
      <c r="N4914" t="str">
        <f t="shared" si="305"/>
        <v>High</v>
      </c>
      <c r="O4914" t="str">
        <f t="shared" si="306"/>
        <v>High Balance</v>
      </c>
      <c r="P4914" t="str">
        <f t="shared" si="307"/>
        <v>New</v>
      </c>
    </row>
    <row r="4915" spans="1:16" x14ac:dyDescent="0.25">
      <c r="A4915">
        <v>2025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  <c r="M4915" t="str">
        <f t="shared" si="304"/>
        <v>46-60</v>
      </c>
      <c r="N4915" t="str">
        <f t="shared" si="305"/>
        <v>Medium</v>
      </c>
      <c r="O4915" t="str">
        <f t="shared" si="306"/>
        <v>High Balance</v>
      </c>
      <c r="P4915" t="str">
        <f t="shared" si="307"/>
        <v>New</v>
      </c>
    </row>
    <row r="4916" spans="1:16" x14ac:dyDescent="0.25">
      <c r="A4916">
        <v>2025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  <c r="M4916" t="str">
        <f t="shared" si="304"/>
        <v>46-60</v>
      </c>
      <c r="N4916" t="str">
        <f t="shared" si="305"/>
        <v>High</v>
      </c>
      <c r="O4916" t="str">
        <f t="shared" si="306"/>
        <v>Low Balance</v>
      </c>
      <c r="P4916" t="str">
        <f t="shared" si="307"/>
        <v>Long-term</v>
      </c>
    </row>
    <row r="4917" spans="1:16" x14ac:dyDescent="0.25">
      <c r="A4917">
        <v>2025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  <c r="M4917" t="str">
        <f t="shared" si="304"/>
        <v>30-45</v>
      </c>
      <c r="N4917" t="str">
        <f t="shared" si="305"/>
        <v>High</v>
      </c>
      <c r="O4917" t="str">
        <f t="shared" si="306"/>
        <v>Zero Balance</v>
      </c>
      <c r="P4917" t="str">
        <f t="shared" si="307"/>
        <v>New</v>
      </c>
    </row>
    <row r="4918" spans="1:16" x14ac:dyDescent="0.25">
      <c r="A4918">
        <v>2025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  <c r="M4918" t="str">
        <f t="shared" si="304"/>
        <v>30-45</v>
      </c>
      <c r="N4918" t="str">
        <f t="shared" si="305"/>
        <v>Medium</v>
      </c>
      <c r="O4918" t="str">
        <f t="shared" si="306"/>
        <v>Low Balance</v>
      </c>
      <c r="P4918" t="str">
        <f t="shared" si="307"/>
        <v>Mid-term</v>
      </c>
    </row>
    <row r="4919" spans="1:16" x14ac:dyDescent="0.25">
      <c r="A4919">
        <v>2025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  <c r="M4919" t="str">
        <f t="shared" si="304"/>
        <v>30-45</v>
      </c>
      <c r="N4919" t="str">
        <f t="shared" si="305"/>
        <v>Medium</v>
      </c>
      <c r="O4919" t="str">
        <f t="shared" si="306"/>
        <v>High Balance</v>
      </c>
      <c r="P4919" t="str">
        <f t="shared" si="307"/>
        <v>Mid-term</v>
      </c>
    </row>
    <row r="4920" spans="1:16" x14ac:dyDescent="0.25">
      <c r="A4920">
        <v>2025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  <c r="M4920" t="str">
        <f t="shared" si="304"/>
        <v>30-45</v>
      </c>
      <c r="N4920" t="str">
        <f t="shared" si="305"/>
        <v>High</v>
      </c>
      <c r="O4920" t="str">
        <f t="shared" si="306"/>
        <v>Low Balance</v>
      </c>
      <c r="P4920" t="str">
        <f t="shared" si="307"/>
        <v>New</v>
      </c>
    </row>
    <row r="4921" spans="1:16" x14ac:dyDescent="0.25">
      <c r="A4921">
        <v>2025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  <c r="M4921" t="str">
        <f t="shared" si="304"/>
        <v>46-60</v>
      </c>
      <c r="N4921" t="str">
        <f t="shared" si="305"/>
        <v>Medium</v>
      </c>
      <c r="O4921" t="str">
        <f t="shared" si="306"/>
        <v>High Balance</v>
      </c>
      <c r="P4921" t="str">
        <f t="shared" si="307"/>
        <v>Long-term</v>
      </c>
    </row>
    <row r="4922" spans="1:16" x14ac:dyDescent="0.25">
      <c r="A4922">
        <v>2025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  <c r="M4922" t="str">
        <f t="shared" si="304"/>
        <v>30-45</v>
      </c>
      <c r="N4922" t="str">
        <f t="shared" si="305"/>
        <v>Medium</v>
      </c>
      <c r="O4922" t="str">
        <f t="shared" si="306"/>
        <v>Zero Balance</v>
      </c>
      <c r="P4922" t="str">
        <f t="shared" si="307"/>
        <v>New</v>
      </c>
    </row>
    <row r="4923" spans="1:16" x14ac:dyDescent="0.25">
      <c r="A4923">
        <v>2025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  <c r="M4923" t="str">
        <f t="shared" si="304"/>
        <v>30-45</v>
      </c>
      <c r="N4923" t="str">
        <f t="shared" si="305"/>
        <v>Medium</v>
      </c>
      <c r="O4923" t="str">
        <f t="shared" si="306"/>
        <v>High Balance</v>
      </c>
      <c r="P4923" t="str">
        <f t="shared" si="307"/>
        <v>Long-term</v>
      </c>
    </row>
    <row r="4924" spans="1:16" x14ac:dyDescent="0.25">
      <c r="A4924">
        <v>2025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  <c r="M4924" t="str">
        <f t="shared" si="304"/>
        <v>&lt;30</v>
      </c>
      <c r="N4924" t="str">
        <f t="shared" si="305"/>
        <v>High</v>
      </c>
      <c r="O4924" t="str">
        <f t="shared" si="306"/>
        <v>Low Balance</v>
      </c>
      <c r="P4924" t="str">
        <f t="shared" si="307"/>
        <v>Mid-term</v>
      </c>
    </row>
    <row r="4925" spans="1:16" x14ac:dyDescent="0.25">
      <c r="A4925">
        <v>2025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  <c r="M4925" t="str">
        <f t="shared" si="304"/>
        <v>30-45</v>
      </c>
      <c r="N4925" t="str">
        <f t="shared" si="305"/>
        <v>Medium</v>
      </c>
      <c r="O4925" t="str">
        <f t="shared" si="306"/>
        <v>Low Balance</v>
      </c>
      <c r="P4925" t="str">
        <f t="shared" si="307"/>
        <v>New</v>
      </c>
    </row>
    <row r="4926" spans="1:16" x14ac:dyDescent="0.25">
      <c r="A4926">
        <v>2025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  <c r="M4926" t="str">
        <f t="shared" si="304"/>
        <v>30-45</v>
      </c>
      <c r="N4926" t="str">
        <f t="shared" si="305"/>
        <v>High</v>
      </c>
      <c r="O4926" t="str">
        <f t="shared" si="306"/>
        <v>High Balance</v>
      </c>
      <c r="P4926" t="str">
        <f t="shared" si="307"/>
        <v>Mid-term</v>
      </c>
    </row>
    <row r="4927" spans="1:16" x14ac:dyDescent="0.25">
      <c r="A4927">
        <v>2025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  <c r="M4927" t="str">
        <f t="shared" si="304"/>
        <v>46-60</v>
      </c>
      <c r="N4927" t="str">
        <f t="shared" si="305"/>
        <v>High</v>
      </c>
      <c r="O4927" t="str">
        <f t="shared" si="306"/>
        <v>High Balance</v>
      </c>
      <c r="P4927" t="str">
        <f t="shared" si="307"/>
        <v>New</v>
      </c>
    </row>
    <row r="4928" spans="1:16" x14ac:dyDescent="0.25">
      <c r="A4928">
        <v>2025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  <c r="M4928" t="str">
        <f t="shared" si="304"/>
        <v>30-45</v>
      </c>
      <c r="N4928" t="str">
        <f t="shared" si="305"/>
        <v>Medium</v>
      </c>
      <c r="O4928" t="str">
        <f t="shared" si="306"/>
        <v>High Balance</v>
      </c>
      <c r="P4928" t="str">
        <f t="shared" si="307"/>
        <v>Mid-term</v>
      </c>
    </row>
    <row r="4929" spans="1:16" x14ac:dyDescent="0.25">
      <c r="A4929">
        <v>2025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  <c r="M4929" t="str">
        <f t="shared" si="304"/>
        <v>30-45</v>
      </c>
      <c r="N4929" t="str">
        <f t="shared" si="305"/>
        <v>Medium</v>
      </c>
      <c r="O4929" t="str">
        <f t="shared" si="306"/>
        <v>Zero Balance</v>
      </c>
      <c r="P4929" t="str">
        <f t="shared" si="307"/>
        <v>Long-term</v>
      </c>
    </row>
    <row r="4930" spans="1:16" x14ac:dyDescent="0.25">
      <c r="A4930">
        <v>2025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  <c r="M4930" t="str">
        <f t="shared" si="304"/>
        <v>30-45</v>
      </c>
      <c r="N4930" t="str">
        <f t="shared" si="305"/>
        <v>Medium</v>
      </c>
      <c r="O4930" t="str">
        <f t="shared" si="306"/>
        <v>Low Balance</v>
      </c>
      <c r="P4930" t="str">
        <f t="shared" si="307"/>
        <v>Mid-term</v>
      </c>
    </row>
    <row r="4931" spans="1:16" x14ac:dyDescent="0.25">
      <c r="A4931">
        <v>2025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  <c r="M4931" t="str">
        <f t="shared" ref="M4931:M4994" si="308">IF(E4931&lt;30,"&lt;30",IF(E4931&lt;=45,"30-45",IF(E4931&lt;=60,"46-60","60+")))</f>
        <v>30-45</v>
      </c>
      <c r="N4931" t="str">
        <f t="shared" ref="N4931:N4994" si="309">IF(B4931&lt;500,"Low",IF(B4931&lt;700,"Medium","High"))</f>
        <v>Medium</v>
      </c>
      <c r="O4931" t="str">
        <f t="shared" ref="O4931:O4994" si="310">IF(G4931=0,"Zero Balance",IF(G4931&lt;100000,"Low Balance","High Balance"))</f>
        <v>Low Balance</v>
      </c>
      <c r="P4931" t="str">
        <f t="shared" ref="P4931:P4994" si="311">IF(F4931&lt;=3,"New",IF(F4931&lt;=7,"Mid-term","Long-term"))</f>
        <v>New</v>
      </c>
    </row>
    <row r="4932" spans="1:16" x14ac:dyDescent="0.25">
      <c r="A4932">
        <v>2025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  <c r="M4932" t="str">
        <f t="shared" si="308"/>
        <v>30-45</v>
      </c>
      <c r="N4932" t="str">
        <f t="shared" si="309"/>
        <v>Medium</v>
      </c>
      <c r="O4932" t="str">
        <f t="shared" si="310"/>
        <v>High Balance</v>
      </c>
      <c r="P4932" t="str">
        <f t="shared" si="311"/>
        <v>Mid-term</v>
      </c>
    </row>
    <row r="4933" spans="1:16" x14ac:dyDescent="0.25">
      <c r="A4933">
        <v>2025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  <c r="M4933" t="str">
        <f t="shared" si="308"/>
        <v>60+</v>
      </c>
      <c r="N4933" t="str">
        <f t="shared" si="309"/>
        <v>Medium</v>
      </c>
      <c r="O4933" t="str">
        <f t="shared" si="310"/>
        <v>High Balance</v>
      </c>
      <c r="P4933" t="str">
        <f t="shared" si="311"/>
        <v>Mid-term</v>
      </c>
    </row>
    <row r="4934" spans="1:16" x14ac:dyDescent="0.25">
      <c r="A4934">
        <v>2025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  <c r="M4934" t="str">
        <f t="shared" si="308"/>
        <v>&lt;30</v>
      </c>
      <c r="N4934" t="str">
        <f t="shared" si="309"/>
        <v>Medium</v>
      </c>
      <c r="O4934" t="str">
        <f t="shared" si="310"/>
        <v>High Balance</v>
      </c>
      <c r="P4934" t="str">
        <f t="shared" si="311"/>
        <v>New</v>
      </c>
    </row>
    <row r="4935" spans="1:16" x14ac:dyDescent="0.25">
      <c r="A4935">
        <v>2025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  <c r="M4935" t="str">
        <f t="shared" si="308"/>
        <v>30-45</v>
      </c>
      <c r="N4935" t="str">
        <f t="shared" si="309"/>
        <v>Low</v>
      </c>
      <c r="O4935" t="str">
        <f t="shared" si="310"/>
        <v>High Balance</v>
      </c>
      <c r="P4935" t="str">
        <f t="shared" si="311"/>
        <v>New</v>
      </c>
    </row>
    <row r="4936" spans="1:16" x14ac:dyDescent="0.25">
      <c r="A4936">
        <v>2025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  <c r="M4936" t="str">
        <f t="shared" si="308"/>
        <v>46-60</v>
      </c>
      <c r="N4936" t="str">
        <f t="shared" si="309"/>
        <v>Medium</v>
      </c>
      <c r="O4936" t="str">
        <f t="shared" si="310"/>
        <v>Low Balance</v>
      </c>
      <c r="P4936" t="str">
        <f t="shared" si="311"/>
        <v>New</v>
      </c>
    </row>
    <row r="4937" spans="1:16" x14ac:dyDescent="0.25">
      <c r="A4937">
        <v>2025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  <c r="M4937" t="str">
        <f t="shared" si="308"/>
        <v>30-45</v>
      </c>
      <c r="N4937" t="str">
        <f t="shared" si="309"/>
        <v>Medium</v>
      </c>
      <c r="O4937" t="str">
        <f t="shared" si="310"/>
        <v>High Balance</v>
      </c>
      <c r="P4937" t="str">
        <f t="shared" si="311"/>
        <v>Mid-term</v>
      </c>
    </row>
    <row r="4938" spans="1:16" x14ac:dyDescent="0.25">
      <c r="A4938">
        <v>2025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  <c r="M4938" t="str">
        <f t="shared" si="308"/>
        <v>&lt;30</v>
      </c>
      <c r="N4938" t="str">
        <f t="shared" si="309"/>
        <v>Medium</v>
      </c>
      <c r="O4938" t="str">
        <f t="shared" si="310"/>
        <v>High Balance</v>
      </c>
      <c r="P4938" t="str">
        <f t="shared" si="311"/>
        <v>New</v>
      </c>
    </row>
    <row r="4939" spans="1:16" x14ac:dyDescent="0.25">
      <c r="A4939">
        <v>2025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  <c r="M4939" t="str">
        <f t="shared" si="308"/>
        <v>30-45</v>
      </c>
      <c r="N4939" t="str">
        <f t="shared" si="309"/>
        <v>Medium</v>
      </c>
      <c r="O4939" t="str">
        <f t="shared" si="310"/>
        <v>High Balance</v>
      </c>
      <c r="P4939" t="str">
        <f t="shared" si="311"/>
        <v>New</v>
      </c>
    </row>
    <row r="4940" spans="1:16" x14ac:dyDescent="0.25">
      <c r="A4940">
        <v>2025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  <c r="M4940" t="str">
        <f t="shared" si="308"/>
        <v>30-45</v>
      </c>
      <c r="N4940" t="str">
        <f t="shared" si="309"/>
        <v>High</v>
      </c>
      <c r="O4940" t="str">
        <f t="shared" si="310"/>
        <v>High Balance</v>
      </c>
      <c r="P4940" t="str">
        <f t="shared" si="311"/>
        <v>Long-term</v>
      </c>
    </row>
    <row r="4941" spans="1:16" x14ac:dyDescent="0.25">
      <c r="A4941">
        <v>2025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  <c r="M4941" t="str">
        <f t="shared" si="308"/>
        <v>30-45</v>
      </c>
      <c r="N4941" t="str">
        <f t="shared" si="309"/>
        <v>Medium</v>
      </c>
      <c r="O4941" t="str">
        <f t="shared" si="310"/>
        <v>High Balance</v>
      </c>
      <c r="P4941" t="str">
        <f t="shared" si="311"/>
        <v>Mid-term</v>
      </c>
    </row>
    <row r="4942" spans="1:16" x14ac:dyDescent="0.25">
      <c r="A4942">
        <v>2025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  <c r="M4942" t="str">
        <f t="shared" si="308"/>
        <v>30-45</v>
      </c>
      <c r="N4942" t="str">
        <f t="shared" si="309"/>
        <v>High</v>
      </c>
      <c r="O4942" t="str">
        <f t="shared" si="310"/>
        <v>High Balance</v>
      </c>
      <c r="P4942" t="str">
        <f t="shared" si="311"/>
        <v>New</v>
      </c>
    </row>
    <row r="4943" spans="1:16" x14ac:dyDescent="0.25">
      <c r="A4943">
        <v>2025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  <c r="M4943" t="str">
        <f t="shared" si="308"/>
        <v>30-45</v>
      </c>
      <c r="N4943" t="str">
        <f t="shared" si="309"/>
        <v>Medium</v>
      </c>
      <c r="O4943" t="str">
        <f t="shared" si="310"/>
        <v>High Balance</v>
      </c>
      <c r="P4943" t="str">
        <f t="shared" si="311"/>
        <v>Long-term</v>
      </c>
    </row>
    <row r="4944" spans="1:16" x14ac:dyDescent="0.25">
      <c r="A4944">
        <v>2025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  <c r="M4944" t="str">
        <f t="shared" si="308"/>
        <v>30-45</v>
      </c>
      <c r="N4944" t="str">
        <f t="shared" si="309"/>
        <v>Medium</v>
      </c>
      <c r="O4944" t="str">
        <f t="shared" si="310"/>
        <v>High Balance</v>
      </c>
      <c r="P4944" t="str">
        <f t="shared" si="311"/>
        <v>New</v>
      </c>
    </row>
    <row r="4945" spans="1:16" x14ac:dyDescent="0.25">
      <c r="A4945">
        <v>2025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  <c r="M4945" t="str">
        <f t="shared" si="308"/>
        <v>30-45</v>
      </c>
      <c r="N4945" t="str">
        <f t="shared" si="309"/>
        <v>Medium</v>
      </c>
      <c r="O4945" t="str">
        <f t="shared" si="310"/>
        <v>Low Balance</v>
      </c>
      <c r="P4945" t="str">
        <f t="shared" si="311"/>
        <v>Mid-term</v>
      </c>
    </row>
    <row r="4946" spans="1:16" x14ac:dyDescent="0.25">
      <c r="A4946">
        <v>2025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  <c r="M4946" t="str">
        <f t="shared" si="308"/>
        <v>46-60</v>
      </c>
      <c r="N4946" t="str">
        <f t="shared" si="309"/>
        <v>Medium</v>
      </c>
      <c r="O4946" t="str">
        <f t="shared" si="310"/>
        <v>High Balance</v>
      </c>
      <c r="P4946" t="str">
        <f t="shared" si="311"/>
        <v>Mid-term</v>
      </c>
    </row>
    <row r="4947" spans="1:16" x14ac:dyDescent="0.25">
      <c r="A4947">
        <v>2025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  <c r="M4947" t="str">
        <f t="shared" si="308"/>
        <v>30-45</v>
      </c>
      <c r="N4947" t="str">
        <f t="shared" si="309"/>
        <v>Medium</v>
      </c>
      <c r="O4947" t="str">
        <f t="shared" si="310"/>
        <v>High Balance</v>
      </c>
      <c r="P4947" t="str">
        <f t="shared" si="311"/>
        <v>New</v>
      </c>
    </row>
    <row r="4948" spans="1:16" x14ac:dyDescent="0.25">
      <c r="A4948">
        <v>2025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  <c r="M4948" t="str">
        <f t="shared" si="308"/>
        <v>46-60</v>
      </c>
      <c r="N4948" t="str">
        <f t="shared" si="309"/>
        <v>Medium</v>
      </c>
      <c r="O4948" t="str">
        <f t="shared" si="310"/>
        <v>Zero Balance</v>
      </c>
      <c r="P4948" t="str">
        <f t="shared" si="311"/>
        <v>Long-term</v>
      </c>
    </row>
    <row r="4949" spans="1:16" x14ac:dyDescent="0.25">
      <c r="A4949">
        <v>2025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  <c r="M4949" t="str">
        <f t="shared" si="308"/>
        <v>60+</v>
      </c>
      <c r="N4949" t="str">
        <f t="shared" si="309"/>
        <v>High</v>
      </c>
      <c r="O4949" t="str">
        <f t="shared" si="310"/>
        <v>Zero Balance</v>
      </c>
      <c r="P4949" t="str">
        <f t="shared" si="311"/>
        <v>Mid-term</v>
      </c>
    </row>
    <row r="4950" spans="1:16" x14ac:dyDescent="0.25">
      <c r="A4950">
        <v>2025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  <c r="M4950" t="str">
        <f t="shared" si="308"/>
        <v>30-45</v>
      </c>
      <c r="N4950" t="str">
        <f t="shared" si="309"/>
        <v>High</v>
      </c>
      <c r="O4950" t="str">
        <f t="shared" si="310"/>
        <v>High Balance</v>
      </c>
      <c r="P4950" t="str">
        <f t="shared" si="311"/>
        <v>Mid-term</v>
      </c>
    </row>
    <row r="4951" spans="1:16" x14ac:dyDescent="0.25">
      <c r="A4951">
        <v>2025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  <c r="M4951" t="str">
        <f t="shared" si="308"/>
        <v>30-45</v>
      </c>
      <c r="N4951" t="str">
        <f t="shared" si="309"/>
        <v>Medium</v>
      </c>
      <c r="O4951" t="str">
        <f t="shared" si="310"/>
        <v>Zero Balance</v>
      </c>
      <c r="P4951" t="str">
        <f t="shared" si="311"/>
        <v>New</v>
      </c>
    </row>
    <row r="4952" spans="1:16" x14ac:dyDescent="0.25">
      <c r="A4952">
        <v>2025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  <c r="M4952" t="str">
        <f t="shared" si="308"/>
        <v>30-45</v>
      </c>
      <c r="N4952" t="str">
        <f t="shared" si="309"/>
        <v>Medium</v>
      </c>
      <c r="O4952" t="str">
        <f t="shared" si="310"/>
        <v>Low Balance</v>
      </c>
      <c r="P4952" t="str">
        <f t="shared" si="311"/>
        <v>Mid-term</v>
      </c>
    </row>
    <row r="4953" spans="1:16" x14ac:dyDescent="0.25">
      <c r="A4953">
        <v>2025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  <c r="M4953" t="str">
        <f t="shared" si="308"/>
        <v>&lt;30</v>
      </c>
      <c r="N4953" t="str">
        <f t="shared" si="309"/>
        <v>Medium</v>
      </c>
      <c r="O4953" t="str">
        <f t="shared" si="310"/>
        <v>Zero Balance</v>
      </c>
      <c r="P4953" t="str">
        <f t="shared" si="311"/>
        <v>Mid-term</v>
      </c>
    </row>
    <row r="4954" spans="1:16" x14ac:dyDescent="0.25">
      <c r="A4954">
        <v>2025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  <c r="M4954" t="str">
        <f t="shared" si="308"/>
        <v>46-60</v>
      </c>
      <c r="N4954" t="str">
        <f t="shared" si="309"/>
        <v>Medium</v>
      </c>
      <c r="O4954" t="str">
        <f t="shared" si="310"/>
        <v>High Balance</v>
      </c>
      <c r="P4954" t="str">
        <f t="shared" si="311"/>
        <v>Long-term</v>
      </c>
    </row>
    <row r="4955" spans="1:16" x14ac:dyDescent="0.25">
      <c r="A4955">
        <v>2025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  <c r="M4955" t="str">
        <f t="shared" si="308"/>
        <v>30-45</v>
      </c>
      <c r="N4955" t="str">
        <f t="shared" si="309"/>
        <v>Medium</v>
      </c>
      <c r="O4955" t="str">
        <f t="shared" si="310"/>
        <v>High Balance</v>
      </c>
      <c r="P4955" t="str">
        <f t="shared" si="311"/>
        <v>New</v>
      </c>
    </row>
    <row r="4956" spans="1:16" x14ac:dyDescent="0.25">
      <c r="A4956">
        <v>2025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  <c r="M4956" t="str">
        <f t="shared" si="308"/>
        <v>30-45</v>
      </c>
      <c r="N4956" t="str">
        <f t="shared" si="309"/>
        <v>High</v>
      </c>
      <c r="O4956" t="str">
        <f t="shared" si="310"/>
        <v>High Balance</v>
      </c>
      <c r="P4956" t="str">
        <f t="shared" si="311"/>
        <v>Long-term</v>
      </c>
    </row>
    <row r="4957" spans="1:16" x14ac:dyDescent="0.25">
      <c r="A4957">
        <v>2025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  <c r="M4957" t="str">
        <f t="shared" si="308"/>
        <v>30-45</v>
      </c>
      <c r="N4957" t="str">
        <f t="shared" si="309"/>
        <v>High</v>
      </c>
      <c r="O4957" t="str">
        <f t="shared" si="310"/>
        <v>Low Balance</v>
      </c>
      <c r="P4957" t="str">
        <f t="shared" si="311"/>
        <v>New</v>
      </c>
    </row>
    <row r="4958" spans="1:16" x14ac:dyDescent="0.25">
      <c r="A4958">
        <v>2025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  <c r="M4958" t="str">
        <f t="shared" si="308"/>
        <v>30-45</v>
      </c>
      <c r="N4958" t="str">
        <f t="shared" si="309"/>
        <v>Medium</v>
      </c>
      <c r="O4958" t="str">
        <f t="shared" si="310"/>
        <v>Low Balance</v>
      </c>
      <c r="P4958" t="str">
        <f t="shared" si="311"/>
        <v>New</v>
      </c>
    </row>
    <row r="4959" spans="1:16" x14ac:dyDescent="0.25">
      <c r="A4959">
        <v>2025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  <c r="M4959" t="str">
        <f t="shared" si="308"/>
        <v>30-45</v>
      </c>
      <c r="N4959" t="str">
        <f t="shared" si="309"/>
        <v>High</v>
      </c>
      <c r="O4959" t="str">
        <f t="shared" si="310"/>
        <v>Zero Balance</v>
      </c>
      <c r="P4959" t="str">
        <f t="shared" si="311"/>
        <v>New</v>
      </c>
    </row>
    <row r="4960" spans="1:16" x14ac:dyDescent="0.25">
      <c r="A4960">
        <v>2025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  <c r="M4960" t="str">
        <f t="shared" si="308"/>
        <v>30-45</v>
      </c>
      <c r="N4960" t="str">
        <f t="shared" si="309"/>
        <v>Medium</v>
      </c>
      <c r="O4960" t="str">
        <f t="shared" si="310"/>
        <v>High Balance</v>
      </c>
      <c r="P4960" t="str">
        <f t="shared" si="311"/>
        <v>Mid-term</v>
      </c>
    </row>
    <row r="4961" spans="1:16" x14ac:dyDescent="0.25">
      <c r="A4961">
        <v>2025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  <c r="M4961" t="str">
        <f t="shared" si="308"/>
        <v>46-60</v>
      </c>
      <c r="N4961" t="str">
        <f t="shared" si="309"/>
        <v>Medium</v>
      </c>
      <c r="O4961" t="str">
        <f t="shared" si="310"/>
        <v>High Balance</v>
      </c>
      <c r="P4961" t="str">
        <f t="shared" si="311"/>
        <v>Mid-term</v>
      </c>
    </row>
    <row r="4962" spans="1:16" x14ac:dyDescent="0.25">
      <c r="A4962">
        <v>2025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  <c r="M4962" t="str">
        <f t="shared" si="308"/>
        <v>30-45</v>
      </c>
      <c r="N4962" t="str">
        <f t="shared" si="309"/>
        <v>High</v>
      </c>
      <c r="O4962" t="str">
        <f t="shared" si="310"/>
        <v>Zero Balance</v>
      </c>
      <c r="P4962" t="str">
        <f t="shared" si="311"/>
        <v>Long-term</v>
      </c>
    </row>
    <row r="4963" spans="1:16" x14ac:dyDescent="0.25">
      <c r="A4963">
        <v>2025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  <c r="M4963" t="str">
        <f t="shared" si="308"/>
        <v>30-45</v>
      </c>
      <c r="N4963" t="str">
        <f t="shared" si="309"/>
        <v>Medium</v>
      </c>
      <c r="O4963" t="str">
        <f t="shared" si="310"/>
        <v>High Balance</v>
      </c>
      <c r="P4963" t="str">
        <f t="shared" si="311"/>
        <v>New</v>
      </c>
    </row>
    <row r="4964" spans="1:16" x14ac:dyDescent="0.25">
      <c r="A4964">
        <v>2025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  <c r="M4964" t="str">
        <f t="shared" si="308"/>
        <v>30-45</v>
      </c>
      <c r="N4964" t="str">
        <f t="shared" si="309"/>
        <v>Medium</v>
      </c>
      <c r="O4964" t="str">
        <f t="shared" si="310"/>
        <v>Zero Balance</v>
      </c>
      <c r="P4964" t="str">
        <f t="shared" si="311"/>
        <v>New</v>
      </c>
    </row>
    <row r="4965" spans="1:16" x14ac:dyDescent="0.25">
      <c r="A4965">
        <v>2025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  <c r="M4965" t="str">
        <f t="shared" si="308"/>
        <v>30-45</v>
      </c>
      <c r="N4965" t="str">
        <f t="shared" si="309"/>
        <v>Medium</v>
      </c>
      <c r="O4965" t="str">
        <f t="shared" si="310"/>
        <v>High Balance</v>
      </c>
      <c r="P4965" t="str">
        <f t="shared" si="311"/>
        <v>New</v>
      </c>
    </row>
    <row r="4966" spans="1:16" x14ac:dyDescent="0.25">
      <c r="A4966">
        <v>2025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  <c r="M4966" t="str">
        <f t="shared" si="308"/>
        <v>30-45</v>
      </c>
      <c r="N4966" t="str">
        <f t="shared" si="309"/>
        <v>Low</v>
      </c>
      <c r="O4966" t="str">
        <f t="shared" si="310"/>
        <v>Low Balance</v>
      </c>
      <c r="P4966" t="str">
        <f t="shared" si="311"/>
        <v>New</v>
      </c>
    </row>
    <row r="4967" spans="1:16" x14ac:dyDescent="0.25">
      <c r="A4967">
        <v>2025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  <c r="M4967" t="str">
        <f t="shared" si="308"/>
        <v>30-45</v>
      </c>
      <c r="N4967" t="str">
        <f t="shared" si="309"/>
        <v>High</v>
      </c>
      <c r="O4967" t="str">
        <f t="shared" si="310"/>
        <v>High Balance</v>
      </c>
      <c r="P4967" t="str">
        <f t="shared" si="311"/>
        <v>New</v>
      </c>
    </row>
    <row r="4968" spans="1:16" x14ac:dyDescent="0.25">
      <c r="A4968">
        <v>2025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  <c r="M4968" t="str">
        <f t="shared" si="308"/>
        <v>60+</v>
      </c>
      <c r="N4968" t="str">
        <f t="shared" si="309"/>
        <v>Medium</v>
      </c>
      <c r="O4968" t="str">
        <f t="shared" si="310"/>
        <v>Zero Balance</v>
      </c>
      <c r="P4968" t="str">
        <f t="shared" si="311"/>
        <v>Long-term</v>
      </c>
    </row>
    <row r="4969" spans="1:16" x14ac:dyDescent="0.25">
      <c r="A4969">
        <v>2025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  <c r="M4969" t="str">
        <f t="shared" si="308"/>
        <v>30-45</v>
      </c>
      <c r="N4969" t="str">
        <f t="shared" si="309"/>
        <v>Medium</v>
      </c>
      <c r="O4969" t="str">
        <f t="shared" si="310"/>
        <v>High Balance</v>
      </c>
      <c r="P4969" t="str">
        <f t="shared" si="311"/>
        <v>Long-term</v>
      </c>
    </row>
    <row r="4970" spans="1:16" x14ac:dyDescent="0.25">
      <c r="A4970">
        <v>2025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  <c r="M4970" t="str">
        <f t="shared" si="308"/>
        <v>30-45</v>
      </c>
      <c r="N4970" t="str">
        <f t="shared" si="309"/>
        <v>Medium</v>
      </c>
      <c r="O4970" t="str">
        <f t="shared" si="310"/>
        <v>Zero Balance</v>
      </c>
      <c r="P4970" t="str">
        <f t="shared" si="311"/>
        <v>New</v>
      </c>
    </row>
    <row r="4971" spans="1:16" x14ac:dyDescent="0.25">
      <c r="A4971">
        <v>2025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  <c r="M4971" t="str">
        <f t="shared" si="308"/>
        <v>30-45</v>
      </c>
      <c r="N4971" t="str">
        <f t="shared" si="309"/>
        <v>Medium</v>
      </c>
      <c r="O4971" t="str">
        <f t="shared" si="310"/>
        <v>High Balance</v>
      </c>
      <c r="P4971" t="str">
        <f t="shared" si="311"/>
        <v>New</v>
      </c>
    </row>
    <row r="4972" spans="1:16" x14ac:dyDescent="0.25">
      <c r="A4972">
        <v>2025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  <c r="M4972" t="str">
        <f t="shared" si="308"/>
        <v>30-45</v>
      </c>
      <c r="N4972" t="str">
        <f t="shared" si="309"/>
        <v>Medium</v>
      </c>
      <c r="O4972" t="str">
        <f t="shared" si="310"/>
        <v>Zero Balance</v>
      </c>
      <c r="P4972" t="str">
        <f t="shared" si="311"/>
        <v>New</v>
      </c>
    </row>
    <row r="4973" spans="1:16" x14ac:dyDescent="0.25">
      <c r="A4973">
        <v>2025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  <c r="M4973" t="str">
        <f t="shared" si="308"/>
        <v>30-45</v>
      </c>
      <c r="N4973" t="str">
        <f t="shared" si="309"/>
        <v>Medium</v>
      </c>
      <c r="O4973" t="str">
        <f t="shared" si="310"/>
        <v>High Balance</v>
      </c>
      <c r="P4973" t="str">
        <f t="shared" si="311"/>
        <v>New</v>
      </c>
    </row>
    <row r="4974" spans="1:16" x14ac:dyDescent="0.25">
      <c r="A4974">
        <v>2025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  <c r="M4974" t="str">
        <f t="shared" si="308"/>
        <v>30-45</v>
      </c>
      <c r="N4974" t="str">
        <f t="shared" si="309"/>
        <v>Medium</v>
      </c>
      <c r="O4974" t="str">
        <f t="shared" si="310"/>
        <v>High Balance</v>
      </c>
      <c r="P4974" t="str">
        <f t="shared" si="311"/>
        <v>New</v>
      </c>
    </row>
    <row r="4975" spans="1:16" x14ac:dyDescent="0.25">
      <c r="A4975">
        <v>2025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  <c r="M4975" t="str">
        <f t="shared" si="308"/>
        <v>&lt;30</v>
      </c>
      <c r="N4975" t="str">
        <f t="shared" si="309"/>
        <v>Medium</v>
      </c>
      <c r="O4975" t="str">
        <f t="shared" si="310"/>
        <v>High Balance</v>
      </c>
      <c r="P4975" t="str">
        <f t="shared" si="311"/>
        <v>Mid-term</v>
      </c>
    </row>
    <row r="4976" spans="1:16" x14ac:dyDescent="0.25">
      <c r="A4976">
        <v>2025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  <c r="M4976" t="str">
        <f t="shared" si="308"/>
        <v>46-60</v>
      </c>
      <c r="N4976" t="str">
        <f t="shared" si="309"/>
        <v>Medium</v>
      </c>
      <c r="O4976" t="str">
        <f t="shared" si="310"/>
        <v>High Balance</v>
      </c>
      <c r="P4976" t="str">
        <f t="shared" si="311"/>
        <v>New</v>
      </c>
    </row>
    <row r="4977" spans="1:16" x14ac:dyDescent="0.25">
      <c r="A4977">
        <v>2025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  <c r="M4977" t="str">
        <f t="shared" si="308"/>
        <v>30-45</v>
      </c>
      <c r="N4977" t="str">
        <f t="shared" si="309"/>
        <v>High</v>
      </c>
      <c r="O4977" t="str">
        <f t="shared" si="310"/>
        <v>Zero Balance</v>
      </c>
      <c r="P4977" t="str">
        <f t="shared" si="311"/>
        <v>Mid-term</v>
      </c>
    </row>
    <row r="4978" spans="1:16" x14ac:dyDescent="0.25">
      <c r="A4978">
        <v>2025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  <c r="M4978" t="str">
        <f t="shared" si="308"/>
        <v>&lt;30</v>
      </c>
      <c r="N4978" t="str">
        <f t="shared" si="309"/>
        <v>High</v>
      </c>
      <c r="O4978" t="str">
        <f t="shared" si="310"/>
        <v>High Balance</v>
      </c>
      <c r="P4978" t="str">
        <f t="shared" si="311"/>
        <v>Mid-term</v>
      </c>
    </row>
    <row r="4979" spans="1:16" x14ac:dyDescent="0.25">
      <c r="A4979">
        <v>2025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  <c r="M4979" t="str">
        <f t="shared" si="308"/>
        <v>30-45</v>
      </c>
      <c r="N4979" t="str">
        <f t="shared" si="309"/>
        <v>High</v>
      </c>
      <c r="O4979" t="str">
        <f t="shared" si="310"/>
        <v>High Balance</v>
      </c>
      <c r="P4979" t="str">
        <f t="shared" si="311"/>
        <v>Long-term</v>
      </c>
    </row>
    <row r="4980" spans="1:16" x14ac:dyDescent="0.25">
      <c r="A4980">
        <v>2025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  <c r="M4980" t="str">
        <f t="shared" si="308"/>
        <v>30-45</v>
      </c>
      <c r="N4980" t="str">
        <f t="shared" si="309"/>
        <v>Medium</v>
      </c>
      <c r="O4980" t="str">
        <f t="shared" si="310"/>
        <v>High Balance</v>
      </c>
      <c r="P4980" t="str">
        <f t="shared" si="311"/>
        <v>Mid-term</v>
      </c>
    </row>
    <row r="4981" spans="1:16" x14ac:dyDescent="0.25">
      <c r="A4981">
        <v>2025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  <c r="M4981" t="str">
        <f t="shared" si="308"/>
        <v>30-45</v>
      </c>
      <c r="N4981" t="str">
        <f t="shared" si="309"/>
        <v>Medium</v>
      </c>
      <c r="O4981" t="str">
        <f t="shared" si="310"/>
        <v>High Balance</v>
      </c>
      <c r="P4981" t="str">
        <f t="shared" si="311"/>
        <v>Mid-term</v>
      </c>
    </row>
    <row r="4982" spans="1:16" x14ac:dyDescent="0.25">
      <c r="A4982">
        <v>2025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  <c r="M4982" t="str">
        <f t="shared" si="308"/>
        <v>30-45</v>
      </c>
      <c r="N4982" t="str">
        <f t="shared" si="309"/>
        <v>Medium</v>
      </c>
      <c r="O4982" t="str">
        <f t="shared" si="310"/>
        <v>High Balance</v>
      </c>
      <c r="P4982" t="str">
        <f t="shared" si="311"/>
        <v>Long-term</v>
      </c>
    </row>
    <row r="4983" spans="1:16" x14ac:dyDescent="0.25">
      <c r="A4983">
        <v>2025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  <c r="M4983" t="str">
        <f t="shared" si="308"/>
        <v>&lt;30</v>
      </c>
      <c r="N4983" t="str">
        <f t="shared" si="309"/>
        <v>Medium</v>
      </c>
      <c r="O4983" t="str">
        <f t="shared" si="310"/>
        <v>High Balance</v>
      </c>
      <c r="P4983" t="str">
        <f t="shared" si="311"/>
        <v>Mid-term</v>
      </c>
    </row>
    <row r="4984" spans="1:16" x14ac:dyDescent="0.25">
      <c r="A4984">
        <v>2025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  <c r="M4984" t="str">
        <f t="shared" si="308"/>
        <v>30-45</v>
      </c>
      <c r="N4984" t="str">
        <f t="shared" si="309"/>
        <v>Medium</v>
      </c>
      <c r="O4984" t="str">
        <f t="shared" si="310"/>
        <v>Zero Balance</v>
      </c>
      <c r="P4984" t="str">
        <f t="shared" si="311"/>
        <v>Mid-term</v>
      </c>
    </row>
    <row r="4985" spans="1:16" x14ac:dyDescent="0.25">
      <c r="A4985">
        <v>2025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  <c r="M4985" t="str">
        <f t="shared" si="308"/>
        <v>30-45</v>
      </c>
      <c r="N4985" t="str">
        <f t="shared" si="309"/>
        <v>Medium</v>
      </c>
      <c r="O4985" t="str">
        <f t="shared" si="310"/>
        <v>High Balance</v>
      </c>
      <c r="P4985" t="str">
        <f t="shared" si="311"/>
        <v>Mid-term</v>
      </c>
    </row>
    <row r="4986" spans="1:16" x14ac:dyDescent="0.25">
      <c r="A4986">
        <v>2025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  <c r="M4986" t="str">
        <f t="shared" si="308"/>
        <v>30-45</v>
      </c>
      <c r="N4986" t="str">
        <f t="shared" si="309"/>
        <v>Medium</v>
      </c>
      <c r="O4986" t="str">
        <f t="shared" si="310"/>
        <v>Zero Balance</v>
      </c>
      <c r="P4986" t="str">
        <f t="shared" si="311"/>
        <v>Mid-term</v>
      </c>
    </row>
    <row r="4987" spans="1:16" x14ac:dyDescent="0.25">
      <c r="A4987">
        <v>2025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  <c r="M4987" t="str">
        <f t="shared" si="308"/>
        <v>&lt;30</v>
      </c>
      <c r="N4987" t="str">
        <f t="shared" si="309"/>
        <v>Medium</v>
      </c>
      <c r="O4987" t="str">
        <f t="shared" si="310"/>
        <v>High Balance</v>
      </c>
      <c r="P4987" t="str">
        <f t="shared" si="311"/>
        <v>Mid-term</v>
      </c>
    </row>
    <row r="4988" spans="1:16" x14ac:dyDescent="0.25">
      <c r="A4988">
        <v>2025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  <c r="M4988" t="str">
        <f t="shared" si="308"/>
        <v>30-45</v>
      </c>
      <c r="N4988" t="str">
        <f t="shared" si="309"/>
        <v>Medium</v>
      </c>
      <c r="O4988" t="str">
        <f t="shared" si="310"/>
        <v>Zero Balance</v>
      </c>
      <c r="P4988" t="str">
        <f t="shared" si="311"/>
        <v>Mid-term</v>
      </c>
    </row>
    <row r="4989" spans="1:16" x14ac:dyDescent="0.25">
      <c r="A4989">
        <v>2025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  <c r="M4989" t="str">
        <f t="shared" si="308"/>
        <v>30-45</v>
      </c>
      <c r="N4989" t="str">
        <f t="shared" si="309"/>
        <v>Low</v>
      </c>
      <c r="O4989" t="str">
        <f t="shared" si="310"/>
        <v>Zero Balance</v>
      </c>
      <c r="P4989" t="str">
        <f t="shared" si="311"/>
        <v>Mid-term</v>
      </c>
    </row>
    <row r="4990" spans="1:16" x14ac:dyDescent="0.25">
      <c r="A4990">
        <v>2025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  <c r="M4990" t="str">
        <f t="shared" si="308"/>
        <v>46-60</v>
      </c>
      <c r="N4990" t="str">
        <f t="shared" si="309"/>
        <v>Medium</v>
      </c>
      <c r="O4990" t="str">
        <f t="shared" si="310"/>
        <v>Low Balance</v>
      </c>
      <c r="P4990" t="str">
        <f t="shared" si="311"/>
        <v>New</v>
      </c>
    </row>
    <row r="4991" spans="1:16" x14ac:dyDescent="0.25">
      <c r="A4991">
        <v>2025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  <c r="M4991" t="str">
        <f t="shared" si="308"/>
        <v>30-45</v>
      </c>
      <c r="N4991" t="str">
        <f t="shared" si="309"/>
        <v>Medium</v>
      </c>
      <c r="O4991" t="str">
        <f t="shared" si="310"/>
        <v>Zero Balance</v>
      </c>
      <c r="P4991" t="str">
        <f t="shared" si="311"/>
        <v>Long-term</v>
      </c>
    </row>
    <row r="4992" spans="1:16" x14ac:dyDescent="0.25">
      <c r="A4992">
        <v>2025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  <c r="M4992" t="str">
        <f t="shared" si="308"/>
        <v>30-45</v>
      </c>
      <c r="N4992" t="str">
        <f t="shared" si="309"/>
        <v>Medium</v>
      </c>
      <c r="O4992" t="str">
        <f t="shared" si="310"/>
        <v>High Balance</v>
      </c>
      <c r="P4992" t="str">
        <f t="shared" si="311"/>
        <v>Long-term</v>
      </c>
    </row>
    <row r="4993" spans="1:16" x14ac:dyDescent="0.25">
      <c r="A4993">
        <v>2025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  <c r="M4993" t="str">
        <f t="shared" si="308"/>
        <v>30-45</v>
      </c>
      <c r="N4993" t="str">
        <f t="shared" si="309"/>
        <v>Low</v>
      </c>
      <c r="O4993" t="str">
        <f t="shared" si="310"/>
        <v>Low Balance</v>
      </c>
      <c r="P4993" t="str">
        <f t="shared" si="311"/>
        <v>Long-term</v>
      </c>
    </row>
    <row r="4994" spans="1:16" x14ac:dyDescent="0.25">
      <c r="A4994">
        <v>2025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  <c r="M4994" t="str">
        <f t="shared" si="308"/>
        <v>60+</v>
      </c>
      <c r="N4994" t="str">
        <f t="shared" si="309"/>
        <v>High</v>
      </c>
      <c r="O4994" t="str">
        <f t="shared" si="310"/>
        <v>High Balance</v>
      </c>
      <c r="P4994" t="str">
        <f t="shared" si="311"/>
        <v>Long-term</v>
      </c>
    </row>
    <row r="4995" spans="1:16" x14ac:dyDescent="0.25">
      <c r="A4995">
        <v>2025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  <c r="M4995" t="str">
        <f t="shared" ref="M4995:M5058" si="312">IF(E4995&lt;30,"&lt;30",IF(E4995&lt;=45,"30-45",IF(E4995&lt;=60,"46-60","60+")))</f>
        <v>30-45</v>
      </c>
      <c r="N4995" t="str">
        <f t="shared" ref="N4995:N5058" si="313">IF(B4995&lt;500,"Low",IF(B4995&lt;700,"Medium","High"))</f>
        <v>Medium</v>
      </c>
      <c r="O4995" t="str">
        <f t="shared" ref="O4995:O5058" si="314">IF(G4995=0,"Zero Balance",IF(G4995&lt;100000,"Low Balance","High Balance"))</f>
        <v>Low Balance</v>
      </c>
      <c r="P4995" t="str">
        <f t="shared" ref="P4995:P5058" si="315">IF(F4995&lt;=3,"New",IF(F4995&lt;=7,"Mid-term","Long-term"))</f>
        <v>Mid-term</v>
      </c>
    </row>
    <row r="4996" spans="1:16" x14ac:dyDescent="0.25">
      <c r="A4996">
        <v>2025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  <c r="M4996" t="str">
        <f t="shared" si="312"/>
        <v>46-60</v>
      </c>
      <c r="N4996" t="str">
        <f t="shared" si="313"/>
        <v>High</v>
      </c>
      <c r="O4996" t="str">
        <f t="shared" si="314"/>
        <v>High Balance</v>
      </c>
      <c r="P4996" t="str">
        <f t="shared" si="315"/>
        <v>Long-term</v>
      </c>
    </row>
    <row r="4997" spans="1:16" x14ac:dyDescent="0.25">
      <c r="A4997">
        <v>2025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  <c r="M4997" t="str">
        <f t="shared" si="312"/>
        <v>30-45</v>
      </c>
      <c r="N4997" t="str">
        <f t="shared" si="313"/>
        <v>High</v>
      </c>
      <c r="O4997" t="str">
        <f t="shared" si="314"/>
        <v>Zero Balance</v>
      </c>
      <c r="P4997" t="str">
        <f t="shared" si="315"/>
        <v>Mid-term</v>
      </c>
    </row>
    <row r="4998" spans="1:16" x14ac:dyDescent="0.25">
      <c r="A4998">
        <v>2025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  <c r="M4998" t="str">
        <f t="shared" si="312"/>
        <v>30-45</v>
      </c>
      <c r="N4998" t="str">
        <f t="shared" si="313"/>
        <v>Medium</v>
      </c>
      <c r="O4998" t="str">
        <f t="shared" si="314"/>
        <v>High Balance</v>
      </c>
      <c r="P4998" t="str">
        <f t="shared" si="315"/>
        <v>Long-term</v>
      </c>
    </row>
    <row r="4999" spans="1:16" x14ac:dyDescent="0.25">
      <c r="A4999">
        <v>2025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  <c r="M4999" t="str">
        <f t="shared" si="312"/>
        <v>30-45</v>
      </c>
      <c r="N4999" t="str">
        <f t="shared" si="313"/>
        <v>High</v>
      </c>
      <c r="O4999" t="str">
        <f t="shared" si="314"/>
        <v>Zero Balance</v>
      </c>
      <c r="P4999" t="str">
        <f t="shared" si="315"/>
        <v>New</v>
      </c>
    </row>
    <row r="5000" spans="1:16" x14ac:dyDescent="0.25">
      <c r="A5000">
        <v>2025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  <c r="M5000" t="str">
        <f t="shared" si="312"/>
        <v>30-45</v>
      </c>
      <c r="N5000" t="str">
        <f t="shared" si="313"/>
        <v>Medium</v>
      </c>
      <c r="O5000" t="str">
        <f t="shared" si="314"/>
        <v>High Balance</v>
      </c>
      <c r="P5000" t="str">
        <f t="shared" si="315"/>
        <v>Mid-term</v>
      </c>
    </row>
    <row r="5001" spans="1:16" x14ac:dyDescent="0.25">
      <c r="A5001">
        <v>2025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  <c r="M5001" t="str">
        <f t="shared" si="312"/>
        <v>30-45</v>
      </c>
      <c r="N5001" t="str">
        <f t="shared" si="313"/>
        <v>Medium</v>
      </c>
      <c r="O5001" t="str">
        <f t="shared" si="314"/>
        <v>Zero Balance</v>
      </c>
      <c r="P5001" t="str">
        <f t="shared" si="315"/>
        <v>New</v>
      </c>
    </row>
    <row r="5002" spans="1:16" x14ac:dyDescent="0.25">
      <c r="A5002">
        <v>2025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  <c r="M5002" t="str">
        <f t="shared" si="312"/>
        <v>60+</v>
      </c>
      <c r="N5002" t="str">
        <f t="shared" si="313"/>
        <v>High</v>
      </c>
      <c r="O5002" t="str">
        <f t="shared" si="314"/>
        <v>High Balance</v>
      </c>
      <c r="P5002" t="str">
        <f t="shared" si="315"/>
        <v>Long-term</v>
      </c>
    </row>
    <row r="5003" spans="1:16" x14ac:dyDescent="0.25">
      <c r="A5003">
        <v>2025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  <c r="M5003" t="str">
        <f t="shared" si="312"/>
        <v>30-45</v>
      </c>
      <c r="N5003" t="str">
        <f t="shared" si="313"/>
        <v>High</v>
      </c>
      <c r="O5003" t="str">
        <f t="shared" si="314"/>
        <v>Zero Balance</v>
      </c>
      <c r="P5003" t="str">
        <f t="shared" si="315"/>
        <v>Mid-term</v>
      </c>
    </row>
    <row r="5004" spans="1:16" x14ac:dyDescent="0.25">
      <c r="A5004">
        <v>2025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  <c r="M5004" t="str">
        <f t="shared" si="312"/>
        <v>30-45</v>
      </c>
      <c r="N5004" t="str">
        <f t="shared" si="313"/>
        <v>Medium</v>
      </c>
      <c r="O5004" t="str">
        <f t="shared" si="314"/>
        <v>Low Balance</v>
      </c>
      <c r="P5004" t="str">
        <f t="shared" si="315"/>
        <v>Mid-term</v>
      </c>
    </row>
    <row r="5005" spans="1:16" x14ac:dyDescent="0.25">
      <c r="A5005">
        <v>2025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  <c r="M5005" t="str">
        <f t="shared" si="312"/>
        <v>30-45</v>
      </c>
      <c r="N5005" t="str">
        <f t="shared" si="313"/>
        <v>High</v>
      </c>
      <c r="O5005" t="str">
        <f t="shared" si="314"/>
        <v>Zero Balance</v>
      </c>
      <c r="P5005" t="str">
        <f t="shared" si="315"/>
        <v>Mid-term</v>
      </c>
    </row>
    <row r="5006" spans="1:16" x14ac:dyDescent="0.25">
      <c r="A5006">
        <v>2025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  <c r="M5006" t="str">
        <f t="shared" si="312"/>
        <v>46-60</v>
      </c>
      <c r="N5006" t="str">
        <f t="shared" si="313"/>
        <v>Medium</v>
      </c>
      <c r="O5006" t="str">
        <f t="shared" si="314"/>
        <v>High Balance</v>
      </c>
      <c r="P5006" t="str">
        <f t="shared" si="315"/>
        <v>New</v>
      </c>
    </row>
    <row r="5007" spans="1:16" x14ac:dyDescent="0.25">
      <c r="A5007">
        <v>2025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  <c r="M5007" t="str">
        <f t="shared" si="312"/>
        <v>46-60</v>
      </c>
      <c r="N5007" t="str">
        <f t="shared" si="313"/>
        <v>High</v>
      </c>
      <c r="O5007" t="str">
        <f t="shared" si="314"/>
        <v>Zero Balance</v>
      </c>
      <c r="P5007" t="str">
        <f t="shared" si="315"/>
        <v>Mid-term</v>
      </c>
    </row>
    <row r="5008" spans="1:16" x14ac:dyDescent="0.25">
      <c r="A5008">
        <v>2025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  <c r="M5008" t="str">
        <f t="shared" si="312"/>
        <v>30-45</v>
      </c>
      <c r="N5008" t="str">
        <f t="shared" si="313"/>
        <v>High</v>
      </c>
      <c r="O5008" t="str">
        <f t="shared" si="314"/>
        <v>High Balance</v>
      </c>
      <c r="P5008" t="str">
        <f t="shared" si="315"/>
        <v>New</v>
      </c>
    </row>
    <row r="5009" spans="1:16" x14ac:dyDescent="0.25">
      <c r="A5009">
        <v>2025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  <c r="M5009" t="str">
        <f t="shared" si="312"/>
        <v>46-60</v>
      </c>
      <c r="N5009" t="str">
        <f t="shared" si="313"/>
        <v>Medium</v>
      </c>
      <c r="O5009" t="str">
        <f t="shared" si="314"/>
        <v>Low Balance</v>
      </c>
      <c r="P5009" t="str">
        <f t="shared" si="315"/>
        <v>Mid-term</v>
      </c>
    </row>
    <row r="5010" spans="1:16" x14ac:dyDescent="0.25">
      <c r="A5010">
        <v>2025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  <c r="M5010" t="str">
        <f t="shared" si="312"/>
        <v>30-45</v>
      </c>
      <c r="N5010" t="str">
        <f t="shared" si="313"/>
        <v>Medium</v>
      </c>
      <c r="O5010" t="str">
        <f t="shared" si="314"/>
        <v>High Balance</v>
      </c>
      <c r="P5010" t="str">
        <f t="shared" si="315"/>
        <v>Mid-term</v>
      </c>
    </row>
    <row r="5011" spans="1:16" x14ac:dyDescent="0.25">
      <c r="A5011">
        <v>2025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  <c r="M5011" t="str">
        <f t="shared" si="312"/>
        <v>30-45</v>
      </c>
      <c r="N5011" t="str">
        <f t="shared" si="313"/>
        <v>Medium</v>
      </c>
      <c r="O5011" t="str">
        <f t="shared" si="314"/>
        <v>Zero Balance</v>
      </c>
      <c r="P5011" t="str">
        <f t="shared" si="315"/>
        <v>Mid-term</v>
      </c>
    </row>
    <row r="5012" spans="1:16" x14ac:dyDescent="0.25">
      <c r="A5012">
        <v>2025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  <c r="M5012" t="str">
        <f t="shared" si="312"/>
        <v>46-60</v>
      </c>
      <c r="N5012" t="str">
        <f t="shared" si="313"/>
        <v>Medium</v>
      </c>
      <c r="O5012" t="str">
        <f t="shared" si="314"/>
        <v>High Balance</v>
      </c>
      <c r="P5012" t="str">
        <f t="shared" si="315"/>
        <v>Mid-term</v>
      </c>
    </row>
    <row r="5013" spans="1:16" x14ac:dyDescent="0.25">
      <c r="A5013">
        <v>2025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  <c r="M5013" t="str">
        <f t="shared" si="312"/>
        <v>46-60</v>
      </c>
      <c r="N5013" t="str">
        <f t="shared" si="313"/>
        <v>Low</v>
      </c>
      <c r="O5013" t="str">
        <f t="shared" si="314"/>
        <v>Low Balance</v>
      </c>
      <c r="P5013" t="str">
        <f t="shared" si="315"/>
        <v>Long-term</v>
      </c>
    </row>
    <row r="5014" spans="1:16" x14ac:dyDescent="0.25">
      <c r="A5014">
        <v>2025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  <c r="M5014" t="str">
        <f t="shared" si="312"/>
        <v>30-45</v>
      </c>
      <c r="N5014" t="str">
        <f t="shared" si="313"/>
        <v>Medium</v>
      </c>
      <c r="O5014" t="str">
        <f t="shared" si="314"/>
        <v>Zero Balance</v>
      </c>
      <c r="P5014" t="str">
        <f t="shared" si="315"/>
        <v>Mid-term</v>
      </c>
    </row>
    <row r="5015" spans="1:16" x14ac:dyDescent="0.25">
      <c r="A5015">
        <v>2025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  <c r="M5015" t="str">
        <f t="shared" si="312"/>
        <v>30-45</v>
      </c>
      <c r="N5015" t="str">
        <f t="shared" si="313"/>
        <v>Medium</v>
      </c>
      <c r="O5015" t="str">
        <f t="shared" si="314"/>
        <v>Zero Balance</v>
      </c>
      <c r="P5015" t="str">
        <f t="shared" si="315"/>
        <v>New</v>
      </c>
    </row>
    <row r="5016" spans="1:16" x14ac:dyDescent="0.25">
      <c r="A5016">
        <v>2025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  <c r="M5016" t="str">
        <f t="shared" si="312"/>
        <v>30-45</v>
      </c>
      <c r="N5016" t="str">
        <f t="shared" si="313"/>
        <v>High</v>
      </c>
      <c r="O5016" t="str">
        <f t="shared" si="314"/>
        <v>Zero Balance</v>
      </c>
      <c r="P5016" t="str">
        <f t="shared" si="315"/>
        <v>Mid-term</v>
      </c>
    </row>
    <row r="5017" spans="1:16" x14ac:dyDescent="0.25">
      <c r="A5017">
        <v>2025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  <c r="M5017" t="str">
        <f t="shared" si="312"/>
        <v>46-60</v>
      </c>
      <c r="N5017" t="str">
        <f t="shared" si="313"/>
        <v>Medium</v>
      </c>
      <c r="O5017" t="str">
        <f t="shared" si="314"/>
        <v>High Balance</v>
      </c>
      <c r="P5017" t="str">
        <f t="shared" si="315"/>
        <v>Mid-term</v>
      </c>
    </row>
    <row r="5018" spans="1:16" x14ac:dyDescent="0.25">
      <c r="A5018">
        <v>2025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  <c r="M5018" t="str">
        <f t="shared" si="312"/>
        <v>&lt;30</v>
      </c>
      <c r="N5018" t="str">
        <f t="shared" si="313"/>
        <v>Medium</v>
      </c>
      <c r="O5018" t="str">
        <f t="shared" si="314"/>
        <v>Zero Balance</v>
      </c>
      <c r="P5018" t="str">
        <f t="shared" si="315"/>
        <v>Long-term</v>
      </c>
    </row>
    <row r="5019" spans="1:16" x14ac:dyDescent="0.25">
      <c r="A5019">
        <v>2025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  <c r="M5019" t="str">
        <f t="shared" si="312"/>
        <v>30-45</v>
      </c>
      <c r="N5019" t="str">
        <f t="shared" si="313"/>
        <v>High</v>
      </c>
      <c r="O5019" t="str">
        <f t="shared" si="314"/>
        <v>High Balance</v>
      </c>
      <c r="P5019" t="str">
        <f t="shared" si="315"/>
        <v>Mid-term</v>
      </c>
    </row>
    <row r="5020" spans="1:16" x14ac:dyDescent="0.25">
      <c r="A5020">
        <v>2025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  <c r="M5020" t="str">
        <f t="shared" si="312"/>
        <v>46-60</v>
      </c>
      <c r="N5020" t="str">
        <f t="shared" si="313"/>
        <v>Medium</v>
      </c>
      <c r="O5020" t="str">
        <f t="shared" si="314"/>
        <v>Low Balance</v>
      </c>
      <c r="P5020" t="str">
        <f t="shared" si="315"/>
        <v>Long-term</v>
      </c>
    </row>
    <row r="5021" spans="1:16" x14ac:dyDescent="0.25">
      <c r="A5021">
        <v>2025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  <c r="M5021" t="str">
        <f t="shared" si="312"/>
        <v>46-60</v>
      </c>
      <c r="N5021" t="str">
        <f t="shared" si="313"/>
        <v>High</v>
      </c>
      <c r="O5021" t="str">
        <f t="shared" si="314"/>
        <v>High Balance</v>
      </c>
      <c r="P5021" t="str">
        <f t="shared" si="315"/>
        <v>Mid-term</v>
      </c>
    </row>
    <row r="5022" spans="1:16" x14ac:dyDescent="0.25">
      <c r="A5022">
        <v>2025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  <c r="M5022" t="str">
        <f t="shared" si="312"/>
        <v>60+</v>
      </c>
      <c r="N5022" t="str">
        <f t="shared" si="313"/>
        <v>Low</v>
      </c>
      <c r="O5022" t="str">
        <f t="shared" si="314"/>
        <v>Low Balance</v>
      </c>
      <c r="P5022" t="str">
        <f t="shared" si="315"/>
        <v>New</v>
      </c>
    </row>
    <row r="5023" spans="1:16" x14ac:dyDescent="0.25">
      <c r="A5023">
        <v>2025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  <c r="M5023" t="str">
        <f t="shared" si="312"/>
        <v>&lt;30</v>
      </c>
      <c r="N5023" t="str">
        <f t="shared" si="313"/>
        <v>Medium</v>
      </c>
      <c r="O5023" t="str">
        <f t="shared" si="314"/>
        <v>High Balance</v>
      </c>
      <c r="P5023" t="str">
        <f t="shared" si="315"/>
        <v>Long-term</v>
      </c>
    </row>
    <row r="5024" spans="1:16" x14ac:dyDescent="0.25">
      <c r="A5024">
        <v>2025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  <c r="M5024" t="str">
        <f t="shared" si="312"/>
        <v>30-45</v>
      </c>
      <c r="N5024" t="str">
        <f t="shared" si="313"/>
        <v>High</v>
      </c>
      <c r="O5024" t="str">
        <f t="shared" si="314"/>
        <v>Zero Balance</v>
      </c>
      <c r="P5024" t="str">
        <f t="shared" si="315"/>
        <v>New</v>
      </c>
    </row>
    <row r="5025" spans="1:16" x14ac:dyDescent="0.25">
      <c r="A5025">
        <v>2025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  <c r="M5025" t="str">
        <f t="shared" si="312"/>
        <v>30-45</v>
      </c>
      <c r="N5025" t="str">
        <f t="shared" si="313"/>
        <v>Medium</v>
      </c>
      <c r="O5025" t="str">
        <f t="shared" si="314"/>
        <v>Low Balance</v>
      </c>
      <c r="P5025" t="str">
        <f t="shared" si="315"/>
        <v>Long-term</v>
      </c>
    </row>
    <row r="5026" spans="1:16" x14ac:dyDescent="0.25">
      <c r="A5026">
        <v>2025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  <c r="M5026" t="str">
        <f t="shared" si="312"/>
        <v>30-45</v>
      </c>
      <c r="N5026" t="str">
        <f t="shared" si="313"/>
        <v>High</v>
      </c>
      <c r="O5026" t="str">
        <f t="shared" si="314"/>
        <v>High Balance</v>
      </c>
      <c r="P5026" t="str">
        <f t="shared" si="315"/>
        <v>New</v>
      </c>
    </row>
    <row r="5027" spans="1:16" x14ac:dyDescent="0.25">
      <c r="A5027">
        <v>2025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  <c r="M5027" t="str">
        <f t="shared" si="312"/>
        <v>30-45</v>
      </c>
      <c r="N5027" t="str">
        <f t="shared" si="313"/>
        <v>High</v>
      </c>
      <c r="O5027" t="str">
        <f t="shared" si="314"/>
        <v>High Balance</v>
      </c>
      <c r="P5027" t="str">
        <f t="shared" si="315"/>
        <v>New</v>
      </c>
    </row>
    <row r="5028" spans="1:16" x14ac:dyDescent="0.25">
      <c r="A5028">
        <v>2025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  <c r="M5028" t="str">
        <f t="shared" si="312"/>
        <v>30-45</v>
      </c>
      <c r="N5028" t="str">
        <f t="shared" si="313"/>
        <v>Medium</v>
      </c>
      <c r="O5028" t="str">
        <f t="shared" si="314"/>
        <v>Zero Balance</v>
      </c>
      <c r="P5028" t="str">
        <f t="shared" si="315"/>
        <v>Long-term</v>
      </c>
    </row>
    <row r="5029" spans="1:16" x14ac:dyDescent="0.25">
      <c r="A5029">
        <v>2025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  <c r="M5029" t="str">
        <f t="shared" si="312"/>
        <v>30-45</v>
      </c>
      <c r="N5029" t="str">
        <f t="shared" si="313"/>
        <v>Medium</v>
      </c>
      <c r="O5029" t="str">
        <f t="shared" si="314"/>
        <v>Low Balance</v>
      </c>
      <c r="P5029" t="str">
        <f t="shared" si="315"/>
        <v>Long-term</v>
      </c>
    </row>
    <row r="5030" spans="1:16" x14ac:dyDescent="0.25">
      <c r="A5030">
        <v>2025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  <c r="M5030" t="str">
        <f t="shared" si="312"/>
        <v>30-45</v>
      </c>
      <c r="N5030" t="str">
        <f t="shared" si="313"/>
        <v>Low</v>
      </c>
      <c r="O5030" t="str">
        <f t="shared" si="314"/>
        <v>High Balance</v>
      </c>
      <c r="P5030" t="str">
        <f t="shared" si="315"/>
        <v>Mid-term</v>
      </c>
    </row>
    <row r="5031" spans="1:16" x14ac:dyDescent="0.25">
      <c r="A5031">
        <v>2025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  <c r="M5031" t="str">
        <f t="shared" si="312"/>
        <v>30-45</v>
      </c>
      <c r="N5031" t="str">
        <f t="shared" si="313"/>
        <v>High</v>
      </c>
      <c r="O5031" t="str">
        <f t="shared" si="314"/>
        <v>Zero Balance</v>
      </c>
      <c r="P5031" t="str">
        <f t="shared" si="315"/>
        <v>Mid-term</v>
      </c>
    </row>
    <row r="5032" spans="1:16" x14ac:dyDescent="0.25">
      <c r="A5032">
        <v>2025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  <c r="M5032" t="str">
        <f t="shared" si="312"/>
        <v>30-45</v>
      </c>
      <c r="N5032" t="str">
        <f t="shared" si="313"/>
        <v>Medium</v>
      </c>
      <c r="O5032" t="str">
        <f t="shared" si="314"/>
        <v>Low Balance</v>
      </c>
      <c r="P5032" t="str">
        <f t="shared" si="315"/>
        <v>Long-term</v>
      </c>
    </row>
    <row r="5033" spans="1:16" x14ac:dyDescent="0.25">
      <c r="A5033">
        <v>2025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  <c r="M5033" t="str">
        <f t="shared" si="312"/>
        <v>30-45</v>
      </c>
      <c r="N5033" t="str">
        <f t="shared" si="313"/>
        <v>High</v>
      </c>
      <c r="O5033" t="str">
        <f t="shared" si="314"/>
        <v>High Balance</v>
      </c>
      <c r="P5033" t="str">
        <f t="shared" si="315"/>
        <v>Mid-term</v>
      </c>
    </row>
    <row r="5034" spans="1:16" x14ac:dyDescent="0.25">
      <c r="A5034">
        <v>2025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  <c r="M5034" t="str">
        <f t="shared" si="312"/>
        <v>46-60</v>
      </c>
      <c r="N5034" t="str">
        <f t="shared" si="313"/>
        <v>Medium</v>
      </c>
      <c r="O5034" t="str">
        <f t="shared" si="314"/>
        <v>High Balance</v>
      </c>
      <c r="P5034" t="str">
        <f t="shared" si="315"/>
        <v>New</v>
      </c>
    </row>
    <row r="5035" spans="1:16" x14ac:dyDescent="0.25">
      <c r="A5035">
        <v>2025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  <c r="M5035" t="str">
        <f t="shared" si="312"/>
        <v>60+</v>
      </c>
      <c r="N5035" t="str">
        <f t="shared" si="313"/>
        <v>Medium</v>
      </c>
      <c r="O5035" t="str">
        <f t="shared" si="314"/>
        <v>Low Balance</v>
      </c>
      <c r="P5035" t="str">
        <f t="shared" si="315"/>
        <v>Long-term</v>
      </c>
    </row>
    <row r="5036" spans="1:16" x14ac:dyDescent="0.25">
      <c r="A5036">
        <v>2025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  <c r="M5036" t="str">
        <f t="shared" si="312"/>
        <v>&lt;30</v>
      </c>
      <c r="N5036" t="str">
        <f t="shared" si="313"/>
        <v>Medium</v>
      </c>
      <c r="O5036" t="str">
        <f t="shared" si="314"/>
        <v>Low Balance</v>
      </c>
      <c r="P5036" t="str">
        <f t="shared" si="315"/>
        <v>New</v>
      </c>
    </row>
    <row r="5037" spans="1:16" x14ac:dyDescent="0.25">
      <c r="A5037">
        <v>2025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  <c r="M5037" t="str">
        <f t="shared" si="312"/>
        <v>30-45</v>
      </c>
      <c r="N5037" t="str">
        <f t="shared" si="313"/>
        <v>Medium</v>
      </c>
      <c r="O5037" t="str">
        <f t="shared" si="314"/>
        <v>High Balance</v>
      </c>
      <c r="P5037" t="str">
        <f t="shared" si="315"/>
        <v>Mid-term</v>
      </c>
    </row>
    <row r="5038" spans="1:16" x14ac:dyDescent="0.25">
      <c r="A5038">
        <v>2025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  <c r="M5038" t="str">
        <f t="shared" si="312"/>
        <v>46-60</v>
      </c>
      <c r="N5038" t="str">
        <f t="shared" si="313"/>
        <v>Medium</v>
      </c>
      <c r="O5038" t="str">
        <f t="shared" si="314"/>
        <v>High Balance</v>
      </c>
      <c r="P5038" t="str">
        <f t="shared" si="315"/>
        <v>New</v>
      </c>
    </row>
    <row r="5039" spans="1:16" x14ac:dyDescent="0.25">
      <c r="A5039">
        <v>2025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  <c r="M5039" t="str">
        <f t="shared" si="312"/>
        <v>30-45</v>
      </c>
      <c r="N5039" t="str">
        <f t="shared" si="313"/>
        <v>Medium</v>
      </c>
      <c r="O5039" t="str">
        <f t="shared" si="314"/>
        <v>High Balance</v>
      </c>
      <c r="P5039" t="str">
        <f t="shared" si="315"/>
        <v>Mid-term</v>
      </c>
    </row>
    <row r="5040" spans="1:16" x14ac:dyDescent="0.25">
      <c r="A5040">
        <v>2025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  <c r="M5040" t="str">
        <f t="shared" si="312"/>
        <v>60+</v>
      </c>
      <c r="N5040" t="str">
        <f t="shared" si="313"/>
        <v>Medium</v>
      </c>
      <c r="O5040" t="str">
        <f t="shared" si="314"/>
        <v>High Balance</v>
      </c>
      <c r="P5040" t="str">
        <f t="shared" si="315"/>
        <v>New</v>
      </c>
    </row>
    <row r="5041" spans="1:16" x14ac:dyDescent="0.25">
      <c r="A5041">
        <v>2025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  <c r="M5041" t="str">
        <f t="shared" si="312"/>
        <v>30-45</v>
      </c>
      <c r="N5041" t="str">
        <f t="shared" si="313"/>
        <v>Medium</v>
      </c>
      <c r="O5041" t="str">
        <f t="shared" si="314"/>
        <v>High Balance</v>
      </c>
      <c r="P5041" t="str">
        <f t="shared" si="315"/>
        <v>Mid-term</v>
      </c>
    </row>
    <row r="5042" spans="1:16" x14ac:dyDescent="0.25">
      <c r="A5042">
        <v>2025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  <c r="M5042" t="str">
        <f t="shared" si="312"/>
        <v>46-60</v>
      </c>
      <c r="N5042" t="str">
        <f t="shared" si="313"/>
        <v>High</v>
      </c>
      <c r="O5042" t="str">
        <f t="shared" si="314"/>
        <v>Zero Balance</v>
      </c>
      <c r="P5042" t="str">
        <f t="shared" si="315"/>
        <v>Mid-term</v>
      </c>
    </row>
    <row r="5043" spans="1:16" x14ac:dyDescent="0.25">
      <c r="A5043">
        <v>2025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  <c r="M5043" t="str">
        <f t="shared" si="312"/>
        <v>&lt;30</v>
      </c>
      <c r="N5043" t="str">
        <f t="shared" si="313"/>
        <v>Medium</v>
      </c>
      <c r="O5043" t="str">
        <f t="shared" si="314"/>
        <v>Zero Balance</v>
      </c>
      <c r="P5043" t="str">
        <f t="shared" si="315"/>
        <v>Long-term</v>
      </c>
    </row>
    <row r="5044" spans="1:16" x14ac:dyDescent="0.25">
      <c r="A5044">
        <v>2025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  <c r="M5044" t="str">
        <f t="shared" si="312"/>
        <v>30-45</v>
      </c>
      <c r="N5044" t="str">
        <f t="shared" si="313"/>
        <v>High</v>
      </c>
      <c r="O5044" t="str">
        <f t="shared" si="314"/>
        <v>Zero Balance</v>
      </c>
      <c r="P5044" t="str">
        <f t="shared" si="315"/>
        <v>New</v>
      </c>
    </row>
    <row r="5045" spans="1:16" x14ac:dyDescent="0.25">
      <c r="A5045">
        <v>2025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  <c r="M5045" t="str">
        <f t="shared" si="312"/>
        <v>30-45</v>
      </c>
      <c r="N5045" t="str">
        <f t="shared" si="313"/>
        <v>High</v>
      </c>
      <c r="O5045" t="str">
        <f t="shared" si="314"/>
        <v>Zero Balance</v>
      </c>
      <c r="P5045" t="str">
        <f t="shared" si="315"/>
        <v>New</v>
      </c>
    </row>
    <row r="5046" spans="1:16" x14ac:dyDescent="0.25">
      <c r="A5046">
        <v>2025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  <c r="M5046" t="str">
        <f t="shared" si="312"/>
        <v>30-45</v>
      </c>
      <c r="N5046" t="str">
        <f t="shared" si="313"/>
        <v>Medium</v>
      </c>
      <c r="O5046" t="str">
        <f t="shared" si="314"/>
        <v>High Balance</v>
      </c>
      <c r="P5046" t="str">
        <f t="shared" si="315"/>
        <v>New</v>
      </c>
    </row>
    <row r="5047" spans="1:16" x14ac:dyDescent="0.25">
      <c r="A5047">
        <v>2025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  <c r="M5047" t="str">
        <f t="shared" si="312"/>
        <v>&lt;30</v>
      </c>
      <c r="N5047" t="str">
        <f t="shared" si="313"/>
        <v>High</v>
      </c>
      <c r="O5047" t="str">
        <f t="shared" si="314"/>
        <v>Zero Balance</v>
      </c>
      <c r="P5047" t="str">
        <f t="shared" si="315"/>
        <v>New</v>
      </c>
    </row>
    <row r="5048" spans="1:16" x14ac:dyDescent="0.25">
      <c r="A5048">
        <v>2025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  <c r="M5048" t="str">
        <f t="shared" si="312"/>
        <v>&lt;30</v>
      </c>
      <c r="N5048" t="str">
        <f t="shared" si="313"/>
        <v>High</v>
      </c>
      <c r="O5048" t="str">
        <f t="shared" si="314"/>
        <v>High Balance</v>
      </c>
      <c r="P5048" t="str">
        <f t="shared" si="315"/>
        <v>New</v>
      </c>
    </row>
    <row r="5049" spans="1:16" x14ac:dyDescent="0.25">
      <c r="A5049">
        <v>2025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  <c r="M5049" t="str">
        <f t="shared" si="312"/>
        <v>&lt;30</v>
      </c>
      <c r="N5049" t="str">
        <f t="shared" si="313"/>
        <v>Low</v>
      </c>
      <c r="O5049" t="str">
        <f t="shared" si="314"/>
        <v>Zero Balance</v>
      </c>
      <c r="P5049" t="str">
        <f t="shared" si="315"/>
        <v>Long-term</v>
      </c>
    </row>
    <row r="5050" spans="1:16" x14ac:dyDescent="0.25">
      <c r="A5050">
        <v>2025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  <c r="M5050" t="str">
        <f t="shared" si="312"/>
        <v>30-45</v>
      </c>
      <c r="N5050" t="str">
        <f t="shared" si="313"/>
        <v>High</v>
      </c>
      <c r="O5050" t="str">
        <f t="shared" si="314"/>
        <v>Low Balance</v>
      </c>
      <c r="P5050" t="str">
        <f t="shared" si="315"/>
        <v>New</v>
      </c>
    </row>
    <row r="5051" spans="1:16" x14ac:dyDescent="0.25">
      <c r="A5051">
        <v>2025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  <c r="M5051" t="str">
        <f t="shared" si="312"/>
        <v>30-45</v>
      </c>
      <c r="N5051" t="str">
        <f t="shared" si="313"/>
        <v>High</v>
      </c>
      <c r="O5051" t="str">
        <f t="shared" si="314"/>
        <v>High Balance</v>
      </c>
      <c r="P5051" t="str">
        <f t="shared" si="315"/>
        <v>Long-term</v>
      </c>
    </row>
    <row r="5052" spans="1:16" x14ac:dyDescent="0.25">
      <c r="A5052">
        <v>2025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  <c r="M5052" t="str">
        <f t="shared" si="312"/>
        <v>30-45</v>
      </c>
      <c r="N5052" t="str">
        <f t="shared" si="313"/>
        <v>High</v>
      </c>
      <c r="O5052" t="str">
        <f t="shared" si="314"/>
        <v>High Balance</v>
      </c>
      <c r="P5052" t="str">
        <f t="shared" si="315"/>
        <v>New</v>
      </c>
    </row>
    <row r="5053" spans="1:16" x14ac:dyDescent="0.25">
      <c r="A5053">
        <v>2025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  <c r="M5053" t="str">
        <f t="shared" si="312"/>
        <v>30-45</v>
      </c>
      <c r="N5053" t="str">
        <f t="shared" si="313"/>
        <v>High</v>
      </c>
      <c r="O5053" t="str">
        <f t="shared" si="314"/>
        <v>High Balance</v>
      </c>
      <c r="P5053" t="str">
        <f t="shared" si="315"/>
        <v>Long-term</v>
      </c>
    </row>
    <row r="5054" spans="1:16" x14ac:dyDescent="0.25">
      <c r="A5054">
        <v>2025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  <c r="M5054" t="str">
        <f t="shared" si="312"/>
        <v>30-45</v>
      </c>
      <c r="N5054" t="str">
        <f t="shared" si="313"/>
        <v>Medium</v>
      </c>
      <c r="O5054" t="str">
        <f t="shared" si="314"/>
        <v>High Balance</v>
      </c>
      <c r="P5054" t="str">
        <f t="shared" si="315"/>
        <v>New</v>
      </c>
    </row>
    <row r="5055" spans="1:16" x14ac:dyDescent="0.25">
      <c r="A5055">
        <v>2025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  <c r="M5055" t="str">
        <f t="shared" si="312"/>
        <v>&lt;30</v>
      </c>
      <c r="N5055" t="str">
        <f t="shared" si="313"/>
        <v>Medium</v>
      </c>
      <c r="O5055" t="str">
        <f t="shared" si="314"/>
        <v>High Balance</v>
      </c>
      <c r="P5055" t="str">
        <f t="shared" si="315"/>
        <v>New</v>
      </c>
    </row>
    <row r="5056" spans="1:16" x14ac:dyDescent="0.25">
      <c r="A5056">
        <v>2025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  <c r="M5056" t="str">
        <f t="shared" si="312"/>
        <v>30-45</v>
      </c>
      <c r="N5056" t="str">
        <f t="shared" si="313"/>
        <v>Medium</v>
      </c>
      <c r="O5056" t="str">
        <f t="shared" si="314"/>
        <v>Zero Balance</v>
      </c>
      <c r="P5056" t="str">
        <f t="shared" si="315"/>
        <v>Mid-term</v>
      </c>
    </row>
    <row r="5057" spans="1:16" x14ac:dyDescent="0.25">
      <c r="A5057">
        <v>2025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  <c r="M5057" t="str">
        <f t="shared" si="312"/>
        <v>30-45</v>
      </c>
      <c r="N5057" t="str">
        <f t="shared" si="313"/>
        <v>High</v>
      </c>
      <c r="O5057" t="str">
        <f t="shared" si="314"/>
        <v>Zero Balance</v>
      </c>
      <c r="P5057" t="str">
        <f t="shared" si="315"/>
        <v>New</v>
      </c>
    </row>
    <row r="5058" spans="1:16" x14ac:dyDescent="0.25">
      <c r="A5058">
        <v>2025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  <c r="M5058" t="str">
        <f t="shared" si="312"/>
        <v>&lt;30</v>
      </c>
      <c r="N5058" t="str">
        <f t="shared" si="313"/>
        <v>High</v>
      </c>
      <c r="O5058" t="str">
        <f t="shared" si="314"/>
        <v>High Balance</v>
      </c>
      <c r="P5058" t="str">
        <f t="shared" si="315"/>
        <v>New</v>
      </c>
    </row>
    <row r="5059" spans="1:16" x14ac:dyDescent="0.25">
      <c r="A5059">
        <v>2025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  <c r="M5059" t="str">
        <f t="shared" ref="M5059:M5122" si="316">IF(E5059&lt;30,"&lt;30",IF(E5059&lt;=45,"30-45",IF(E5059&lt;=60,"46-60","60+")))</f>
        <v>46-60</v>
      </c>
      <c r="N5059" t="str">
        <f t="shared" ref="N5059:N5122" si="317">IF(B5059&lt;500,"Low",IF(B5059&lt;700,"Medium","High"))</f>
        <v>High</v>
      </c>
      <c r="O5059" t="str">
        <f t="shared" ref="O5059:O5122" si="318">IF(G5059=0,"Zero Balance",IF(G5059&lt;100000,"Low Balance","High Balance"))</f>
        <v>High Balance</v>
      </c>
      <c r="P5059" t="str">
        <f t="shared" ref="P5059:P5122" si="319">IF(F5059&lt;=3,"New",IF(F5059&lt;=7,"Mid-term","Long-term"))</f>
        <v>New</v>
      </c>
    </row>
    <row r="5060" spans="1:16" x14ac:dyDescent="0.25">
      <c r="A5060">
        <v>2025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  <c r="M5060" t="str">
        <f t="shared" si="316"/>
        <v>30-45</v>
      </c>
      <c r="N5060" t="str">
        <f t="shared" si="317"/>
        <v>High</v>
      </c>
      <c r="O5060" t="str">
        <f t="shared" si="318"/>
        <v>High Balance</v>
      </c>
      <c r="P5060" t="str">
        <f t="shared" si="319"/>
        <v>Long-term</v>
      </c>
    </row>
    <row r="5061" spans="1:16" x14ac:dyDescent="0.25">
      <c r="A5061">
        <v>2025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  <c r="M5061" t="str">
        <f t="shared" si="316"/>
        <v>&lt;30</v>
      </c>
      <c r="N5061" t="str">
        <f t="shared" si="317"/>
        <v>High</v>
      </c>
      <c r="O5061" t="str">
        <f t="shared" si="318"/>
        <v>Zero Balance</v>
      </c>
      <c r="P5061" t="str">
        <f t="shared" si="319"/>
        <v>Mid-term</v>
      </c>
    </row>
    <row r="5062" spans="1:16" x14ac:dyDescent="0.25">
      <c r="A5062">
        <v>2025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  <c r="M5062" t="str">
        <f t="shared" si="316"/>
        <v>30-45</v>
      </c>
      <c r="N5062" t="str">
        <f t="shared" si="317"/>
        <v>Medium</v>
      </c>
      <c r="O5062" t="str">
        <f t="shared" si="318"/>
        <v>High Balance</v>
      </c>
      <c r="P5062" t="str">
        <f t="shared" si="319"/>
        <v>Mid-term</v>
      </c>
    </row>
    <row r="5063" spans="1:16" x14ac:dyDescent="0.25">
      <c r="A5063">
        <v>2025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  <c r="M5063" t="str">
        <f t="shared" si="316"/>
        <v>30-45</v>
      </c>
      <c r="N5063" t="str">
        <f t="shared" si="317"/>
        <v>Medium</v>
      </c>
      <c r="O5063" t="str">
        <f t="shared" si="318"/>
        <v>Zero Balance</v>
      </c>
      <c r="P5063" t="str">
        <f t="shared" si="319"/>
        <v>New</v>
      </c>
    </row>
    <row r="5064" spans="1:16" x14ac:dyDescent="0.25">
      <c r="A5064">
        <v>2025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  <c r="M5064" t="str">
        <f t="shared" si="316"/>
        <v>30-45</v>
      </c>
      <c r="N5064" t="str">
        <f t="shared" si="317"/>
        <v>High</v>
      </c>
      <c r="O5064" t="str">
        <f t="shared" si="318"/>
        <v>Low Balance</v>
      </c>
      <c r="P5064" t="str">
        <f t="shared" si="319"/>
        <v>Long-term</v>
      </c>
    </row>
    <row r="5065" spans="1:16" x14ac:dyDescent="0.25">
      <c r="A5065">
        <v>2025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  <c r="M5065" t="str">
        <f t="shared" si="316"/>
        <v>30-45</v>
      </c>
      <c r="N5065" t="str">
        <f t="shared" si="317"/>
        <v>Medium</v>
      </c>
      <c r="O5065" t="str">
        <f t="shared" si="318"/>
        <v>High Balance</v>
      </c>
      <c r="P5065" t="str">
        <f t="shared" si="319"/>
        <v>Mid-term</v>
      </c>
    </row>
    <row r="5066" spans="1:16" x14ac:dyDescent="0.25">
      <c r="A5066">
        <v>2025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  <c r="M5066" t="str">
        <f t="shared" si="316"/>
        <v>46-60</v>
      </c>
      <c r="N5066" t="str">
        <f t="shared" si="317"/>
        <v>Medium</v>
      </c>
      <c r="O5066" t="str">
        <f t="shared" si="318"/>
        <v>Zero Balance</v>
      </c>
      <c r="P5066" t="str">
        <f t="shared" si="319"/>
        <v>Long-term</v>
      </c>
    </row>
    <row r="5067" spans="1:16" x14ac:dyDescent="0.25">
      <c r="A5067">
        <v>2025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  <c r="M5067" t="str">
        <f t="shared" si="316"/>
        <v>&lt;30</v>
      </c>
      <c r="N5067" t="str">
        <f t="shared" si="317"/>
        <v>High</v>
      </c>
      <c r="O5067" t="str">
        <f t="shared" si="318"/>
        <v>Low Balance</v>
      </c>
      <c r="P5067" t="str">
        <f t="shared" si="319"/>
        <v>Long-term</v>
      </c>
    </row>
    <row r="5068" spans="1:16" x14ac:dyDescent="0.25">
      <c r="A5068">
        <v>2025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  <c r="M5068" t="str">
        <f t="shared" si="316"/>
        <v>&lt;30</v>
      </c>
      <c r="N5068" t="str">
        <f t="shared" si="317"/>
        <v>Medium</v>
      </c>
      <c r="O5068" t="str">
        <f t="shared" si="318"/>
        <v>Zero Balance</v>
      </c>
      <c r="P5068" t="str">
        <f t="shared" si="319"/>
        <v>New</v>
      </c>
    </row>
    <row r="5069" spans="1:16" x14ac:dyDescent="0.25">
      <c r="A5069">
        <v>2025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  <c r="M5069" t="str">
        <f t="shared" si="316"/>
        <v>30-45</v>
      </c>
      <c r="N5069" t="str">
        <f t="shared" si="317"/>
        <v>Medium</v>
      </c>
      <c r="O5069" t="str">
        <f t="shared" si="318"/>
        <v>High Balance</v>
      </c>
      <c r="P5069" t="str">
        <f t="shared" si="319"/>
        <v>Long-term</v>
      </c>
    </row>
    <row r="5070" spans="1:16" x14ac:dyDescent="0.25">
      <c r="A5070">
        <v>2025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  <c r="M5070" t="str">
        <f t="shared" si="316"/>
        <v>60+</v>
      </c>
      <c r="N5070" t="str">
        <f t="shared" si="317"/>
        <v>High</v>
      </c>
      <c r="O5070" t="str">
        <f t="shared" si="318"/>
        <v>High Balance</v>
      </c>
      <c r="P5070" t="str">
        <f t="shared" si="319"/>
        <v>Mid-term</v>
      </c>
    </row>
    <row r="5071" spans="1:16" x14ac:dyDescent="0.25">
      <c r="A5071">
        <v>2025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  <c r="M5071" t="str">
        <f t="shared" si="316"/>
        <v>&lt;30</v>
      </c>
      <c r="N5071" t="str">
        <f t="shared" si="317"/>
        <v>Medium</v>
      </c>
      <c r="O5071" t="str">
        <f t="shared" si="318"/>
        <v>Zero Balance</v>
      </c>
      <c r="P5071" t="str">
        <f t="shared" si="319"/>
        <v>Long-term</v>
      </c>
    </row>
    <row r="5072" spans="1:16" x14ac:dyDescent="0.25">
      <c r="A5072">
        <v>2025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  <c r="M5072" t="str">
        <f t="shared" si="316"/>
        <v>30-45</v>
      </c>
      <c r="N5072" t="str">
        <f t="shared" si="317"/>
        <v>Medium</v>
      </c>
      <c r="O5072" t="str">
        <f t="shared" si="318"/>
        <v>Zero Balance</v>
      </c>
      <c r="P5072" t="str">
        <f t="shared" si="319"/>
        <v>Mid-term</v>
      </c>
    </row>
    <row r="5073" spans="1:16" x14ac:dyDescent="0.25">
      <c r="A5073">
        <v>2025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  <c r="M5073" t="str">
        <f t="shared" si="316"/>
        <v>30-45</v>
      </c>
      <c r="N5073" t="str">
        <f t="shared" si="317"/>
        <v>Medium</v>
      </c>
      <c r="O5073" t="str">
        <f t="shared" si="318"/>
        <v>High Balance</v>
      </c>
      <c r="P5073" t="str">
        <f t="shared" si="319"/>
        <v>Mid-term</v>
      </c>
    </row>
    <row r="5074" spans="1:16" x14ac:dyDescent="0.25">
      <c r="A5074">
        <v>2025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  <c r="M5074" t="str">
        <f t="shared" si="316"/>
        <v>&lt;30</v>
      </c>
      <c r="N5074" t="str">
        <f t="shared" si="317"/>
        <v>Low</v>
      </c>
      <c r="O5074" t="str">
        <f t="shared" si="318"/>
        <v>High Balance</v>
      </c>
      <c r="P5074" t="str">
        <f t="shared" si="319"/>
        <v>Long-term</v>
      </c>
    </row>
    <row r="5075" spans="1:16" x14ac:dyDescent="0.25">
      <c r="A5075">
        <v>2025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  <c r="M5075" t="str">
        <f t="shared" si="316"/>
        <v>30-45</v>
      </c>
      <c r="N5075" t="str">
        <f t="shared" si="317"/>
        <v>Medium</v>
      </c>
      <c r="O5075" t="str">
        <f t="shared" si="318"/>
        <v>High Balance</v>
      </c>
      <c r="P5075" t="str">
        <f t="shared" si="319"/>
        <v>Long-term</v>
      </c>
    </row>
    <row r="5076" spans="1:16" x14ac:dyDescent="0.25">
      <c r="A5076">
        <v>2025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  <c r="M5076" t="str">
        <f t="shared" si="316"/>
        <v>30-45</v>
      </c>
      <c r="N5076" t="str">
        <f t="shared" si="317"/>
        <v>Medium</v>
      </c>
      <c r="O5076" t="str">
        <f t="shared" si="318"/>
        <v>High Balance</v>
      </c>
      <c r="P5076" t="str">
        <f t="shared" si="319"/>
        <v>New</v>
      </c>
    </row>
    <row r="5077" spans="1:16" x14ac:dyDescent="0.25">
      <c r="A5077">
        <v>2025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  <c r="M5077" t="str">
        <f t="shared" si="316"/>
        <v>&lt;30</v>
      </c>
      <c r="N5077" t="str">
        <f t="shared" si="317"/>
        <v>High</v>
      </c>
      <c r="O5077" t="str">
        <f t="shared" si="318"/>
        <v>High Balance</v>
      </c>
      <c r="P5077" t="str">
        <f t="shared" si="319"/>
        <v>Long-term</v>
      </c>
    </row>
    <row r="5078" spans="1:16" x14ac:dyDescent="0.25">
      <c r="A5078">
        <v>2025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  <c r="M5078" t="str">
        <f t="shared" si="316"/>
        <v>30-45</v>
      </c>
      <c r="N5078" t="str">
        <f t="shared" si="317"/>
        <v>High</v>
      </c>
      <c r="O5078" t="str">
        <f t="shared" si="318"/>
        <v>Zero Balance</v>
      </c>
      <c r="P5078" t="str">
        <f t="shared" si="319"/>
        <v>Mid-term</v>
      </c>
    </row>
    <row r="5079" spans="1:16" x14ac:dyDescent="0.25">
      <c r="A5079">
        <v>2025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  <c r="M5079" t="str">
        <f t="shared" si="316"/>
        <v>30-45</v>
      </c>
      <c r="N5079" t="str">
        <f t="shared" si="317"/>
        <v>Medium</v>
      </c>
      <c r="O5079" t="str">
        <f t="shared" si="318"/>
        <v>Zero Balance</v>
      </c>
      <c r="P5079" t="str">
        <f t="shared" si="319"/>
        <v>Long-term</v>
      </c>
    </row>
    <row r="5080" spans="1:16" x14ac:dyDescent="0.25">
      <c r="A5080">
        <v>2025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  <c r="M5080" t="str">
        <f t="shared" si="316"/>
        <v>30-45</v>
      </c>
      <c r="N5080" t="str">
        <f t="shared" si="317"/>
        <v>High</v>
      </c>
      <c r="O5080" t="str">
        <f t="shared" si="318"/>
        <v>Low Balance</v>
      </c>
      <c r="P5080" t="str">
        <f t="shared" si="319"/>
        <v>Mid-term</v>
      </c>
    </row>
    <row r="5081" spans="1:16" x14ac:dyDescent="0.25">
      <c r="A5081">
        <v>2025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  <c r="M5081" t="str">
        <f t="shared" si="316"/>
        <v>30-45</v>
      </c>
      <c r="N5081" t="str">
        <f t="shared" si="317"/>
        <v>Low</v>
      </c>
      <c r="O5081" t="str">
        <f t="shared" si="318"/>
        <v>Zero Balance</v>
      </c>
      <c r="P5081" t="str">
        <f t="shared" si="319"/>
        <v>Mid-term</v>
      </c>
    </row>
    <row r="5082" spans="1:16" x14ac:dyDescent="0.25">
      <c r="A5082">
        <v>2025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  <c r="M5082" t="str">
        <f t="shared" si="316"/>
        <v>&lt;30</v>
      </c>
      <c r="N5082" t="str">
        <f t="shared" si="317"/>
        <v>High</v>
      </c>
      <c r="O5082" t="str">
        <f t="shared" si="318"/>
        <v>Zero Balance</v>
      </c>
      <c r="P5082" t="str">
        <f t="shared" si="319"/>
        <v>Long-term</v>
      </c>
    </row>
    <row r="5083" spans="1:16" x14ac:dyDescent="0.25">
      <c r="A5083">
        <v>2025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  <c r="M5083" t="str">
        <f t="shared" si="316"/>
        <v>30-45</v>
      </c>
      <c r="N5083" t="str">
        <f t="shared" si="317"/>
        <v>Medium</v>
      </c>
      <c r="O5083" t="str">
        <f t="shared" si="318"/>
        <v>High Balance</v>
      </c>
      <c r="P5083" t="str">
        <f t="shared" si="319"/>
        <v>Mid-term</v>
      </c>
    </row>
    <row r="5084" spans="1:16" x14ac:dyDescent="0.25">
      <c r="A5084">
        <v>2025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  <c r="M5084" t="str">
        <f t="shared" si="316"/>
        <v>30-45</v>
      </c>
      <c r="N5084" t="str">
        <f t="shared" si="317"/>
        <v>High</v>
      </c>
      <c r="O5084" t="str">
        <f t="shared" si="318"/>
        <v>High Balance</v>
      </c>
      <c r="P5084" t="str">
        <f t="shared" si="319"/>
        <v>Mid-term</v>
      </c>
    </row>
    <row r="5085" spans="1:16" x14ac:dyDescent="0.25">
      <c r="A5085">
        <v>2025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  <c r="M5085" t="str">
        <f t="shared" si="316"/>
        <v>30-45</v>
      </c>
      <c r="N5085" t="str">
        <f t="shared" si="317"/>
        <v>Medium</v>
      </c>
      <c r="O5085" t="str">
        <f t="shared" si="318"/>
        <v>High Balance</v>
      </c>
      <c r="P5085" t="str">
        <f t="shared" si="319"/>
        <v>Long-term</v>
      </c>
    </row>
    <row r="5086" spans="1:16" x14ac:dyDescent="0.25">
      <c r="A5086">
        <v>2025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  <c r="M5086" t="str">
        <f t="shared" si="316"/>
        <v>46-60</v>
      </c>
      <c r="N5086" t="str">
        <f t="shared" si="317"/>
        <v>High</v>
      </c>
      <c r="O5086" t="str">
        <f t="shared" si="318"/>
        <v>High Balance</v>
      </c>
      <c r="P5086" t="str">
        <f t="shared" si="319"/>
        <v>New</v>
      </c>
    </row>
    <row r="5087" spans="1:16" x14ac:dyDescent="0.25">
      <c r="A5087">
        <v>2025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  <c r="M5087" t="str">
        <f t="shared" si="316"/>
        <v>46-60</v>
      </c>
      <c r="N5087" t="str">
        <f t="shared" si="317"/>
        <v>Medium</v>
      </c>
      <c r="O5087" t="str">
        <f t="shared" si="318"/>
        <v>High Balance</v>
      </c>
      <c r="P5087" t="str">
        <f t="shared" si="319"/>
        <v>Long-term</v>
      </c>
    </row>
    <row r="5088" spans="1:16" x14ac:dyDescent="0.25">
      <c r="A5088">
        <v>2025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  <c r="M5088" t="str">
        <f t="shared" si="316"/>
        <v>46-60</v>
      </c>
      <c r="N5088" t="str">
        <f t="shared" si="317"/>
        <v>High</v>
      </c>
      <c r="O5088" t="str">
        <f t="shared" si="318"/>
        <v>Zero Balance</v>
      </c>
      <c r="P5088" t="str">
        <f t="shared" si="319"/>
        <v>New</v>
      </c>
    </row>
    <row r="5089" spans="1:16" x14ac:dyDescent="0.25">
      <c r="A5089">
        <v>2025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  <c r="M5089" t="str">
        <f t="shared" si="316"/>
        <v>30-45</v>
      </c>
      <c r="N5089" t="str">
        <f t="shared" si="317"/>
        <v>High</v>
      </c>
      <c r="O5089" t="str">
        <f t="shared" si="318"/>
        <v>Zero Balance</v>
      </c>
      <c r="P5089" t="str">
        <f t="shared" si="319"/>
        <v>Long-term</v>
      </c>
    </row>
    <row r="5090" spans="1:16" x14ac:dyDescent="0.25">
      <c r="A5090">
        <v>2025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  <c r="M5090" t="str">
        <f t="shared" si="316"/>
        <v>30-45</v>
      </c>
      <c r="N5090" t="str">
        <f t="shared" si="317"/>
        <v>Medium</v>
      </c>
      <c r="O5090" t="str">
        <f t="shared" si="318"/>
        <v>Low Balance</v>
      </c>
      <c r="P5090" t="str">
        <f t="shared" si="319"/>
        <v>Mid-term</v>
      </c>
    </row>
    <row r="5091" spans="1:16" x14ac:dyDescent="0.25">
      <c r="A5091">
        <v>2025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  <c r="M5091" t="str">
        <f t="shared" si="316"/>
        <v>30-45</v>
      </c>
      <c r="N5091" t="str">
        <f t="shared" si="317"/>
        <v>Medium</v>
      </c>
      <c r="O5091" t="str">
        <f t="shared" si="318"/>
        <v>High Balance</v>
      </c>
      <c r="P5091" t="str">
        <f t="shared" si="319"/>
        <v>Long-term</v>
      </c>
    </row>
    <row r="5092" spans="1:16" x14ac:dyDescent="0.25">
      <c r="A5092">
        <v>2025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  <c r="M5092" t="str">
        <f t="shared" si="316"/>
        <v>30-45</v>
      </c>
      <c r="N5092" t="str">
        <f t="shared" si="317"/>
        <v>Low</v>
      </c>
      <c r="O5092" t="str">
        <f t="shared" si="318"/>
        <v>Zero Balance</v>
      </c>
      <c r="P5092" t="str">
        <f t="shared" si="319"/>
        <v>Long-term</v>
      </c>
    </row>
    <row r="5093" spans="1:16" x14ac:dyDescent="0.25">
      <c r="A5093">
        <v>2025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  <c r="M5093" t="str">
        <f t="shared" si="316"/>
        <v>30-45</v>
      </c>
      <c r="N5093" t="str">
        <f t="shared" si="317"/>
        <v>Medium</v>
      </c>
      <c r="O5093" t="str">
        <f t="shared" si="318"/>
        <v>High Balance</v>
      </c>
      <c r="P5093" t="str">
        <f t="shared" si="319"/>
        <v>Mid-term</v>
      </c>
    </row>
    <row r="5094" spans="1:16" x14ac:dyDescent="0.25">
      <c r="A5094">
        <v>2025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  <c r="M5094" t="str">
        <f t="shared" si="316"/>
        <v>30-45</v>
      </c>
      <c r="N5094" t="str">
        <f t="shared" si="317"/>
        <v>Medium</v>
      </c>
      <c r="O5094" t="str">
        <f t="shared" si="318"/>
        <v>Zero Balance</v>
      </c>
      <c r="P5094" t="str">
        <f t="shared" si="319"/>
        <v>New</v>
      </c>
    </row>
    <row r="5095" spans="1:16" x14ac:dyDescent="0.25">
      <c r="A5095">
        <v>2025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  <c r="M5095" t="str">
        <f t="shared" si="316"/>
        <v>46-60</v>
      </c>
      <c r="N5095" t="str">
        <f t="shared" si="317"/>
        <v>Medium</v>
      </c>
      <c r="O5095" t="str">
        <f t="shared" si="318"/>
        <v>High Balance</v>
      </c>
      <c r="P5095" t="str">
        <f t="shared" si="319"/>
        <v>New</v>
      </c>
    </row>
    <row r="5096" spans="1:16" x14ac:dyDescent="0.25">
      <c r="A5096">
        <v>2025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  <c r="M5096" t="str">
        <f t="shared" si="316"/>
        <v>30-45</v>
      </c>
      <c r="N5096" t="str">
        <f t="shared" si="317"/>
        <v>Medium</v>
      </c>
      <c r="O5096" t="str">
        <f t="shared" si="318"/>
        <v>Zero Balance</v>
      </c>
      <c r="P5096" t="str">
        <f t="shared" si="319"/>
        <v>New</v>
      </c>
    </row>
    <row r="5097" spans="1:16" x14ac:dyDescent="0.25">
      <c r="A5097">
        <v>2025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  <c r="M5097" t="str">
        <f t="shared" si="316"/>
        <v>46-60</v>
      </c>
      <c r="N5097" t="str">
        <f t="shared" si="317"/>
        <v>High</v>
      </c>
      <c r="O5097" t="str">
        <f t="shared" si="318"/>
        <v>Low Balance</v>
      </c>
      <c r="P5097" t="str">
        <f t="shared" si="319"/>
        <v>Mid-term</v>
      </c>
    </row>
    <row r="5098" spans="1:16" x14ac:dyDescent="0.25">
      <c r="A5098">
        <v>2025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  <c r="M5098" t="str">
        <f t="shared" si="316"/>
        <v>&lt;30</v>
      </c>
      <c r="N5098" t="str">
        <f t="shared" si="317"/>
        <v>Medium</v>
      </c>
      <c r="O5098" t="str">
        <f t="shared" si="318"/>
        <v>High Balance</v>
      </c>
      <c r="P5098" t="str">
        <f t="shared" si="319"/>
        <v>Mid-term</v>
      </c>
    </row>
    <row r="5099" spans="1:16" x14ac:dyDescent="0.25">
      <c r="A5099">
        <v>2025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  <c r="M5099" t="str">
        <f t="shared" si="316"/>
        <v>&lt;30</v>
      </c>
      <c r="N5099" t="str">
        <f t="shared" si="317"/>
        <v>Medium</v>
      </c>
      <c r="O5099" t="str">
        <f t="shared" si="318"/>
        <v>Zero Balance</v>
      </c>
      <c r="P5099" t="str">
        <f t="shared" si="319"/>
        <v>Long-term</v>
      </c>
    </row>
    <row r="5100" spans="1:16" x14ac:dyDescent="0.25">
      <c r="A5100">
        <v>2025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  <c r="M5100" t="str">
        <f t="shared" si="316"/>
        <v>&lt;30</v>
      </c>
      <c r="N5100" t="str">
        <f t="shared" si="317"/>
        <v>Medium</v>
      </c>
      <c r="O5100" t="str">
        <f t="shared" si="318"/>
        <v>High Balance</v>
      </c>
      <c r="P5100" t="str">
        <f t="shared" si="319"/>
        <v>Long-term</v>
      </c>
    </row>
    <row r="5101" spans="1:16" x14ac:dyDescent="0.25">
      <c r="A5101">
        <v>2025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  <c r="M5101" t="str">
        <f t="shared" si="316"/>
        <v>30-45</v>
      </c>
      <c r="N5101" t="str">
        <f t="shared" si="317"/>
        <v>Medium</v>
      </c>
      <c r="O5101" t="str">
        <f t="shared" si="318"/>
        <v>High Balance</v>
      </c>
      <c r="P5101" t="str">
        <f t="shared" si="319"/>
        <v>Long-term</v>
      </c>
    </row>
    <row r="5102" spans="1:16" x14ac:dyDescent="0.25">
      <c r="A5102">
        <v>2025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  <c r="M5102" t="str">
        <f t="shared" si="316"/>
        <v>&lt;30</v>
      </c>
      <c r="N5102" t="str">
        <f t="shared" si="317"/>
        <v>Medium</v>
      </c>
      <c r="O5102" t="str">
        <f t="shared" si="318"/>
        <v>Zero Balance</v>
      </c>
      <c r="P5102" t="str">
        <f t="shared" si="319"/>
        <v>Mid-term</v>
      </c>
    </row>
    <row r="5103" spans="1:16" x14ac:dyDescent="0.25">
      <c r="A5103">
        <v>2025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  <c r="M5103" t="str">
        <f t="shared" si="316"/>
        <v>46-60</v>
      </c>
      <c r="N5103" t="str">
        <f t="shared" si="317"/>
        <v>Medium</v>
      </c>
      <c r="O5103" t="str">
        <f t="shared" si="318"/>
        <v>Zero Balance</v>
      </c>
      <c r="P5103" t="str">
        <f t="shared" si="319"/>
        <v>New</v>
      </c>
    </row>
    <row r="5104" spans="1:16" x14ac:dyDescent="0.25">
      <c r="A5104">
        <v>2025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  <c r="M5104" t="str">
        <f t="shared" si="316"/>
        <v>&lt;30</v>
      </c>
      <c r="N5104" t="str">
        <f t="shared" si="317"/>
        <v>Medium</v>
      </c>
      <c r="O5104" t="str">
        <f t="shared" si="318"/>
        <v>High Balance</v>
      </c>
      <c r="P5104" t="str">
        <f t="shared" si="319"/>
        <v>Long-term</v>
      </c>
    </row>
    <row r="5105" spans="1:16" x14ac:dyDescent="0.25">
      <c r="A5105">
        <v>2025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  <c r="M5105" t="str">
        <f t="shared" si="316"/>
        <v>46-60</v>
      </c>
      <c r="N5105" t="str">
        <f t="shared" si="317"/>
        <v>High</v>
      </c>
      <c r="O5105" t="str">
        <f t="shared" si="318"/>
        <v>High Balance</v>
      </c>
      <c r="P5105" t="str">
        <f t="shared" si="319"/>
        <v>New</v>
      </c>
    </row>
    <row r="5106" spans="1:16" x14ac:dyDescent="0.25">
      <c r="A5106">
        <v>2025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  <c r="M5106" t="str">
        <f t="shared" si="316"/>
        <v>30-45</v>
      </c>
      <c r="N5106" t="str">
        <f t="shared" si="317"/>
        <v>High</v>
      </c>
      <c r="O5106" t="str">
        <f t="shared" si="318"/>
        <v>Zero Balance</v>
      </c>
      <c r="P5106" t="str">
        <f t="shared" si="319"/>
        <v>Mid-term</v>
      </c>
    </row>
    <row r="5107" spans="1:16" x14ac:dyDescent="0.25">
      <c r="A5107">
        <v>2025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  <c r="M5107" t="str">
        <f t="shared" si="316"/>
        <v>46-60</v>
      </c>
      <c r="N5107" t="str">
        <f t="shared" si="317"/>
        <v>Medium</v>
      </c>
      <c r="O5107" t="str">
        <f t="shared" si="318"/>
        <v>Low Balance</v>
      </c>
      <c r="P5107" t="str">
        <f t="shared" si="319"/>
        <v>New</v>
      </c>
    </row>
    <row r="5108" spans="1:16" x14ac:dyDescent="0.25">
      <c r="A5108">
        <v>2025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  <c r="M5108" t="str">
        <f t="shared" si="316"/>
        <v>30-45</v>
      </c>
      <c r="N5108" t="str">
        <f t="shared" si="317"/>
        <v>Medium</v>
      </c>
      <c r="O5108" t="str">
        <f t="shared" si="318"/>
        <v>Low Balance</v>
      </c>
      <c r="P5108" t="str">
        <f t="shared" si="319"/>
        <v>New</v>
      </c>
    </row>
    <row r="5109" spans="1:16" x14ac:dyDescent="0.25">
      <c r="A5109">
        <v>2025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  <c r="M5109" t="str">
        <f t="shared" si="316"/>
        <v>30-45</v>
      </c>
      <c r="N5109" t="str">
        <f t="shared" si="317"/>
        <v>High</v>
      </c>
      <c r="O5109" t="str">
        <f t="shared" si="318"/>
        <v>High Balance</v>
      </c>
      <c r="P5109" t="str">
        <f t="shared" si="319"/>
        <v>Long-term</v>
      </c>
    </row>
    <row r="5110" spans="1:16" x14ac:dyDescent="0.25">
      <c r="A5110">
        <v>2025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  <c r="M5110" t="str">
        <f t="shared" si="316"/>
        <v>46-60</v>
      </c>
      <c r="N5110" t="str">
        <f t="shared" si="317"/>
        <v>Medium</v>
      </c>
      <c r="O5110" t="str">
        <f t="shared" si="318"/>
        <v>High Balance</v>
      </c>
      <c r="P5110" t="str">
        <f t="shared" si="319"/>
        <v>Long-term</v>
      </c>
    </row>
    <row r="5111" spans="1:16" x14ac:dyDescent="0.25">
      <c r="A5111">
        <v>2025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  <c r="M5111" t="str">
        <f t="shared" si="316"/>
        <v>&lt;30</v>
      </c>
      <c r="N5111" t="str">
        <f t="shared" si="317"/>
        <v>High</v>
      </c>
      <c r="O5111" t="str">
        <f t="shared" si="318"/>
        <v>Zero Balance</v>
      </c>
      <c r="P5111" t="str">
        <f t="shared" si="319"/>
        <v>Mid-term</v>
      </c>
    </row>
    <row r="5112" spans="1:16" x14ac:dyDescent="0.25">
      <c r="A5112">
        <v>2025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  <c r="M5112" t="str">
        <f t="shared" si="316"/>
        <v>30-45</v>
      </c>
      <c r="N5112" t="str">
        <f t="shared" si="317"/>
        <v>Medium</v>
      </c>
      <c r="O5112" t="str">
        <f t="shared" si="318"/>
        <v>Low Balance</v>
      </c>
      <c r="P5112" t="str">
        <f t="shared" si="319"/>
        <v>Long-term</v>
      </c>
    </row>
    <row r="5113" spans="1:16" x14ac:dyDescent="0.25">
      <c r="A5113">
        <v>2025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  <c r="M5113" t="str">
        <f t="shared" si="316"/>
        <v>&lt;30</v>
      </c>
      <c r="N5113" t="str">
        <f t="shared" si="317"/>
        <v>Medium</v>
      </c>
      <c r="O5113" t="str">
        <f t="shared" si="318"/>
        <v>High Balance</v>
      </c>
      <c r="P5113" t="str">
        <f t="shared" si="319"/>
        <v>New</v>
      </c>
    </row>
    <row r="5114" spans="1:16" x14ac:dyDescent="0.25">
      <c r="A5114">
        <v>2025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  <c r="M5114" t="str">
        <f t="shared" si="316"/>
        <v>&lt;30</v>
      </c>
      <c r="N5114" t="str">
        <f t="shared" si="317"/>
        <v>Medium</v>
      </c>
      <c r="O5114" t="str">
        <f t="shared" si="318"/>
        <v>Zero Balance</v>
      </c>
      <c r="P5114" t="str">
        <f t="shared" si="319"/>
        <v>Mid-term</v>
      </c>
    </row>
    <row r="5115" spans="1:16" x14ac:dyDescent="0.25">
      <c r="A5115">
        <v>2025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  <c r="M5115" t="str">
        <f t="shared" si="316"/>
        <v>46-60</v>
      </c>
      <c r="N5115" t="str">
        <f t="shared" si="317"/>
        <v>High</v>
      </c>
      <c r="O5115" t="str">
        <f t="shared" si="318"/>
        <v>High Balance</v>
      </c>
      <c r="P5115" t="str">
        <f t="shared" si="319"/>
        <v>New</v>
      </c>
    </row>
    <row r="5116" spans="1:16" x14ac:dyDescent="0.25">
      <c r="A5116">
        <v>2025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  <c r="M5116" t="str">
        <f t="shared" si="316"/>
        <v>46-60</v>
      </c>
      <c r="N5116" t="str">
        <f t="shared" si="317"/>
        <v>Medium</v>
      </c>
      <c r="O5116" t="str">
        <f t="shared" si="318"/>
        <v>High Balance</v>
      </c>
      <c r="P5116" t="str">
        <f t="shared" si="319"/>
        <v>Long-term</v>
      </c>
    </row>
    <row r="5117" spans="1:16" x14ac:dyDescent="0.25">
      <c r="A5117">
        <v>2025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  <c r="M5117" t="str">
        <f t="shared" si="316"/>
        <v>46-60</v>
      </c>
      <c r="N5117" t="str">
        <f t="shared" si="317"/>
        <v>Medium</v>
      </c>
      <c r="O5117" t="str">
        <f t="shared" si="318"/>
        <v>High Balance</v>
      </c>
      <c r="P5117" t="str">
        <f t="shared" si="319"/>
        <v>New</v>
      </c>
    </row>
    <row r="5118" spans="1:16" x14ac:dyDescent="0.25">
      <c r="A5118">
        <v>2025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  <c r="M5118" t="str">
        <f t="shared" si="316"/>
        <v>30-45</v>
      </c>
      <c r="N5118" t="str">
        <f t="shared" si="317"/>
        <v>High</v>
      </c>
      <c r="O5118" t="str">
        <f t="shared" si="318"/>
        <v>High Balance</v>
      </c>
      <c r="P5118" t="str">
        <f t="shared" si="319"/>
        <v>Mid-term</v>
      </c>
    </row>
    <row r="5119" spans="1:16" x14ac:dyDescent="0.25">
      <c r="A5119">
        <v>2025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  <c r="M5119" t="str">
        <f t="shared" si="316"/>
        <v>30-45</v>
      </c>
      <c r="N5119" t="str">
        <f t="shared" si="317"/>
        <v>High</v>
      </c>
      <c r="O5119" t="str">
        <f t="shared" si="318"/>
        <v>Low Balance</v>
      </c>
      <c r="P5119" t="str">
        <f t="shared" si="319"/>
        <v>Long-term</v>
      </c>
    </row>
    <row r="5120" spans="1:16" x14ac:dyDescent="0.25">
      <c r="A5120">
        <v>2025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  <c r="M5120" t="str">
        <f t="shared" si="316"/>
        <v>30-45</v>
      </c>
      <c r="N5120" t="str">
        <f t="shared" si="317"/>
        <v>High</v>
      </c>
      <c r="O5120" t="str">
        <f t="shared" si="318"/>
        <v>Zero Balance</v>
      </c>
      <c r="P5120" t="str">
        <f t="shared" si="319"/>
        <v>New</v>
      </c>
    </row>
    <row r="5121" spans="1:16" x14ac:dyDescent="0.25">
      <c r="A5121">
        <v>2025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  <c r="M5121" t="str">
        <f t="shared" si="316"/>
        <v>30-45</v>
      </c>
      <c r="N5121" t="str">
        <f t="shared" si="317"/>
        <v>High</v>
      </c>
      <c r="O5121" t="str">
        <f t="shared" si="318"/>
        <v>Low Balance</v>
      </c>
      <c r="P5121" t="str">
        <f t="shared" si="319"/>
        <v>New</v>
      </c>
    </row>
    <row r="5122" spans="1:16" x14ac:dyDescent="0.25">
      <c r="A5122">
        <v>2025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  <c r="M5122" t="str">
        <f t="shared" si="316"/>
        <v>&lt;30</v>
      </c>
      <c r="N5122" t="str">
        <f t="shared" si="317"/>
        <v>Medium</v>
      </c>
      <c r="O5122" t="str">
        <f t="shared" si="318"/>
        <v>High Balance</v>
      </c>
      <c r="P5122" t="str">
        <f t="shared" si="319"/>
        <v>Mid-term</v>
      </c>
    </row>
    <row r="5123" spans="1:16" x14ac:dyDescent="0.25">
      <c r="A5123">
        <v>2025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  <c r="M5123" t="str">
        <f t="shared" ref="M5123:M5186" si="320">IF(E5123&lt;30,"&lt;30",IF(E5123&lt;=45,"30-45",IF(E5123&lt;=60,"46-60","60+")))</f>
        <v>30-45</v>
      </c>
      <c r="N5123" t="str">
        <f t="shared" ref="N5123:N5186" si="321">IF(B5123&lt;500,"Low",IF(B5123&lt;700,"Medium","High"))</f>
        <v>Medium</v>
      </c>
      <c r="O5123" t="str">
        <f t="shared" ref="O5123:O5186" si="322">IF(G5123=0,"Zero Balance",IF(G5123&lt;100000,"Low Balance","High Balance"))</f>
        <v>Zero Balance</v>
      </c>
      <c r="P5123" t="str">
        <f t="shared" ref="P5123:P5186" si="323">IF(F5123&lt;=3,"New",IF(F5123&lt;=7,"Mid-term","Long-term"))</f>
        <v>New</v>
      </c>
    </row>
    <row r="5124" spans="1:16" x14ac:dyDescent="0.25">
      <c r="A5124">
        <v>2025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  <c r="M5124" t="str">
        <f t="shared" si="320"/>
        <v>&lt;30</v>
      </c>
      <c r="N5124" t="str">
        <f t="shared" si="321"/>
        <v>Medium</v>
      </c>
      <c r="O5124" t="str">
        <f t="shared" si="322"/>
        <v>High Balance</v>
      </c>
      <c r="P5124" t="str">
        <f t="shared" si="323"/>
        <v>New</v>
      </c>
    </row>
    <row r="5125" spans="1:16" x14ac:dyDescent="0.25">
      <c r="A5125">
        <v>2025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  <c r="M5125" t="str">
        <f t="shared" si="320"/>
        <v>&lt;30</v>
      </c>
      <c r="N5125" t="str">
        <f t="shared" si="321"/>
        <v>High</v>
      </c>
      <c r="O5125" t="str">
        <f t="shared" si="322"/>
        <v>Low Balance</v>
      </c>
      <c r="P5125" t="str">
        <f t="shared" si="323"/>
        <v>Long-term</v>
      </c>
    </row>
    <row r="5126" spans="1:16" x14ac:dyDescent="0.25">
      <c r="A5126">
        <v>2025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  <c r="M5126" t="str">
        <f t="shared" si="320"/>
        <v>46-60</v>
      </c>
      <c r="N5126" t="str">
        <f t="shared" si="321"/>
        <v>High</v>
      </c>
      <c r="O5126" t="str">
        <f t="shared" si="322"/>
        <v>High Balance</v>
      </c>
      <c r="P5126" t="str">
        <f t="shared" si="323"/>
        <v>Mid-term</v>
      </c>
    </row>
    <row r="5127" spans="1:16" x14ac:dyDescent="0.25">
      <c r="A5127">
        <v>2025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  <c r="M5127" t="str">
        <f t="shared" si="320"/>
        <v>46-60</v>
      </c>
      <c r="N5127" t="str">
        <f t="shared" si="321"/>
        <v>Medium</v>
      </c>
      <c r="O5127" t="str">
        <f t="shared" si="322"/>
        <v>High Balance</v>
      </c>
      <c r="P5127" t="str">
        <f t="shared" si="323"/>
        <v>Long-term</v>
      </c>
    </row>
    <row r="5128" spans="1:16" x14ac:dyDescent="0.25">
      <c r="A5128">
        <v>2025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  <c r="M5128" t="str">
        <f t="shared" si="320"/>
        <v>46-60</v>
      </c>
      <c r="N5128" t="str">
        <f t="shared" si="321"/>
        <v>Medium</v>
      </c>
      <c r="O5128" t="str">
        <f t="shared" si="322"/>
        <v>Zero Balance</v>
      </c>
      <c r="P5128" t="str">
        <f t="shared" si="323"/>
        <v>Mid-term</v>
      </c>
    </row>
    <row r="5129" spans="1:16" x14ac:dyDescent="0.25">
      <c r="A5129">
        <v>2025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  <c r="M5129" t="str">
        <f t="shared" si="320"/>
        <v>30-45</v>
      </c>
      <c r="N5129" t="str">
        <f t="shared" si="321"/>
        <v>High</v>
      </c>
      <c r="O5129" t="str">
        <f t="shared" si="322"/>
        <v>Zero Balance</v>
      </c>
      <c r="P5129" t="str">
        <f t="shared" si="323"/>
        <v>Long-term</v>
      </c>
    </row>
    <row r="5130" spans="1:16" x14ac:dyDescent="0.25">
      <c r="A5130">
        <v>2025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  <c r="M5130" t="str">
        <f t="shared" si="320"/>
        <v>30-45</v>
      </c>
      <c r="N5130" t="str">
        <f t="shared" si="321"/>
        <v>Medium</v>
      </c>
      <c r="O5130" t="str">
        <f t="shared" si="322"/>
        <v>High Balance</v>
      </c>
      <c r="P5130" t="str">
        <f t="shared" si="323"/>
        <v>New</v>
      </c>
    </row>
    <row r="5131" spans="1:16" x14ac:dyDescent="0.25">
      <c r="A5131">
        <v>2025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  <c r="M5131" t="str">
        <f t="shared" si="320"/>
        <v>30-45</v>
      </c>
      <c r="N5131" t="str">
        <f t="shared" si="321"/>
        <v>Medium</v>
      </c>
      <c r="O5131" t="str">
        <f t="shared" si="322"/>
        <v>High Balance</v>
      </c>
      <c r="P5131" t="str">
        <f t="shared" si="323"/>
        <v>New</v>
      </c>
    </row>
    <row r="5132" spans="1:16" x14ac:dyDescent="0.25">
      <c r="A5132">
        <v>2025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  <c r="M5132" t="str">
        <f t="shared" si="320"/>
        <v>30-45</v>
      </c>
      <c r="N5132" t="str">
        <f t="shared" si="321"/>
        <v>Medium</v>
      </c>
      <c r="O5132" t="str">
        <f t="shared" si="322"/>
        <v>High Balance</v>
      </c>
      <c r="P5132" t="str">
        <f t="shared" si="323"/>
        <v>Long-term</v>
      </c>
    </row>
    <row r="5133" spans="1:16" x14ac:dyDescent="0.25">
      <c r="A5133">
        <v>2025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  <c r="M5133" t="str">
        <f t="shared" si="320"/>
        <v>30-45</v>
      </c>
      <c r="N5133" t="str">
        <f t="shared" si="321"/>
        <v>Medium</v>
      </c>
      <c r="O5133" t="str">
        <f t="shared" si="322"/>
        <v>High Balance</v>
      </c>
      <c r="P5133" t="str">
        <f t="shared" si="323"/>
        <v>Mid-term</v>
      </c>
    </row>
    <row r="5134" spans="1:16" x14ac:dyDescent="0.25">
      <c r="A5134">
        <v>2025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  <c r="M5134" t="str">
        <f t="shared" si="320"/>
        <v>60+</v>
      </c>
      <c r="N5134" t="str">
        <f t="shared" si="321"/>
        <v>Low</v>
      </c>
      <c r="O5134" t="str">
        <f t="shared" si="322"/>
        <v>Zero Balance</v>
      </c>
      <c r="P5134" t="str">
        <f t="shared" si="323"/>
        <v>Long-term</v>
      </c>
    </row>
    <row r="5135" spans="1:16" x14ac:dyDescent="0.25">
      <c r="A5135">
        <v>2025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  <c r="M5135" t="str">
        <f t="shared" si="320"/>
        <v>30-45</v>
      </c>
      <c r="N5135" t="str">
        <f t="shared" si="321"/>
        <v>Low</v>
      </c>
      <c r="O5135" t="str">
        <f t="shared" si="322"/>
        <v>High Balance</v>
      </c>
      <c r="P5135" t="str">
        <f t="shared" si="323"/>
        <v>Mid-term</v>
      </c>
    </row>
    <row r="5136" spans="1:16" x14ac:dyDescent="0.25">
      <c r="A5136">
        <v>2025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  <c r="M5136" t="str">
        <f t="shared" si="320"/>
        <v>46-60</v>
      </c>
      <c r="N5136" t="str">
        <f t="shared" si="321"/>
        <v>High</v>
      </c>
      <c r="O5136" t="str">
        <f t="shared" si="322"/>
        <v>Low Balance</v>
      </c>
      <c r="P5136" t="str">
        <f t="shared" si="323"/>
        <v>Long-term</v>
      </c>
    </row>
    <row r="5137" spans="1:16" x14ac:dyDescent="0.25">
      <c r="A5137">
        <v>2025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  <c r="M5137" t="str">
        <f t="shared" si="320"/>
        <v>30-45</v>
      </c>
      <c r="N5137" t="str">
        <f t="shared" si="321"/>
        <v>Medium</v>
      </c>
      <c r="O5137" t="str">
        <f t="shared" si="322"/>
        <v>Zero Balance</v>
      </c>
      <c r="P5137" t="str">
        <f t="shared" si="323"/>
        <v>Mid-term</v>
      </c>
    </row>
    <row r="5138" spans="1:16" x14ac:dyDescent="0.25">
      <c r="A5138">
        <v>2025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  <c r="M5138" t="str">
        <f t="shared" si="320"/>
        <v>60+</v>
      </c>
      <c r="N5138" t="str">
        <f t="shared" si="321"/>
        <v>High</v>
      </c>
      <c r="O5138" t="str">
        <f t="shared" si="322"/>
        <v>Low Balance</v>
      </c>
      <c r="P5138" t="str">
        <f t="shared" si="323"/>
        <v>Long-term</v>
      </c>
    </row>
    <row r="5139" spans="1:16" x14ac:dyDescent="0.25">
      <c r="A5139">
        <v>2025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  <c r="M5139" t="str">
        <f t="shared" si="320"/>
        <v>46-60</v>
      </c>
      <c r="N5139" t="str">
        <f t="shared" si="321"/>
        <v>Medium</v>
      </c>
      <c r="O5139" t="str">
        <f t="shared" si="322"/>
        <v>High Balance</v>
      </c>
      <c r="P5139" t="str">
        <f t="shared" si="323"/>
        <v>Mid-term</v>
      </c>
    </row>
    <row r="5140" spans="1:16" x14ac:dyDescent="0.25">
      <c r="A5140">
        <v>2025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  <c r="M5140" t="str">
        <f t="shared" si="320"/>
        <v>30-45</v>
      </c>
      <c r="N5140" t="str">
        <f t="shared" si="321"/>
        <v>High</v>
      </c>
      <c r="O5140" t="str">
        <f t="shared" si="322"/>
        <v>Zero Balance</v>
      </c>
      <c r="P5140" t="str">
        <f t="shared" si="323"/>
        <v>Mid-term</v>
      </c>
    </row>
    <row r="5141" spans="1:16" x14ac:dyDescent="0.25">
      <c r="A5141">
        <v>2025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  <c r="M5141" t="str">
        <f t="shared" si="320"/>
        <v>46-60</v>
      </c>
      <c r="N5141" t="str">
        <f t="shared" si="321"/>
        <v>High</v>
      </c>
      <c r="O5141" t="str">
        <f t="shared" si="322"/>
        <v>Zero Balance</v>
      </c>
      <c r="P5141" t="str">
        <f t="shared" si="323"/>
        <v>Mid-term</v>
      </c>
    </row>
    <row r="5142" spans="1:16" x14ac:dyDescent="0.25">
      <c r="A5142">
        <v>2025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  <c r="M5142" t="str">
        <f t="shared" si="320"/>
        <v>&lt;30</v>
      </c>
      <c r="N5142" t="str">
        <f t="shared" si="321"/>
        <v>Medium</v>
      </c>
      <c r="O5142" t="str">
        <f t="shared" si="322"/>
        <v>High Balance</v>
      </c>
      <c r="P5142" t="str">
        <f t="shared" si="323"/>
        <v>Mid-term</v>
      </c>
    </row>
    <row r="5143" spans="1:16" x14ac:dyDescent="0.25">
      <c r="A5143">
        <v>2025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  <c r="M5143" t="str">
        <f t="shared" si="320"/>
        <v>30-45</v>
      </c>
      <c r="N5143" t="str">
        <f t="shared" si="321"/>
        <v>High</v>
      </c>
      <c r="O5143" t="str">
        <f t="shared" si="322"/>
        <v>Zero Balance</v>
      </c>
      <c r="P5143" t="str">
        <f t="shared" si="323"/>
        <v>Long-term</v>
      </c>
    </row>
    <row r="5144" spans="1:16" x14ac:dyDescent="0.25">
      <c r="A5144">
        <v>2025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  <c r="M5144" t="str">
        <f t="shared" si="320"/>
        <v>46-60</v>
      </c>
      <c r="N5144" t="str">
        <f t="shared" si="321"/>
        <v>High</v>
      </c>
      <c r="O5144" t="str">
        <f t="shared" si="322"/>
        <v>Zero Balance</v>
      </c>
      <c r="P5144" t="str">
        <f t="shared" si="323"/>
        <v>Mid-term</v>
      </c>
    </row>
    <row r="5145" spans="1:16" x14ac:dyDescent="0.25">
      <c r="A5145">
        <v>2025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  <c r="M5145" t="str">
        <f t="shared" si="320"/>
        <v>30-45</v>
      </c>
      <c r="N5145" t="str">
        <f t="shared" si="321"/>
        <v>Medium</v>
      </c>
      <c r="O5145" t="str">
        <f t="shared" si="322"/>
        <v>Zero Balance</v>
      </c>
      <c r="P5145" t="str">
        <f t="shared" si="323"/>
        <v>New</v>
      </c>
    </row>
    <row r="5146" spans="1:16" x14ac:dyDescent="0.25">
      <c r="A5146">
        <v>2025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  <c r="M5146" t="str">
        <f t="shared" si="320"/>
        <v>&lt;30</v>
      </c>
      <c r="N5146" t="str">
        <f t="shared" si="321"/>
        <v>Low</v>
      </c>
      <c r="O5146" t="str">
        <f t="shared" si="322"/>
        <v>High Balance</v>
      </c>
      <c r="P5146" t="str">
        <f t="shared" si="323"/>
        <v>New</v>
      </c>
    </row>
    <row r="5147" spans="1:16" x14ac:dyDescent="0.25">
      <c r="A5147">
        <v>2025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  <c r="M5147" t="str">
        <f t="shared" si="320"/>
        <v>30-45</v>
      </c>
      <c r="N5147" t="str">
        <f t="shared" si="321"/>
        <v>High</v>
      </c>
      <c r="O5147" t="str">
        <f t="shared" si="322"/>
        <v>High Balance</v>
      </c>
      <c r="P5147" t="str">
        <f t="shared" si="323"/>
        <v>New</v>
      </c>
    </row>
    <row r="5148" spans="1:16" x14ac:dyDescent="0.25">
      <c r="A5148">
        <v>2025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  <c r="M5148" t="str">
        <f t="shared" si="320"/>
        <v>30-45</v>
      </c>
      <c r="N5148" t="str">
        <f t="shared" si="321"/>
        <v>High</v>
      </c>
      <c r="O5148" t="str">
        <f t="shared" si="322"/>
        <v>High Balance</v>
      </c>
      <c r="P5148" t="str">
        <f t="shared" si="323"/>
        <v>New</v>
      </c>
    </row>
    <row r="5149" spans="1:16" x14ac:dyDescent="0.25">
      <c r="A5149">
        <v>2025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  <c r="M5149" t="str">
        <f t="shared" si="320"/>
        <v>30-45</v>
      </c>
      <c r="N5149" t="str">
        <f t="shared" si="321"/>
        <v>Medium</v>
      </c>
      <c r="O5149" t="str">
        <f t="shared" si="322"/>
        <v>High Balance</v>
      </c>
      <c r="P5149" t="str">
        <f t="shared" si="323"/>
        <v>Long-term</v>
      </c>
    </row>
    <row r="5150" spans="1:16" x14ac:dyDescent="0.25">
      <c r="A5150">
        <v>2025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  <c r="M5150" t="str">
        <f t="shared" si="320"/>
        <v>60+</v>
      </c>
      <c r="N5150" t="str">
        <f t="shared" si="321"/>
        <v>High</v>
      </c>
      <c r="O5150" t="str">
        <f t="shared" si="322"/>
        <v>Zero Balance</v>
      </c>
      <c r="P5150" t="str">
        <f t="shared" si="323"/>
        <v>New</v>
      </c>
    </row>
    <row r="5151" spans="1:16" x14ac:dyDescent="0.25">
      <c r="A5151">
        <v>2025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  <c r="M5151" t="str">
        <f t="shared" si="320"/>
        <v>46-60</v>
      </c>
      <c r="N5151" t="str">
        <f t="shared" si="321"/>
        <v>High</v>
      </c>
      <c r="O5151" t="str">
        <f t="shared" si="322"/>
        <v>High Balance</v>
      </c>
      <c r="P5151" t="str">
        <f t="shared" si="323"/>
        <v>New</v>
      </c>
    </row>
    <row r="5152" spans="1:16" x14ac:dyDescent="0.25">
      <c r="A5152">
        <v>2025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  <c r="M5152" t="str">
        <f t="shared" si="320"/>
        <v>30-45</v>
      </c>
      <c r="N5152" t="str">
        <f t="shared" si="321"/>
        <v>Medium</v>
      </c>
      <c r="O5152" t="str">
        <f t="shared" si="322"/>
        <v>High Balance</v>
      </c>
      <c r="P5152" t="str">
        <f t="shared" si="323"/>
        <v>New</v>
      </c>
    </row>
    <row r="5153" spans="1:16" x14ac:dyDescent="0.25">
      <c r="A5153">
        <v>2025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  <c r="M5153" t="str">
        <f t="shared" si="320"/>
        <v>30-45</v>
      </c>
      <c r="N5153" t="str">
        <f t="shared" si="321"/>
        <v>High</v>
      </c>
      <c r="O5153" t="str">
        <f t="shared" si="322"/>
        <v>High Balance</v>
      </c>
      <c r="P5153" t="str">
        <f t="shared" si="323"/>
        <v>New</v>
      </c>
    </row>
    <row r="5154" spans="1:16" x14ac:dyDescent="0.25">
      <c r="A5154">
        <v>2025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  <c r="M5154" t="str">
        <f t="shared" si="320"/>
        <v>30-45</v>
      </c>
      <c r="N5154" t="str">
        <f t="shared" si="321"/>
        <v>Medium</v>
      </c>
      <c r="O5154" t="str">
        <f t="shared" si="322"/>
        <v>Zero Balance</v>
      </c>
      <c r="P5154" t="str">
        <f t="shared" si="323"/>
        <v>Long-term</v>
      </c>
    </row>
    <row r="5155" spans="1:16" x14ac:dyDescent="0.25">
      <c r="A5155">
        <v>2025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  <c r="M5155" t="str">
        <f t="shared" si="320"/>
        <v>&lt;30</v>
      </c>
      <c r="N5155" t="str">
        <f t="shared" si="321"/>
        <v>Medium</v>
      </c>
      <c r="O5155" t="str">
        <f t="shared" si="322"/>
        <v>Zero Balance</v>
      </c>
      <c r="P5155" t="str">
        <f t="shared" si="323"/>
        <v>Long-term</v>
      </c>
    </row>
    <row r="5156" spans="1:16" x14ac:dyDescent="0.25">
      <c r="A5156">
        <v>2025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  <c r="M5156" t="str">
        <f t="shared" si="320"/>
        <v>30-45</v>
      </c>
      <c r="N5156" t="str">
        <f t="shared" si="321"/>
        <v>High</v>
      </c>
      <c r="O5156" t="str">
        <f t="shared" si="322"/>
        <v>Low Balance</v>
      </c>
      <c r="P5156" t="str">
        <f t="shared" si="323"/>
        <v>Mid-term</v>
      </c>
    </row>
    <row r="5157" spans="1:16" x14ac:dyDescent="0.25">
      <c r="A5157">
        <v>2025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  <c r="M5157" t="str">
        <f t="shared" si="320"/>
        <v>30-45</v>
      </c>
      <c r="N5157" t="str">
        <f t="shared" si="321"/>
        <v>High</v>
      </c>
      <c r="O5157" t="str">
        <f t="shared" si="322"/>
        <v>Zero Balance</v>
      </c>
      <c r="P5157" t="str">
        <f t="shared" si="323"/>
        <v>New</v>
      </c>
    </row>
    <row r="5158" spans="1:16" x14ac:dyDescent="0.25">
      <c r="A5158">
        <v>2025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  <c r="M5158" t="str">
        <f t="shared" si="320"/>
        <v>30-45</v>
      </c>
      <c r="N5158" t="str">
        <f t="shared" si="321"/>
        <v>Medium</v>
      </c>
      <c r="O5158" t="str">
        <f t="shared" si="322"/>
        <v>High Balance</v>
      </c>
      <c r="P5158" t="str">
        <f t="shared" si="323"/>
        <v>Mid-term</v>
      </c>
    </row>
    <row r="5159" spans="1:16" x14ac:dyDescent="0.25">
      <c r="A5159">
        <v>2025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  <c r="M5159" t="str">
        <f t="shared" si="320"/>
        <v>46-60</v>
      </c>
      <c r="N5159" t="str">
        <f t="shared" si="321"/>
        <v>Medium</v>
      </c>
      <c r="O5159" t="str">
        <f t="shared" si="322"/>
        <v>High Balance</v>
      </c>
      <c r="P5159" t="str">
        <f t="shared" si="323"/>
        <v>New</v>
      </c>
    </row>
    <row r="5160" spans="1:16" x14ac:dyDescent="0.25">
      <c r="A5160">
        <v>2025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  <c r="M5160" t="str">
        <f t="shared" si="320"/>
        <v>46-60</v>
      </c>
      <c r="N5160" t="str">
        <f t="shared" si="321"/>
        <v>Medium</v>
      </c>
      <c r="O5160" t="str">
        <f t="shared" si="322"/>
        <v>Zero Balance</v>
      </c>
      <c r="P5160" t="str">
        <f t="shared" si="323"/>
        <v>Long-term</v>
      </c>
    </row>
    <row r="5161" spans="1:16" x14ac:dyDescent="0.25">
      <c r="A5161">
        <v>2025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  <c r="M5161" t="str">
        <f t="shared" si="320"/>
        <v>60+</v>
      </c>
      <c r="N5161" t="str">
        <f t="shared" si="321"/>
        <v>High</v>
      </c>
      <c r="O5161" t="str">
        <f t="shared" si="322"/>
        <v>High Balance</v>
      </c>
      <c r="P5161" t="str">
        <f t="shared" si="323"/>
        <v>Long-term</v>
      </c>
    </row>
    <row r="5162" spans="1:16" x14ac:dyDescent="0.25">
      <c r="A5162">
        <v>2025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  <c r="M5162" t="str">
        <f t="shared" si="320"/>
        <v>30-45</v>
      </c>
      <c r="N5162" t="str">
        <f t="shared" si="321"/>
        <v>Medium</v>
      </c>
      <c r="O5162" t="str">
        <f t="shared" si="322"/>
        <v>Zero Balance</v>
      </c>
      <c r="P5162" t="str">
        <f t="shared" si="323"/>
        <v>Mid-term</v>
      </c>
    </row>
    <row r="5163" spans="1:16" x14ac:dyDescent="0.25">
      <c r="A5163">
        <v>2025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  <c r="M5163" t="str">
        <f t="shared" si="320"/>
        <v>46-60</v>
      </c>
      <c r="N5163" t="str">
        <f t="shared" si="321"/>
        <v>High</v>
      </c>
      <c r="O5163" t="str">
        <f t="shared" si="322"/>
        <v>Zero Balance</v>
      </c>
      <c r="P5163" t="str">
        <f t="shared" si="323"/>
        <v>Long-term</v>
      </c>
    </row>
    <row r="5164" spans="1:16" x14ac:dyDescent="0.25">
      <c r="A5164">
        <v>2025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  <c r="M5164" t="str">
        <f t="shared" si="320"/>
        <v>30-45</v>
      </c>
      <c r="N5164" t="str">
        <f t="shared" si="321"/>
        <v>Medium</v>
      </c>
      <c r="O5164" t="str">
        <f t="shared" si="322"/>
        <v>Low Balance</v>
      </c>
      <c r="P5164" t="str">
        <f t="shared" si="323"/>
        <v>Mid-term</v>
      </c>
    </row>
    <row r="5165" spans="1:16" x14ac:dyDescent="0.25">
      <c r="A5165">
        <v>2025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  <c r="M5165" t="str">
        <f t="shared" si="320"/>
        <v>30-45</v>
      </c>
      <c r="N5165" t="str">
        <f t="shared" si="321"/>
        <v>High</v>
      </c>
      <c r="O5165" t="str">
        <f t="shared" si="322"/>
        <v>Zero Balance</v>
      </c>
      <c r="P5165" t="str">
        <f t="shared" si="323"/>
        <v>Long-term</v>
      </c>
    </row>
    <row r="5166" spans="1:16" x14ac:dyDescent="0.25">
      <c r="A5166">
        <v>2025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  <c r="M5166" t="str">
        <f t="shared" si="320"/>
        <v>30-45</v>
      </c>
      <c r="N5166" t="str">
        <f t="shared" si="321"/>
        <v>Medium</v>
      </c>
      <c r="O5166" t="str">
        <f t="shared" si="322"/>
        <v>Zero Balance</v>
      </c>
      <c r="P5166" t="str">
        <f t="shared" si="323"/>
        <v>Mid-term</v>
      </c>
    </row>
    <row r="5167" spans="1:16" x14ac:dyDescent="0.25">
      <c r="A5167">
        <v>2025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  <c r="M5167" t="str">
        <f t="shared" si="320"/>
        <v>30-45</v>
      </c>
      <c r="N5167" t="str">
        <f t="shared" si="321"/>
        <v>High</v>
      </c>
      <c r="O5167" t="str">
        <f t="shared" si="322"/>
        <v>High Balance</v>
      </c>
      <c r="P5167" t="str">
        <f t="shared" si="323"/>
        <v>Mid-term</v>
      </c>
    </row>
    <row r="5168" spans="1:16" x14ac:dyDescent="0.25">
      <c r="A5168">
        <v>2025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  <c r="M5168" t="str">
        <f t="shared" si="320"/>
        <v>30-45</v>
      </c>
      <c r="N5168" t="str">
        <f t="shared" si="321"/>
        <v>Low</v>
      </c>
      <c r="O5168" t="str">
        <f t="shared" si="322"/>
        <v>Zero Balance</v>
      </c>
      <c r="P5168" t="str">
        <f t="shared" si="323"/>
        <v>Mid-term</v>
      </c>
    </row>
    <row r="5169" spans="1:16" x14ac:dyDescent="0.25">
      <c r="A5169">
        <v>2025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  <c r="M5169" t="str">
        <f t="shared" si="320"/>
        <v>&lt;30</v>
      </c>
      <c r="N5169" t="str">
        <f t="shared" si="321"/>
        <v>High</v>
      </c>
      <c r="O5169" t="str">
        <f t="shared" si="322"/>
        <v>Zero Balance</v>
      </c>
      <c r="P5169" t="str">
        <f t="shared" si="323"/>
        <v>Mid-term</v>
      </c>
    </row>
    <row r="5170" spans="1:16" x14ac:dyDescent="0.25">
      <c r="A5170">
        <v>2025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  <c r="M5170" t="str">
        <f t="shared" si="320"/>
        <v>30-45</v>
      </c>
      <c r="N5170" t="str">
        <f t="shared" si="321"/>
        <v>Medium</v>
      </c>
      <c r="O5170" t="str">
        <f t="shared" si="322"/>
        <v>High Balance</v>
      </c>
      <c r="P5170" t="str">
        <f t="shared" si="323"/>
        <v>Long-term</v>
      </c>
    </row>
    <row r="5171" spans="1:16" x14ac:dyDescent="0.25">
      <c r="A5171">
        <v>2025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  <c r="M5171" t="str">
        <f t="shared" si="320"/>
        <v>30-45</v>
      </c>
      <c r="N5171" t="str">
        <f t="shared" si="321"/>
        <v>Medium</v>
      </c>
      <c r="O5171" t="str">
        <f t="shared" si="322"/>
        <v>High Balance</v>
      </c>
      <c r="P5171" t="str">
        <f t="shared" si="323"/>
        <v>Mid-term</v>
      </c>
    </row>
    <row r="5172" spans="1:16" x14ac:dyDescent="0.25">
      <c r="A5172">
        <v>2025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  <c r="M5172" t="str">
        <f t="shared" si="320"/>
        <v>30-45</v>
      </c>
      <c r="N5172" t="str">
        <f t="shared" si="321"/>
        <v>High</v>
      </c>
      <c r="O5172" t="str">
        <f t="shared" si="322"/>
        <v>Zero Balance</v>
      </c>
      <c r="P5172" t="str">
        <f t="shared" si="323"/>
        <v>Mid-term</v>
      </c>
    </row>
    <row r="5173" spans="1:16" x14ac:dyDescent="0.25">
      <c r="A5173">
        <v>2025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  <c r="M5173" t="str">
        <f t="shared" si="320"/>
        <v>30-45</v>
      </c>
      <c r="N5173" t="str">
        <f t="shared" si="321"/>
        <v>Medium</v>
      </c>
      <c r="O5173" t="str">
        <f t="shared" si="322"/>
        <v>Zero Balance</v>
      </c>
      <c r="P5173" t="str">
        <f t="shared" si="323"/>
        <v>New</v>
      </c>
    </row>
    <row r="5174" spans="1:16" x14ac:dyDescent="0.25">
      <c r="A5174">
        <v>2025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  <c r="M5174" t="str">
        <f t="shared" si="320"/>
        <v>30-45</v>
      </c>
      <c r="N5174" t="str">
        <f t="shared" si="321"/>
        <v>Medium</v>
      </c>
      <c r="O5174" t="str">
        <f t="shared" si="322"/>
        <v>Zero Balance</v>
      </c>
      <c r="P5174" t="str">
        <f t="shared" si="323"/>
        <v>New</v>
      </c>
    </row>
    <row r="5175" spans="1:16" x14ac:dyDescent="0.25">
      <c r="A5175">
        <v>2025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  <c r="M5175" t="str">
        <f t="shared" si="320"/>
        <v>30-45</v>
      </c>
      <c r="N5175" t="str">
        <f t="shared" si="321"/>
        <v>High</v>
      </c>
      <c r="O5175" t="str">
        <f t="shared" si="322"/>
        <v>Zero Balance</v>
      </c>
      <c r="P5175" t="str">
        <f t="shared" si="323"/>
        <v>Long-term</v>
      </c>
    </row>
    <row r="5176" spans="1:16" x14ac:dyDescent="0.25">
      <c r="A5176">
        <v>2025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  <c r="M5176" t="str">
        <f t="shared" si="320"/>
        <v>30-45</v>
      </c>
      <c r="N5176" t="str">
        <f t="shared" si="321"/>
        <v>High</v>
      </c>
      <c r="O5176" t="str">
        <f t="shared" si="322"/>
        <v>Zero Balance</v>
      </c>
      <c r="P5176" t="str">
        <f t="shared" si="323"/>
        <v>Mid-term</v>
      </c>
    </row>
    <row r="5177" spans="1:16" x14ac:dyDescent="0.25">
      <c r="A5177">
        <v>2025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  <c r="M5177" t="str">
        <f t="shared" si="320"/>
        <v>&lt;30</v>
      </c>
      <c r="N5177" t="str">
        <f t="shared" si="321"/>
        <v>Medium</v>
      </c>
      <c r="O5177" t="str">
        <f t="shared" si="322"/>
        <v>High Balance</v>
      </c>
      <c r="P5177" t="str">
        <f t="shared" si="323"/>
        <v>Long-term</v>
      </c>
    </row>
    <row r="5178" spans="1:16" x14ac:dyDescent="0.25">
      <c r="A5178">
        <v>2025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  <c r="M5178" t="str">
        <f t="shared" si="320"/>
        <v>&lt;30</v>
      </c>
      <c r="N5178" t="str">
        <f t="shared" si="321"/>
        <v>High</v>
      </c>
      <c r="O5178" t="str">
        <f t="shared" si="322"/>
        <v>Zero Balance</v>
      </c>
      <c r="P5178" t="str">
        <f t="shared" si="323"/>
        <v>Mid-term</v>
      </c>
    </row>
    <row r="5179" spans="1:16" x14ac:dyDescent="0.25">
      <c r="A5179">
        <v>2025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  <c r="M5179" t="str">
        <f t="shared" si="320"/>
        <v>&lt;30</v>
      </c>
      <c r="N5179" t="str">
        <f t="shared" si="321"/>
        <v>Medium</v>
      </c>
      <c r="O5179" t="str">
        <f t="shared" si="322"/>
        <v>High Balance</v>
      </c>
      <c r="P5179" t="str">
        <f t="shared" si="323"/>
        <v>Mid-term</v>
      </c>
    </row>
    <row r="5180" spans="1:16" x14ac:dyDescent="0.25">
      <c r="A5180">
        <v>2025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  <c r="M5180" t="str">
        <f t="shared" si="320"/>
        <v>&lt;30</v>
      </c>
      <c r="N5180" t="str">
        <f t="shared" si="321"/>
        <v>High</v>
      </c>
      <c r="O5180" t="str">
        <f t="shared" si="322"/>
        <v>Low Balance</v>
      </c>
      <c r="P5180" t="str">
        <f t="shared" si="323"/>
        <v>Mid-term</v>
      </c>
    </row>
    <row r="5181" spans="1:16" x14ac:dyDescent="0.25">
      <c r="A5181">
        <v>2025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  <c r="M5181" t="str">
        <f t="shared" si="320"/>
        <v>30-45</v>
      </c>
      <c r="N5181" t="str">
        <f t="shared" si="321"/>
        <v>High</v>
      </c>
      <c r="O5181" t="str">
        <f t="shared" si="322"/>
        <v>High Balance</v>
      </c>
      <c r="P5181" t="str">
        <f t="shared" si="323"/>
        <v>Mid-term</v>
      </c>
    </row>
    <row r="5182" spans="1:16" x14ac:dyDescent="0.25">
      <c r="A5182">
        <v>2025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  <c r="M5182" t="str">
        <f t="shared" si="320"/>
        <v>30-45</v>
      </c>
      <c r="N5182" t="str">
        <f t="shared" si="321"/>
        <v>Medium</v>
      </c>
      <c r="O5182" t="str">
        <f t="shared" si="322"/>
        <v>High Balance</v>
      </c>
      <c r="P5182" t="str">
        <f t="shared" si="323"/>
        <v>Long-term</v>
      </c>
    </row>
    <row r="5183" spans="1:16" x14ac:dyDescent="0.25">
      <c r="A5183">
        <v>2025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  <c r="M5183" t="str">
        <f t="shared" si="320"/>
        <v>30-45</v>
      </c>
      <c r="N5183" t="str">
        <f t="shared" si="321"/>
        <v>Medium</v>
      </c>
      <c r="O5183" t="str">
        <f t="shared" si="322"/>
        <v>High Balance</v>
      </c>
      <c r="P5183" t="str">
        <f t="shared" si="323"/>
        <v>Mid-term</v>
      </c>
    </row>
    <row r="5184" spans="1:16" x14ac:dyDescent="0.25">
      <c r="A5184">
        <v>2025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  <c r="M5184" t="str">
        <f t="shared" si="320"/>
        <v>30-45</v>
      </c>
      <c r="N5184" t="str">
        <f t="shared" si="321"/>
        <v>Medium</v>
      </c>
      <c r="O5184" t="str">
        <f t="shared" si="322"/>
        <v>Low Balance</v>
      </c>
      <c r="P5184" t="str">
        <f t="shared" si="323"/>
        <v>New</v>
      </c>
    </row>
    <row r="5185" spans="1:16" x14ac:dyDescent="0.25">
      <c r="A5185">
        <v>2025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  <c r="M5185" t="str">
        <f t="shared" si="320"/>
        <v>30-45</v>
      </c>
      <c r="N5185" t="str">
        <f t="shared" si="321"/>
        <v>Medium</v>
      </c>
      <c r="O5185" t="str">
        <f t="shared" si="322"/>
        <v>Zero Balance</v>
      </c>
      <c r="P5185" t="str">
        <f t="shared" si="323"/>
        <v>New</v>
      </c>
    </row>
    <row r="5186" spans="1:16" x14ac:dyDescent="0.25">
      <c r="A5186">
        <v>2025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  <c r="M5186" t="str">
        <f t="shared" si="320"/>
        <v>&lt;30</v>
      </c>
      <c r="N5186" t="str">
        <f t="shared" si="321"/>
        <v>High</v>
      </c>
      <c r="O5186" t="str">
        <f t="shared" si="322"/>
        <v>High Balance</v>
      </c>
      <c r="P5186" t="str">
        <f t="shared" si="323"/>
        <v>Mid-term</v>
      </c>
    </row>
    <row r="5187" spans="1:16" x14ac:dyDescent="0.25">
      <c r="A5187">
        <v>2025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  <c r="M5187" t="str">
        <f t="shared" ref="M5187:M5250" si="324">IF(E5187&lt;30,"&lt;30",IF(E5187&lt;=45,"30-45",IF(E5187&lt;=60,"46-60","60+")))</f>
        <v>30-45</v>
      </c>
      <c r="N5187" t="str">
        <f t="shared" ref="N5187:N5250" si="325">IF(B5187&lt;500,"Low",IF(B5187&lt;700,"Medium","High"))</f>
        <v>High</v>
      </c>
      <c r="O5187" t="str">
        <f t="shared" ref="O5187:O5250" si="326">IF(G5187=0,"Zero Balance",IF(G5187&lt;100000,"Low Balance","High Balance"))</f>
        <v>High Balance</v>
      </c>
      <c r="P5187" t="str">
        <f t="shared" ref="P5187:P5250" si="327">IF(F5187&lt;=3,"New",IF(F5187&lt;=7,"Mid-term","Long-term"))</f>
        <v>Long-term</v>
      </c>
    </row>
    <row r="5188" spans="1:16" x14ac:dyDescent="0.25">
      <c r="A5188">
        <v>2025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  <c r="M5188" t="str">
        <f t="shared" si="324"/>
        <v>30-45</v>
      </c>
      <c r="N5188" t="str">
        <f t="shared" si="325"/>
        <v>Medium</v>
      </c>
      <c r="O5188" t="str">
        <f t="shared" si="326"/>
        <v>Zero Balance</v>
      </c>
      <c r="P5188" t="str">
        <f t="shared" si="327"/>
        <v>Long-term</v>
      </c>
    </row>
    <row r="5189" spans="1:16" x14ac:dyDescent="0.25">
      <c r="A5189">
        <v>2025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  <c r="M5189" t="str">
        <f t="shared" si="324"/>
        <v>30-45</v>
      </c>
      <c r="N5189" t="str">
        <f t="shared" si="325"/>
        <v>Medium</v>
      </c>
      <c r="O5189" t="str">
        <f t="shared" si="326"/>
        <v>Zero Balance</v>
      </c>
      <c r="P5189" t="str">
        <f t="shared" si="327"/>
        <v>New</v>
      </c>
    </row>
    <row r="5190" spans="1:16" x14ac:dyDescent="0.25">
      <c r="A5190">
        <v>2025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  <c r="M5190" t="str">
        <f t="shared" si="324"/>
        <v>30-45</v>
      </c>
      <c r="N5190" t="str">
        <f t="shared" si="325"/>
        <v>Medium</v>
      </c>
      <c r="O5190" t="str">
        <f t="shared" si="326"/>
        <v>Zero Balance</v>
      </c>
      <c r="P5190" t="str">
        <f t="shared" si="327"/>
        <v>Mid-term</v>
      </c>
    </row>
    <row r="5191" spans="1:16" x14ac:dyDescent="0.25">
      <c r="A5191">
        <v>2025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  <c r="M5191" t="str">
        <f t="shared" si="324"/>
        <v>30-45</v>
      </c>
      <c r="N5191" t="str">
        <f t="shared" si="325"/>
        <v>High</v>
      </c>
      <c r="O5191" t="str">
        <f t="shared" si="326"/>
        <v>High Balance</v>
      </c>
      <c r="P5191" t="str">
        <f t="shared" si="327"/>
        <v>Mid-term</v>
      </c>
    </row>
    <row r="5192" spans="1:16" x14ac:dyDescent="0.25">
      <c r="A5192">
        <v>2025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  <c r="M5192" t="str">
        <f t="shared" si="324"/>
        <v>30-45</v>
      </c>
      <c r="N5192" t="str">
        <f t="shared" si="325"/>
        <v>High</v>
      </c>
      <c r="O5192" t="str">
        <f t="shared" si="326"/>
        <v>Zero Balance</v>
      </c>
      <c r="P5192" t="str">
        <f t="shared" si="327"/>
        <v>Mid-term</v>
      </c>
    </row>
    <row r="5193" spans="1:16" x14ac:dyDescent="0.25">
      <c r="A5193">
        <v>2025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  <c r="M5193" t="str">
        <f t="shared" si="324"/>
        <v>46-60</v>
      </c>
      <c r="N5193" t="str">
        <f t="shared" si="325"/>
        <v>Medium</v>
      </c>
      <c r="O5193" t="str">
        <f t="shared" si="326"/>
        <v>Zero Balance</v>
      </c>
      <c r="P5193" t="str">
        <f t="shared" si="327"/>
        <v>New</v>
      </c>
    </row>
    <row r="5194" spans="1:16" x14ac:dyDescent="0.25">
      <c r="A5194">
        <v>2025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  <c r="M5194" t="str">
        <f t="shared" si="324"/>
        <v>30-45</v>
      </c>
      <c r="N5194" t="str">
        <f t="shared" si="325"/>
        <v>Medium</v>
      </c>
      <c r="O5194" t="str">
        <f t="shared" si="326"/>
        <v>Zero Balance</v>
      </c>
      <c r="P5194" t="str">
        <f t="shared" si="327"/>
        <v>Long-term</v>
      </c>
    </row>
    <row r="5195" spans="1:16" x14ac:dyDescent="0.25">
      <c r="A5195">
        <v>2025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  <c r="M5195" t="str">
        <f t="shared" si="324"/>
        <v>&lt;30</v>
      </c>
      <c r="N5195" t="str">
        <f t="shared" si="325"/>
        <v>Medium</v>
      </c>
      <c r="O5195" t="str">
        <f t="shared" si="326"/>
        <v>High Balance</v>
      </c>
      <c r="P5195" t="str">
        <f t="shared" si="327"/>
        <v>Long-term</v>
      </c>
    </row>
    <row r="5196" spans="1:16" x14ac:dyDescent="0.25">
      <c r="A5196">
        <v>2025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  <c r="M5196" t="str">
        <f t="shared" si="324"/>
        <v>&lt;30</v>
      </c>
      <c r="N5196" t="str">
        <f t="shared" si="325"/>
        <v>Medium</v>
      </c>
      <c r="O5196" t="str">
        <f t="shared" si="326"/>
        <v>Low Balance</v>
      </c>
      <c r="P5196" t="str">
        <f t="shared" si="327"/>
        <v>Mid-term</v>
      </c>
    </row>
    <row r="5197" spans="1:16" x14ac:dyDescent="0.25">
      <c r="A5197">
        <v>2025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  <c r="M5197" t="str">
        <f t="shared" si="324"/>
        <v>30-45</v>
      </c>
      <c r="N5197" t="str">
        <f t="shared" si="325"/>
        <v>High</v>
      </c>
      <c r="O5197" t="str">
        <f t="shared" si="326"/>
        <v>Low Balance</v>
      </c>
      <c r="P5197" t="str">
        <f t="shared" si="327"/>
        <v>New</v>
      </c>
    </row>
    <row r="5198" spans="1:16" x14ac:dyDescent="0.25">
      <c r="A5198">
        <v>2025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  <c r="M5198" t="str">
        <f t="shared" si="324"/>
        <v>&lt;30</v>
      </c>
      <c r="N5198" t="str">
        <f t="shared" si="325"/>
        <v>High</v>
      </c>
      <c r="O5198" t="str">
        <f t="shared" si="326"/>
        <v>High Balance</v>
      </c>
      <c r="P5198" t="str">
        <f t="shared" si="327"/>
        <v>Mid-term</v>
      </c>
    </row>
    <row r="5199" spans="1:16" x14ac:dyDescent="0.25">
      <c r="A5199">
        <v>2025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  <c r="M5199" t="str">
        <f t="shared" si="324"/>
        <v>60+</v>
      </c>
      <c r="N5199" t="str">
        <f t="shared" si="325"/>
        <v>High</v>
      </c>
      <c r="O5199" t="str">
        <f t="shared" si="326"/>
        <v>Zero Balance</v>
      </c>
      <c r="P5199" t="str">
        <f t="shared" si="327"/>
        <v>Long-term</v>
      </c>
    </row>
    <row r="5200" spans="1:16" x14ac:dyDescent="0.25">
      <c r="A5200">
        <v>2025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  <c r="M5200" t="str">
        <f t="shared" si="324"/>
        <v>30-45</v>
      </c>
      <c r="N5200" t="str">
        <f t="shared" si="325"/>
        <v>Medium</v>
      </c>
      <c r="O5200" t="str">
        <f t="shared" si="326"/>
        <v>Low Balance</v>
      </c>
      <c r="P5200" t="str">
        <f t="shared" si="327"/>
        <v>New</v>
      </c>
    </row>
    <row r="5201" spans="1:16" x14ac:dyDescent="0.25">
      <c r="A5201">
        <v>2025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  <c r="M5201" t="str">
        <f t="shared" si="324"/>
        <v>&lt;30</v>
      </c>
      <c r="N5201" t="str">
        <f t="shared" si="325"/>
        <v>High</v>
      </c>
      <c r="O5201" t="str">
        <f t="shared" si="326"/>
        <v>Zero Balance</v>
      </c>
      <c r="P5201" t="str">
        <f t="shared" si="327"/>
        <v>New</v>
      </c>
    </row>
    <row r="5202" spans="1:16" x14ac:dyDescent="0.25">
      <c r="A5202">
        <v>2025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  <c r="M5202" t="str">
        <f t="shared" si="324"/>
        <v>30-45</v>
      </c>
      <c r="N5202" t="str">
        <f t="shared" si="325"/>
        <v>Medium</v>
      </c>
      <c r="O5202" t="str">
        <f t="shared" si="326"/>
        <v>Low Balance</v>
      </c>
      <c r="P5202" t="str">
        <f t="shared" si="327"/>
        <v>Long-term</v>
      </c>
    </row>
    <row r="5203" spans="1:16" x14ac:dyDescent="0.25">
      <c r="A5203">
        <v>2025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  <c r="M5203" t="str">
        <f t="shared" si="324"/>
        <v>30-45</v>
      </c>
      <c r="N5203" t="str">
        <f t="shared" si="325"/>
        <v>Medium</v>
      </c>
      <c r="O5203" t="str">
        <f t="shared" si="326"/>
        <v>Low Balance</v>
      </c>
      <c r="P5203" t="str">
        <f t="shared" si="327"/>
        <v>New</v>
      </c>
    </row>
    <row r="5204" spans="1:16" x14ac:dyDescent="0.25">
      <c r="A5204">
        <v>2025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  <c r="M5204" t="str">
        <f t="shared" si="324"/>
        <v>&lt;30</v>
      </c>
      <c r="N5204" t="str">
        <f t="shared" si="325"/>
        <v>Medium</v>
      </c>
      <c r="O5204" t="str">
        <f t="shared" si="326"/>
        <v>High Balance</v>
      </c>
      <c r="P5204" t="str">
        <f t="shared" si="327"/>
        <v>Mid-term</v>
      </c>
    </row>
    <row r="5205" spans="1:16" x14ac:dyDescent="0.25">
      <c r="A5205">
        <v>2025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  <c r="M5205" t="str">
        <f t="shared" si="324"/>
        <v>30-45</v>
      </c>
      <c r="N5205" t="str">
        <f t="shared" si="325"/>
        <v>High</v>
      </c>
      <c r="O5205" t="str">
        <f t="shared" si="326"/>
        <v>High Balance</v>
      </c>
      <c r="P5205" t="str">
        <f t="shared" si="327"/>
        <v>New</v>
      </c>
    </row>
    <row r="5206" spans="1:16" x14ac:dyDescent="0.25">
      <c r="A5206">
        <v>2025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  <c r="M5206" t="str">
        <f t="shared" si="324"/>
        <v>30-45</v>
      </c>
      <c r="N5206" t="str">
        <f t="shared" si="325"/>
        <v>Low</v>
      </c>
      <c r="O5206" t="str">
        <f t="shared" si="326"/>
        <v>Zero Balance</v>
      </c>
      <c r="P5206" t="str">
        <f t="shared" si="327"/>
        <v>Long-term</v>
      </c>
    </row>
    <row r="5207" spans="1:16" x14ac:dyDescent="0.25">
      <c r="A5207">
        <v>2025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  <c r="M5207" t="str">
        <f t="shared" si="324"/>
        <v>&lt;30</v>
      </c>
      <c r="N5207" t="str">
        <f t="shared" si="325"/>
        <v>High</v>
      </c>
      <c r="O5207" t="str">
        <f t="shared" si="326"/>
        <v>High Balance</v>
      </c>
      <c r="P5207" t="str">
        <f t="shared" si="327"/>
        <v>Long-term</v>
      </c>
    </row>
    <row r="5208" spans="1:16" x14ac:dyDescent="0.25">
      <c r="A5208">
        <v>2025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  <c r="M5208" t="str">
        <f t="shared" si="324"/>
        <v>30-45</v>
      </c>
      <c r="N5208" t="str">
        <f t="shared" si="325"/>
        <v>Low</v>
      </c>
      <c r="O5208" t="str">
        <f t="shared" si="326"/>
        <v>High Balance</v>
      </c>
      <c r="P5208" t="str">
        <f t="shared" si="327"/>
        <v>New</v>
      </c>
    </row>
    <row r="5209" spans="1:16" x14ac:dyDescent="0.25">
      <c r="A5209">
        <v>2025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  <c r="M5209" t="str">
        <f t="shared" si="324"/>
        <v>30-45</v>
      </c>
      <c r="N5209" t="str">
        <f t="shared" si="325"/>
        <v>High</v>
      </c>
      <c r="O5209" t="str">
        <f t="shared" si="326"/>
        <v>High Balance</v>
      </c>
      <c r="P5209" t="str">
        <f t="shared" si="327"/>
        <v>Long-term</v>
      </c>
    </row>
    <row r="5210" spans="1:16" x14ac:dyDescent="0.25">
      <c r="A5210">
        <v>2025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  <c r="M5210" t="str">
        <f t="shared" si="324"/>
        <v>30-45</v>
      </c>
      <c r="N5210" t="str">
        <f t="shared" si="325"/>
        <v>High</v>
      </c>
      <c r="O5210" t="str">
        <f t="shared" si="326"/>
        <v>Zero Balance</v>
      </c>
      <c r="P5210" t="str">
        <f t="shared" si="327"/>
        <v>Mid-term</v>
      </c>
    </row>
    <row r="5211" spans="1:16" x14ac:dyDescent="0.25">
      <c r="A5211">
        <v>2025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  <c r="M5211" t="str">
        <f t="shared" si="324"/>
        <v>30-45</v>
      </c>
      <c r="N5211" t="str">
        <f t="shared" si="325"/>
        <v>High</v>
      </c>
      <c r="O5211" t="str">
        <f t="shared" si="326"/>
        <v>Zero Balance</v>
      </c>
      <c r="P5211" t="str">
        <f t="shared" si="327"/>
        <v>New</v>
      </c>
    </row>
    <row r="5212" spans="1:16" x14ac:dyDescent="0.25">
      <c r="A5212">
        <v>2025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  <c r="M5212" t="str">
        <f t="shared" si="324"/>
        <v>30-45</v>
      </c>
      <c r="N5212" t="str">
        <f t="shared" si="325"/>
        <v>Medium</v>
      </c>
      <c r="O5212" t="str">
        <f t="shared" si="326"/>
        <v>High Balance</v>
      </c>
      <c r="P5212" t="str">
        <f t="shared" si="327"/>
        <v>Mid-term</v>
      </c>
    </row>
    <row r="5213" spans="1:16" x14ac:dyDescent="0.25">
      <c r="A5213">
        <v>2025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  <c r="M5213" t="str">
        <f t="shared" si="324"/>
        <v>&lt;30</v>
      </c>
      <c r="N5213" t="str">
        <f t="shared" si="325"/>
        <v>High</v>
      </c>
      <c r="O5213" t="str">
        <f t="shared" si="326"/>
        <v>Low Balance</v>
      </c>
      <c r="P5213" t="str">
        <f t="shared" si="327"/>
        <v>Mid-term</v>
      </c>
    </row>
    <row r="5214" spans="1:16" x14ac:dyDescent="0.25">
      <c r="A5214">
        <v>2025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  <c r="M5214" t="str">
        <f t="shared" si="324"/>
        <v>46-60</v>
      </c>
      <c r="N5214" t="str">
        <f t="shared" si="325"/>
        <v>High</v>
      </c>
      <c r="O5214" t="str">
        <f t="shared" si="326"/>
        <v>High Balance</v>
      </c>
      <c r="P5214" t="str">
        <f t="shared" si="327"/>
        <v>Mid-term</v>
      </c>
    </row>
    <row r="5215" spans="1:16" x14ac:dyDescent="0.25">
      <c r="A5215">
        <v>2025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  <c r="M5215" t="str">
        <f t="shared" si="324"/>
        <v>&lt;30</v>
      </c>
      <c r="N5215" t="str">
        <f t="shared" si="325"/>
        <v>High</v>
      </c>
      <c r="O5215" t="str">
        <f t="shared" si="326"/>
        <v>High Balance</v>
      </c>
      <c r="P5215" t="str">
        <f t="shared" si="327"/>
        <v>Mid-term</v>
      </c>
    </row>
    <row r="5216" spans="1:16" x14ac:dyDescent="0.25">
      <c r="A5216">
        <v>2025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  <c r="M5216" t="str">
        <f t="shared" si="324"/>
        <v>46-60</v>
      </c>
      <c r="N5216" t="str">
        <f t="shared" si="325"/>
        <v>High</v>
      </c>
      <c r="O5216" t="str">
        <f t="shared" si="326"/>
        <v>High Balance</v>
      </c>
      <c r="P5216" t="str">
        <f t="shared" si="327"/>
        <v>New</v>
      </c>
    </row>
    <row r="5217" spans="1:16" x14ac:dyDescent="0.25">
      <c r="A5217">
        <v>2025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  <c r="M5217" t="str">
        <f t="shared" si="324"/>
        <v>&lt;30</v>
      </c>
      <c r="N5217" t="str">
        <f t="shared" si="325"/>
        <v>Medium</v>
      </c>
      <c r="O5217" t="str">
        <f t="shared" si="326"/>
        <v>Zero Balance</v>
      </c>
      <c r="P5217" t="str">
        <f t="shared" si="327"/>
        <v>New</v>
      </c>
    </row>
    <row r="5218" spans="1:16" x14ac:dyDescent="0.25">
      <c r="A5218">
        <v>2025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  <c r="M5218" t="str">
        <f t="shared" si="324"/>
        <v>30-45</v>
      </c>
      <c r="N5218" t="str">
        <f t="shared" si="325"/>
        <v>Medium</v>
      </c>
      <c r="O5218" t="str">
        <f t="shared" si="326"/>
        <v>High Balance</v>
      </c>
      <c r="P5218" t="str">
        <f t="shared" si="327"/>
        <v>New</v>
      </c>
    </row>
    <row r="5219" spans="1:16" x14ac:dyDescent="0.25">
      <c r="A5219">
        <v>2025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  <c r="M5219" t="str">
        <f t="shared" si="324"/>
        <v>&lt;30</v>
      </c>
      <c r="N5219" t="str">
        <f t="shared" si="325"/>
        <v>High</v>
      </c>
      <c r="O5219" t="str">
        <f t="shared" si="326"/>
        <v>Low Balance</v>
      </c>
      <c r="P5219" t="str">
        <f t="shared" si="327"/>
        <v>Mid-term</v>
      </c>
    </row>
    <row r="5220" spans="1:16" x14ac:dyDescent="0.25">
      <c r="A5220">
        <v>2025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  <c r="M5220" t="str">
        <f t="shared" si="324"/>
        <v>&lt;30</v>
      </c>
      <c r="N5220" t="str">
        <f t="shared" si="325"/>
        <v>Medium</v>
      </c>
      <c r="O5220" t="str">
        <f t="shared" si="326"/>
        <v>High Balance</v>
      </c>
      <c r="P5220" t="str">
        <f t="shared" si="327"/>
        <v>Mid-term</v>
      </c>
    </row>
    <row r="5221" spans="1:16" x14ac:dyDescent="0.25">
      <c r="A5221">
        <v>2025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  <c r="M5221" t="str">
        <f t="shared" si="324"/>
        <v>30-45</v>
      </c>
      <c r="N5221" t="str">
        <f t="shared" si="325"/>
        <v>Medium</v>
      </c>
      <c r="O5221" t="str">
        <f t="shared" si="326"/>
        <v>Zero Balance</v>
      </c>
      <c r="P5221" t="str">
        <f t="shared" si="327"/>
        <v>Mid-term</v>
      </c>
    </row>
    <row r="5222" spans="1:16" x14ac:dyDescent="0.25">
      <c r="A5222">
        <v>2025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  <c r="M5222" t="str">
        <f t="shared" si="324"/>
        <v>30-45</v>
      </c>
      <c r="N5222" t="str">
        <f t="shared" si="325"/>
        <v>Medium</v>
      </c>
      <c r="O5222" t="str">
        <f t="shared" si="326"/>
        <v>High Balance</v>
      </c>
      <c r="P5222" t="str">
        <f t="shared" si="327"/>
        <v>Long-term</v>
      </c>
    </row>
    <row r="5223" spans="1:16" x14ac:dyDescent="0.25">
      <c r="A5223">
        <v>2025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  <c r="M5223" t="str">
        <f t="shared" si="324"/>
        <v>&lt;30</v>
      </c>
      <c r="N5223" t="str">
        <f t="shared" si="325"/>
        <v>Medium</v>
      </c>
      <c r="O5223" t="str">
        <f t="shared" si="326"/>
        <v>Zero Balance</v>
      </c>
      <c r="P5223" t="str">
        <f t="shared" si="327"/>
        <v>Mid-term</v>
      </c>
    </row>
    <row r="5224" spans="1:16" x14ac:dyDescent="0.25">
      <c r="A5224">
        <v>2025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  <c r="M5224" t="str">
        <f t="shared" si="324"/>
        <v>&lt;30</v>
      </c>
      <c r="N5224" t="str">
        <f t="shared" si="325"/>
        <v>Medium</v>
      </c>
      <c r="O5224" t="str">
        <f t="shared" si="326"/>
        <v>High Balance</v>
      </c>
      <c r="P5224" t="str">
        <f t="shared" si="327"/>
        <v>Mid-term</v>
      </c>
    </row>
    <row r="5225" spans="1:16" x14ac:dyDescent="0.25">
      <c r="A5225">
        <v>2025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  <c r="M5225" t="str">
        <f t="shared" si="324"/>
        <v>60+</v>
      </c>
      <c r="N5225" t="str">
        <f t="shared" si="325"/>
        <v>Medium</v>
      </c>
      <c r="O5225" t="str">
        <f t="shared" si="326"/>
        <v>High Balance</v>
      </c>
      <c r="P5225" t="str">
        <f t="shared" si="327"/>
        <v>Mid-term</v>
      </c>
    </row>
    <row r="5226" spans="1:16" x14ac:dyDescent="0.25">
      <c r="A5226">
        <v>2025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  <c r="M5226" t="str">
        <f t="shared" si="324"/>
        <v>30-45</v>
      </c>
      <c r="N5226" t="str">
        <f t="shared" si="325"/>
        <v>High</v>
      </c>
      <c r="O5226" t="str">
        <f t="shared" si="326"/>
        <v>Zero Balance</v>
      </c>
      <c r="P5226" t="str">
        <f t="shared" si="327"/>
        <v>New</v>
      </c>
    </row>
    <row r="5227" spans="1:16" x14ac:dyDescent="0.25">
      <c r="A5227">
        <v>2025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  <c r="M5227" t="str">
        <f t="shared" si="324"/>
        <v>60+</v>
      </c>
      <c r="N5227" t="str">
        <f t="shared" si="325"/>
        <v>Medium</v>
      </c>
      <c r="O5227" t="str">
        <f t="shared" si="326"/>
        <v>Zero Balance</v>
      </c>
      <c r="P5227" t="str">
        <f t="shared" si="327"/>
        <v>Mid-term</v>
      </c>
    </row>
    <row r="5228" spans="1:16" x14ac:dyDescent="0.25">
      <c r="A5228">
        <v>2025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  <c r="M5228" t="str">
        <f t="shared" si="324"/>
        <v>30-45</v>
      </c>
      <c r="N5228" t="str">
        <f t="shared" si="325"/>
        <v>Low</v>
      </c>
      <c r="O5228" t="str">
        <f t="shared" si="326"/>
        <v>High Balance</v>
      </c>
      <c r="P5228" t="str">
        <f t="shared" si="327"/>
        <v>New</v>
      </c>
    </row>
    <row r="5229" spans="1:16" x14ac:dyDescent="0.25">
      <c r="A5229">
        <v>2025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  <c r="M5229" t="str">
        <f t="shared" si="324"/>
        <v>&lt;30</v>
      </c>
      <c r="N5229" t="str">
        <f t="shared" si="325"/>
        <v>High</v>
      </c>
      <c r="O5229" t="str">
        <f t="shared" si="326"/>
        <v>Zero Balance</v>
      </c>
      <c r="P5229" t="str">
        <f t="shared" si="327"/>
        <v>New</v>
      </c>
    </row>
    <row r="5230" spans="1:16" x14ac:dyDescent="0.25">
      <c r="A5230">
        <v>2025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  <c r="M5230" t="str">
        <f t="shared" si="324"/>
        <v>&lt;30</v>
      </c>
      <c r="N5230" t="str">
        <f t="shared" si="325"/>
        <v>High</v>
      </c>
      <c r="O5230" t="str">
        <f t="shared" si="326"/>
        <v>High Balance</v>
      </c>
      <c r="P5230" t="str">
        <f t="shared" si="327"/>
        <v>Long-term</v>
      </c>
    </row>
    <row r="5231" spans="1:16" x14ac:dyDescent="0.25">
      <c r="A5231">
        <v>2025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  <c r="M5231" t="str">
        <f t="shared" si="324"/>
        <v>30-45</v>
      </c>
      <c r="N5231" t="str">
        <f t="shared" si="325"/>
        <v>Medium</v>
      </c>
      <c r="O5231" t="str">
        <f t="shared" si="326"/>
        <v>Zero Balance</v>
      </c>
      <c r="P5231" t="str">
        <f t="shared" si="327"/>
        <v>Long-term</v>
      </c>
    </row>
    <row r="5232" spans="1:16" x14ac:dyDescent="0.25">
      <c r="A5232">
        <v>2025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  <c r="M5232" t="str">
        <f t="shared" si="324"/>
        <v>30-45</v>
      </c>
      <c r="N5232" t="str">
        <f t="shared" si="325"/>
        <v>High</v>
      </c>
      <c r="O5232" t="str">
        <f t="shared" si="326"/>
        <v>High Balance</v>
      </c>
      <c r="P5232" t="str">
        <f t="shared" si="327"/>
        <v>Mid-term</v>
      </c>
    </row>
    <row r="5233" spans="1:16" x14ac:dyDescent="0.25">
      <c r="A5233">
        <v>2025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  <c r="M5233" t="str">
        <f t="shared" si="324"/>
        <v>30-45</v>
      </c>
      <c r="N5233" t="str">
        <f t="shared" si="325"/>
        <v>High</v>
      </c>
      <c r="O5233" t="str">
        <f t="shared" si="326"/>
        <v>High Balance</v>
      </c>
      <c r="P5233" t="str">
        <f t="shared" si="327"/>
        <v>Mid-term</v>
      </c>
    </row>
    <row r="5234" spans="1:16" x14ac:dyDescent="0.25">
      <c r="A5234">
        <v>2025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  <c r="M5234" t="str">
        <f t="shared" si="324"/>
        <v>46-60</v>
      </c>
      <c r="N5234" t="str">
        <f t="shared" si="325"/>
        <v>Medium</v>
      </c>
      <c r="O5234" t="str">
        <f t="shared" si="326"/>
        <v>Zero Balance</v>
      </c>
      <c r="P5234" t="str">
        <f t="shared" si="327"/>
        <v>Mid-term</v>
      </c>
    </row>
    <row r="5235" spans="1:16" x14ac:dyDescent="0.25">
      <c r="A5235">
        <v>2025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  <c r="M5235" t="str">
        <f t="shared" si="324"/>
        <v>46-60</v>
      </c>
      <c r="N5235" t="str">
        <f t="shared" si="325"/>
        <v>High</v>
      </c>
      <c r="O5235" t="str">
        <f t="shared" si="326"/>
        <v>Low Balance</v>
      </c>
      <c r="P5235" t="str">
        <f t="shared" si="327"/>
        <v>Mid-term</v>
      </c>
    </row>
    <row r="5236" spans="1:16" x14ac:dyDescent="0.25">
      <c r="A5236">
        <v>2025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  <c r="M5236" t="str">
        <f t="shared" si="324"/>
        <v>30-45</v>
      </c>
      <c r="N5236" t="str">
        <f t="shared" si="325"/>
        <v>Medium</v>
      </c>
      <c r="O5236" t="str">
        <f t="shared" si="326"/>
        <v>High Balance</v>
      </c>
      <c r="P5236" t="str">
        <f t="shared" si="327"/>
        <v>New</v>
      </c>
    </row>
    <row r="5237" spans="1:16" x14ac:dyDescent="0.25">
      <c r="A5237">
        <v>2025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  <c r="M5237" t="str">
        <f t="shared" si="324"/>
        <v>60+</v>
      </c>
      <c r="N5237" t="str">
        <f t="shared" si="325"/>
        <v>Medium</v>
      </c>
      <c r="O5237" t="str">
        <f t="shared" si="326"/>
        <v>Zero Balance</v>
      </c>
      <c r="P5237" t="str">
        <f t="shared" si="327"/>
        <v>Long-term</v>
      </c>
    </row>
    <row r="5238" spans="1:16" x14ac:dyDescent="0.25">
      <c r="A5238">
        <v>2025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  <c r="M5238" t="str">
        <f t="shared" si="324"/>
        <v>&lt;30</v>
      </c>
      <c r="N5238" t="str">
        <f t="shared" si="325"/>
        <v>High</v>
      </c>
      <c r="O5238" t="str">
        <f t="shared" si="326"/>
        <v>Zero Balance</v>
      </c>
      <c r="P5238" t="str">
        <f t="shared" si="327"/>
        <v>New</v>
      </c>
    </row>
    <row r="5239" spans="1:16" x14ac:dyDescent="0.25">
      <c r="A5239">
        <v>2025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  <c r="M5239" t="str">
        <f t="shared" si="324"/>
        <v>&lt;30</v>
      </c>
      <c r="N5239" t="str">
        <f t="shared" si="325"/>
        <v>Medium</v>
      </c>
      <c r="O5239" t="str">
        <f t="shared" si="326"/>
        <v>High Balance</v>
      </c>
      <c r="P5239" t="str">
        <f t="shared" si="327"/>
        <v>Long-term</v>
      </c>
    </row>
    <row r="5240" spans="1:16" x14ac:dyDescent="0.25">
      <c r="A5240">
        <v>2025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  <c r="M5240" t="str">
        <f t="shared" si="324"/>
        <v>30-45</v>
      </c>
      <c r="N5240" t="str">
        <f t="shared" si="325"/>
        <v>High</v>
      </c>
      <c r="O5240" t="str">
        <f t="shared" si="326"/>
        <v>High Balance</v>
      </c>
      <c r="P5240" t="str">
        <f t="shared" si="327"/>
        <v>New</v>
      </c>
    </row>
    <row r="5241" spans="1:16" x14ac:dyDescent="0.25">
      <c r="A5241">
        <v>2025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  <c r="M5241" t="str">
        <f t="shared" si="324"/>
        <v>30-45</v>
      </c>
      <c r="N5241" t="str">
        <f t="shared" si="325"/>
        <v>High</v>
      </c>
      <c r="O5241" t="str">
        <f t="shared" si="326"/>
        <v>High Balance</v>
      </c>
      <c r="P5241" t="str">
        <f t="shared" si="327"/>
        <v>New</v>
      </c>
    </row>
    <row r="5242" spans="1:16" x14ac:dyDescent="0.25">
      <c r="A5242">
        <v>2025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  <c r="M5242" t="str">
        <f t="shared" si="324"/>
        <v>&lt;30</v>
      </c>
      <c r="N5242" t="str">
        <f t="shared" si="325"/>
        <v>Medium</v>
      </c>
      <c r="O5242" t="str">
        <f t="shared" si="326"/>
        <v>High Balance</v>
      </c>
      <c r="P5242" t="str">
        <f t="shared" si="327"/>
        <v>New</v>
      </c>
    </row>
    <row r="5243" spans="1:16" x14ac:dyDescent="0.25">
      <c r="A5243">
        <v>2025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  <c r="M5243" t="str">
        <f t="shared" si="324"/>
        <v>30-45</v>
      </c>
      <c r="N5243" t="str">
        <f t="shared" si="325"/>
        <v>Medium</v>
      </c>
      <c r="O5243" t="str">
        <f t="shared" si="326"/>
        <v>Zero Balance</v>
      </c>
      <c r="P5243" t="str">
        <f t="shared" si="327"/>
        <v>New</v>
      </c>
    </row>
    <row r="5244" spans="1:16" x14ac:dyDescent="0.25">
      <c r="A5244">
        <v>2025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  <c r="M5244" t="str">
        <f t="shared" si="324"/>
        <v>30-45</v>
      </c>
      <c r="N5244" t="str">
        <f t="shared" si="325"/>
        <v>Medium</v>
      </c>
      <c r="O5244" t="str">
        <f t="shared" si="326"/>
        <v>Low Balance</v>
      </c>
      <c r="P5244" t="str">
        <f t="shared" si="327"/>
        <v>New</v>
      </c>
    </row>
    <row r="5245" spans="1:16" x14ac:dyDescent="0.25">
      <c r="A5245">
        <v>2025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  <c r="M5245" t="str">
        <f t="shared" si="324"/>
        <v>30-45</v>
      </c>
      <c r="N5245" t="str">
        <f t="shared" si="325"/>
        <v>High</v>
      </c>
      <c r="O5245" t="str">
        <f t="shared" si="326"/>
        <v>Low Balance</v>
      </c>
      <c r="P5245" t="str">
        <f t="shared" si="327"/>
        <v>Long-term</v>
      </c>
    </row>
    <row r="5246" spans="1:16" x14ac:dyDescent="0.25">
      <c r="A5246">
        <v>2025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  <c r="M5246" t="str">
        <f t="shared" si="324"/>
        <v>30-45</v>
      </c>
      <c r="N5246" t="str">
        <f t="shared" si="325"/>
        <v>Medium</v>
      </c>
      <c r="O5246" t="str">
        <f t="shared" si="326"/>
        <v>Zero Balance</v>
      </c>
      <c r="P5246" t="str">
        <f t="shared" si="327"/>
        <v>Mid-term</v>
      </c>
    </row>
    <row r="5247" spans="1:16" x14ac:dyDescent="0.25">
      <c r="A5247">
        <v>2025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  <c r="M5247" t="str">
        <f t="shared" si="324"/>
        <v>30-45</v>
      </c>
      <c r="N5247" t="str">
        <f t="shared" si="325"/>
        <v>High</v>
      </c>
      <c r="O5247" t="str">
        <f t="shared" si="326"/>
        <v>Zero Balance</v>
      </c>
      <c r="P5247" t="str">
        <f t="shared" si="327"/>
        <v>Mid-term</v>
      </c>
    </row>
    <row r="5248" spans="1:16" x14ac:dyDescent="0.25">
      <c r="A5248">
        <v>2025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  <c r="M5248" t="str">
        <f t="shared" si="324"/>
        <v>30-45</v>
      </c>
      <c r="N5248" t="str">
        <f t="shared" si="325"/>
        <v>Medium</v>
      </c>
      <c r="O5248" t="str">
        <f t="shared" si="326"/>
        <v>High Balance</v>
      </c>
      <c r="P5248" t="str">
        <f t="shared" si="327"/>
        <v>New</v>
      </c>
    </row>
    <row r="5249" spans="1:16" x14ac:dyDescent="0.25">
      <c r="A5249">
        <v>2025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  <c r="M5249" t="str">
        <f t="shared" si="324"/>
        <v>46-60</v>
      </c>
      <c r="N5249" t="str">
        <f t="shared" si="325"/>
        <v>Medium</v>
      </c>
      <c r="O5249" t="str">
        <f t="shared" si="326"/>
        <v>Zero Balance</v>
      </c>
      <c r="P5249" t="str">
        <f t="shared" si="327"/>
        <v>Mid-term</v>
      </c>
    </row>
    <row r="5250" spans="1:16" x14ac:dyDescent="0.25">
      <c r="A5250">
        <v>2025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  <c r="M5250" t="str">
        <f t="shared" si="324"/>
        <v>30-45</v>
      </c>
      <c r="N5250" t="str">
        <f t="shared" si="325"/>
        <v>Medium</v>
      </c>
      <c r="O5250" t="str">
        <f t="shared" si="326"/>
        <v>High Balance</v>
      </c>
      <c r="P5250" t="str">
        <f t="shared" si="327"/>
        <v>New</v>
      </c>
    </row>
    <row r="5251" spans="1:16" x14ac:dyDescent="0.25">
      <c r="A5251">
        <v>2025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  <c r="M5251" t="str">
        <f t="shared" ref="M5251:M5314" si="328">IF(E5251&lt;30,"&lt;30",IF(E5251&lt;=45,"30-45",IF(E5251&lt;=60,"46-60","60+")))</f>
        <v>30-45</v>
      </c>
      <c r="N5251" t="str">
        <f t="shared" ref="N5251:N5314" si="329">IF(B5251&lt;500,"Low",IF(B5251&lt;700,"Medium","High"))</f>
        <v>High</v>
      </c>
      <c r="O5251" t="str">
        <f t="shared" ref="O5251:O5314" si="330">IF(G5251=0,"Zero Balance",IF(G5251&lt;100000,"Low Balance","High Balance"))</f>
        <v>Zero Balance</v>
      </c>
      <c r="P5251" t="str">
        <f t="shared" ref="P5251:P5314" si="331">IF(F5251&lt;=3,"New",IF(F5251&lt;=7,"Mid-term","Long-term"))</f>
        <v>Long-term</v>
      </c>
    </row>
    <row r="5252" spans="1:16" x14ac:dyDescent="0.25">
      <c r="A5252">
        <v>2025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  <c r="M5252" t="str">
        <f t="shared" si="328"/>
        <v>&lt;30</v>
      </c>
      <c r="N5252" t="str">
        <f t="shared" si="329"/>
        <v>Low</v>
      </c>
      <c r="O5252" t="str">
        <f t="shared" si="330"/>
        <v>Low Balance</v>
      </c>
      <c r="P5252" t="str">
        <f t="shared" si="331"/>
        <v>Long-term</v>
      </c>
    </row>
    <row r="5253" spans="1:16" x14ac:dyDescent="0.25">
      <c r="A5253">
        <v>2025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  <c r="M5253" t="str">
        <f t="shared" si="328"/>
        <v>30-45</v>
      </c>
      <c r="N5253" t="str">
        <f t="shared" si="329"/>
        <v>Medium</v>
      </c>
      <c r="O5253" t="str">
        <f t="shared" si="330"/>
        <v>Zero Balance</v>
      </c>
      <c r="P5253" t="str">
        <f t="shared" si="331"/>
        <v>Mid-term</v>
      </c>
    </row>
    <row r="5254" spans="1:16" x14ac:dyDescent="0.25">
      <c r="A5254">
        <v>2025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  <c r="M5254" t="str">
        <f t="shared" si="328"/>
        <v>30-45</v>
      </c>
      <c r="N5254" t="str">
        <f t="shared" si="329"/>
        <v>Medium</v>
      </c>
      <c r="O5254" t="str">
        <f t="shared" si="330"/>
        <v>Zero Balance</v>
      </c>
      <c r="P5254" t="str">
        <f t="shared" si="331"/>
        <v>Mid-term</v>
      </c>
    </row>
    <row r="5255" spans="1:16" x14ac:dyDescent="0.25">
      <c r="A5255">
        <v>2025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  <c r="M5255" t="str">
        <f t="shared" si="328"/>
        <v>&lt;30</v>
      </c>
      <c r="N5255" t="str">
        <f t="shared" si="329"/>
        <v>Medium</v>
      </c>
      <c r="O5255" t="str">
        <f t="shared" si="330"/>
        <v>Zero Balance</v>
      </c>
      <c r="P5255" t="str">
        <f t="shared" si="331"/>
        <v>Long-term</v>
      </c>
    </row>
    <row r="5256" spans="1:16" x14ac:dyDescent="0.25">
      <c r="A5256">
        <v>2025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  <c r="M5256" t="str">
        <f t="shared" si="328"/>
        <v>&lt;30</v>
      </c>
      <c r="N5256" t="str">
        <f t="shared" si="329"/>
        <v>Low</v>
      </c>
      <c r="O5256" t="str">
        <f t="shared" si="330"/>
        <v>High Balance</v>
      </c>
      <c r="P5256" t="str">
        <f t="shared" si="331"/>
        <v>Long-term</v>
      </c>
    </row>
    <row r="5257" spans="1:16" x14ac:dyDescent="0.25">
      <c r="A5257">
        <v>2025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  <c r="M5257" t="str">
        <f t="shared" si="328"/>
        <v>60+</v>
      </c>
      <c r="N5257" t="str">
        <f t="shared" si="329"/>
        <v>High</v>
      </c>
      <c r="O5257" t="str">
        <f t="shared" si="330"/>
        <v>High Balance</v>
      </c>
      <c r="P5257" t="str">
        <f t="shared" si="331"/>
        <v>New</v>
      </c>
    </row>
    <row r="5258" spans="1:16" x14ac:dyDescent="0.25">
      <c r="A5258">
        <v>2025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  <c r="M5258" t="str">
        <f t="shared" si="328"/>
        <v>46-60</v>
      </c>
      <c r="N5258" t="str">
        <f t="shared" si="329"/>
        <v>High</v>
      </c>
      <c r="O5258" t="str">
        <f t="shared" si="330"/>
        <v>High Balance</v>
      </c>
      <c r="P5258" t="str">
        <f t="shared" si="331"/>
        <v>New</v>
      </c>
    </row>
    <row r="5259" spans="1:16" x14ac:dyDescent="0.25">
      <c r="A5259">
        <v>2025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  <c r="M5259" t="str">
        <f t="shared" si="328"/>
        <v>30-45</v>
      </c>
      <c r="N5259" t="str">
        <f t="shared" si="329"/>
        <v>High</v>
      </c>
      <c r="O5259" t="str">
        <f t="shared" si="330"/>
        <v>High Balance</v>
      </c>
      <c r="P5259" t="str">
        <f t="shared" si="331"/>
        <v>New</v>
      </c>
    </row>
    <row r="5260" spans="1:16" x14ac:dyDescent="0.25">
      <c r="A5260">
        <v>2025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  <c r="M5260" t="str">
        <f t="shared" si="328"/>
        <v>30-45</v>
      </c>
      <c r="N5260" t="str">
        <f t="shared" si="329"/>
        <v>High</v>
      </c>
      <c r="O5260" t="str">
        <f t="shared" si="330"/>
        <v>High Balance</v>
      </c>
      <c r="P5260" t="str">
        <f t="shared" si="331"/>
        <v>New</v>
      </c>
    </row>
    <row r="5261" spans="1:16" x14ac:dyDescent="0.25">
      <c r="A5261">
        <v>2025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  <c r="M5261" t="str">
        <f t="shared" si="328"/>
        <v>46-60</v>
      </c>
      <c r="N5261" t="str">
        <f t="shared" si="329"/>
        <v>Medium</v>
      </c>
      <c r="O5261" t="str">
        <f t="shared" si="330"/>
        <v>High Balance</v>
      </c>
      <c r="P5261" t="str">
        <f t="shared" si="331"/>
        <v>New</v>
      </c>
    </row>
    <row r="5262" spans="1:16" x14ac:dyDescent="0.25">
      <c r="A5262">
        <v>2025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  <c r="M5262" t="str">
        <f t="shared" si="328"/>
        <v>30-45</v>
      </c>
      <c r="N5262" t="str">
        <f t="shared" si="329"/>
        <v>High</v>
      </c>
      <c r="O5262" t="str">
        <f t="shared" si="330"/>
        <v>High Balance</v>
      </c>
      <c r="P5262" t="str">
        <f t="shared" si="331"/>
        <v>New</v>
      </c>
    </row>
    <row r="5263" spans="1:16" x14ac:dyDescent="0.25">
      <c r="A5263">
        <v>2025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  <c r="M5263" t="str">
        <f t="shared" si="328"/>
        <v>&lt;30</v>
      </c>
      <c r="N5263" t="str">
        <f t="shared" si="329"/>
        <v>High</v>
      </c>
      <c r="O5263" t="str">
        <f t="shared" si="330"/>
        <v>Low Balance</v>
      </c>
      <c r="P5263" t="str">
        <f t="shared" si="331"/>
        <v>Long-term</v>
      </c>
    </row>
    <row r="5264" spans="1:16" x14ac:dyDescent="0.25">
      <c r="A5264">
        <v>2025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  <c r="M5264" t="str">
        <f t="shared" si="328"/>
        <v>30-45</v>
      </c>
      <c r="N5264" t="str">
        <f t="shared" si="329"/>
        <v>Medium</v>
      </c>
      <c r="O5264" t="str">
        <f t="shared" si="330"/>
        <v>Low Balance</v>
      </c>
      <c r="P5264" t="str">
        <f t="shared" si="331"/>
        <v>Long-term</v>
      </c>
    </row>
    <row r="5265" spans="1:16" x14ac:dyDescent="0.25">
      <c r="A5265">
        <v>2025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  <c r="M5265" t="str">
        <f t="shared" si="328"/>
        <v>30-45</v>
      </c>
      <c r="N5265" t="str">
        <f t="shared" si="329"/>
        <v>High</v>
      </c>
      <c r="O5265" t="str">
        <f t="shared" si="330"/>
        <v>Low Balance</v>
      </c>
      <c r="P5265" t="str">
        <f t="shared" si="331"/>
        <v>New</v>
      </c>
    </row>
    <row r="5266" spans="1:16" x14ac:dyDescent="0.25">
      <c r="A5266">
        <v>2025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  <c r="M5266" t="str">
        <f t="shared" si="328"/>
        <v>30-45</v>
      </c>
      <c r="N5266" t="str">
        <f t="shared" si="329"/>
        <v>Medium</v>
      </c>
      <c r="O5266" t="str">
        <f t="shared" si="330"/>
        <v>Zero Balance</v>
      </c>
      <c r="P5266" t="str">
        <f t="shared" si="331"/>
        <v>Mid-term</v>
      </c>
    </row>
    <row r="5267" spans="1:16" x14ac:dyDescent="0.25">
      <c r="A5267">
        <v>2025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  <c r="M5267" t="str">
        <f t="shared" si="328"/>
        <v>&lt;30</v>
      </c>
      <c r="N5267" t="str">
        <f t="shared" si="329"/>
        <v>Medium</v>
      </c>
      <c r="O5267" t="str">
        <f t="shared" si="330"/>
        <v>Zero Balance</v>
      </c>
      <c r="P5267" t="str">
        <f t="shared" si="331"/>
        <v>Mid-term</v>
      </c>
    </row>
    <row r="5268" spans="1:16" x14ac:dyDescent="0.25">
      <c r="A5268">
        <v>2025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  <c r="M5268" t="str">
        <f t="shared" si="328"/>
        <v>30-45</v>
      </c>
      <c r="N5268" t="str">
        <f t="shared" si="329"/>
        <v>High</v>
      </c>
      <c r="O5268" t="str">
        <f t="shared" si="330"/>
        <v>High Balance</v>
      </c>
      <c r="P5268" t="str">
        <f t="shared" si="331"/>
        <v>Mid-term</v>
      </c>
    </row>
    <row r="5269" spans="1:16" x14ac:dyDescent="0.25">
      <c r="A5269">
        <v>2025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  <c r="M5269" t="str">
        <f t="shared" si="328"/>
        <v>&lt;30</v>
      </c>
      <c r="N5269" t="str">
        <f t="shared" si="329"/>
        <v>Medium</v>
      </c>
      <c r="O5269" t="str">
        <f t="shared" si="330"/>
        <v>Zero Balance</v>
      </c>
      <c r="P5269" t="str">
        <f t="shared" si="331"/>
        <v>Mid-term</v>
      </c>
    </row>
    <row r="5270" spans="1:16" x14ac:dyDescent="0.25">
      <c r="A5270">
        <v>2025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  <c r="M5270" t="str">
        <f t="shared" si="328"/>
        <v>&lt;30</v>
      </c>
      <c r="N5270" t="str">
        <f t="shared" si="329"/>
        <v>Medium</v>
      </c>
      <c r="O5270" t="str">
        <f t="shared" si="330"/>
        <v>Zero Balance</v>
      </c>
      <c r="P5270" t="str">
        <f t="shared" si="331"/>
        <v>New</v>
      </c>
    </row>
    <row r="5271" spans="1:16" x14ac:dyDescent="0.25">
      <c r="A5271">
        <v>2025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  <c r="M5271" t="str">
        <f t="shared" si="328"/>
        <v>30-45</v>
      </c>
      <c r="N5271" t="str">
        <f t="shared" si="329"/>
        <v>Medium</v>
      </c>
      <c r="O5271" t="str">
        <f t="shared" si="330"/>
        <v>High Balance</v>
      </c>
      <c r="P5271" t="str">
        <f t="shared" si="331"/>
        <v>Mid-term</v>
      </c>
    </row>
    <row r="5272" spans="1:16" x14ac:dyDescent="0.25">
      <c r="A5272">
        <v>2025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  <c r="M5272" t="str">
        <f t="shared" si="328"/>
        <v>30-45</v>
      </c>
      <c r="N5272" t="str">
        <f t="shared" si="329"/>
        <v>Medium</v>
      </c>
      <c r="O5272" t="str">
        <f t="shared" si="330"/>
        <v>High Balance</v>
      </c>
      <c r="P5272" t="str">
        <f t="shared" si="331"/>
        <v>Long-term</v>
      </c>
    </row>
    <row r="5273" spans="1:16" x14ac:dyDescent="0.25">
      <c r="A5273">
        <v>2025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  <c r="M5273" t="str">
        <f t="shared" si="328"/>
        <v>30-45</v>
      </c>
      <c r="N5273" t="str">
        <f t="shared" si="329"/>
        <v>High</v>
      </c>
      <c r="O5273" t="str">
        <f t="shared" si="330"/>
        <v>High Balance</v>
      </c>
      <c r="P5273" t="str">
        <f t="shared" si="331"/>
        <v>Mid-term</v>
      </c>
    </row>
    <row r="5274" spans="1:16" x14ac:dyDescent="0.25">
      <c r="A5274">
        <v>2025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  <c r="M5274" t="str">
        <f t="shared" si="328"/>
        <v>46-60</v>
      </c>
      <c r="N5274" t="str">
        <f t="shared" si="329"/>
        <v>High</v>
      </c>
      <c r="O5274" t="str">
        <f t="shared" si="330"/>
        <v>Zero Balance</v>
      </c>
      <c r="P5274" t="str">
        <f t="shared" si="331"/>
        <v>Mid-term</v>
      </c>
    </row>
    <row r="5275" spans="1:16" x14ac:dyDescent="0.25">
      <c r="A5275">
        <v>2025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  <c r="M5275" t="str">
        <f t="shared" si="328"/>
        <v>30-45</v>
      </c>
      <c r="N5275" t="str">
        <f t="shared" si="329"/>
        <v>Medium</v>
      </c>
      <c r="O5275" t="str">
        <f t="shared" si="330"/>
        <v>High Balance</v>
      </c>
      <c r="P5275" t="str">
        <f t="shared" si="331"/>
        <v>Long-term</v>
      </c>
    </row>
    <row r="5276" spans="1:16" x14ac:dyDescent="0.25">
      <c r="A5276">
        <v>2025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  <c r="M5276" t="str">
        <f t="shared" si="328"/>
        <v>30-45</v>
      </c>
      <c r="N5276" t="str">
        <f t="shared" si="329"/>
        <v>Medium</v>
      </c>
      <c r="O5276" t="str">
        <f t="shared" si="330"/>
        <v>Zero Balance</v>
      </c>
      <c r="P5276" t="str">
        <f t="shared" si="331"/>
        <v>Long-term</v>
      </c>
    </row>
    <row r="5277" spans="1:16" x14ac:dyDescent="0.25">
      <c r="A5277">
        <v>2025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  <c r="M5277" t="str">
        <f t="shared" si="328"/>
        <v>30-45</v>
      </c>
      <c r="N5277" t="str">
        <f t="shared" si="329"/>
        <v>Medium</v>
      </c>
      <c r="O5277" t="str">
        <f t="shared" si="330"/>
        <v>Zero Balance</v>
      </c>
      <c r="P5277" t="str">
        <f t="shared" si="331"/>
        <v>Long-term</v>
      </c>
    </row>
    <row r="5278" spans="1:16" x14ac:dyDescent="0.25">
      <c r="A5278">
        <v>2025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  <c r="M5278" t="str">
        <f t="shared" si="328"/>
        <v>&lt;30</v>
      </c>
      <c r="N5278" t="str">
        <f t="shared" si="329"/>
        <v>Medium</v>
      </c>
      <c r="O5278" t="str">
        <f t="shared" si="330"/>
        <v>High Balance</v>
      </c>
      <c r="P5278" t="str">
        <f t="shared" si="331"/>
        <v>Mid-term</v>
      </c>
    </row>
    <row r="5279" spans="1:16" x14ac:dyDescent="0.25">
      <c r="A5279">
        <v>2025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  <c r="M5279" t="str">
        <f t="shared" si="328"/>
        <v>30-45</v>
      </c>
      <c r="N5279" t="str">
        <f t="shared" si="329"/>
        <v>Medium</v>
      </c>
      <c r="O5279" t="str">
        <f t="shared" si="330"/>
        <v>Zero Balance</v>
      </c>
      <c r="P5279" t="str">
        <f t="shared" si="331"/>
        <v>New</v>
      </c>
    </row>
    <row r="5280" spans="1:16" x14ac:dyDescent="0.25">
      <c r="A5280">
        <v>2025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  <c r="M5280" t="str">
        <f t="shared" si="328"/>
        <v>30-45</v>
      </c>
      <c r="N5280" t="str">
        <f t="shared" si="329"/>
        <v>Medium</v>
      </c>
      <c r="O5280" t="str">
        <f t="shared" si="330"/>
        <v>High Balance</v>
      </c>
      <c r="P5280" t="str">
        <f t="shared" si="331"/>
        <v>New</v>
      </c>
    </row>
    <row r="5281" spans="1:16" x14ac:dyDescent="0.25">
      <c r="A5281">
        <v>2025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  <c r="M5281" t="str">
        <f t="shared" si="328"/>
        <v>30-45</v>
      </c>
      <c r="N5281" t="str">
        <f t="shared" si="329"/>
        <v>Medium</v>
      </c>
      <c r="O5281" t="str">
        <f t="shared" si="330"/>
        <v>High Balance</v>
      </c>
      <c r="P5281" t="str">
        <f t="shared" si="331"/>
        <v>Mid-term</v>
      </c>
    </row>
    <row r="5282" spans="1:16" x14ac:dyDescent="0.25">
      <c r="A5282">
        <v>2025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  <c r="M5282" t="str">
        <f t="shared" si="328"/>
        <v>&lt;30</v>
      </c>
      <c r="N5282" t="str">
        <f t="shared" si="329"/>
        <v>Medium</v>
      </c>
      <c r="O5282" t="str">
        <f t="shared" si="330"/>
        <v>High Balance</v>
      </c>
      <c r="P5282" t="str">
        <f t="shared" si="331"/>
        <v>New</v>
      </c>
    </row>
    <row r="5283" spans="1:16" x14ac:dyDescent="0.25">
      <c r="A5283">
        <v>2025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  <c r="M5283" t="str">
        <f t="shared" si="328"/>
        <v>30-45</v>
      </c>
      <c r="N5283" t="str">
        <f t="shared" si="329"/>
        <v>Medium</v>
      </c>
      <c r="O5283" t="str">
        <f t="shared" si="330"/>
        <v>Zero Balance</v>
      </c>
      <c r="P5283" t="str">
        <f t="shared" si="331"/>
        <v>New</v>
      </c>
    </row>
    <row r="5284" spans="1:16" x14ac:dyDescent="0.25">
      <c r="A5284">
        <v>2025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  <c r="M5284" t="str">
        <f t="shared" si="328"/>
        <v>30-45</v>
      </c>
      <c r="N5284" t="str">
        <f t="shared" si="329"/>
        <v>High</v>
      </c>
      <c r="O5284" t="str">
        <f t="shared" si="330"/>
        <v>High Balance</v>
      </c>
      <c r="P5284" t="str">
        <f t="shared" si="331"/>
        <v>Long-term</v>
      </c>
    </row>
    <row r="5285" spans="1:16" x14ac:dyDescent="0.25">
      <c r="A5285">
        <v>2025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  <c r="M5285" t="str">
        <f t="shared" si="328"/>
        <v>&lt;30</v>
      </c>
      <c r="N5285" t="str">
        <f t="shared" si="329"/>
        <v>Medium</v>
      </c>
      <c r="O5285" t="str">
        <f t="shared" si="330"/>
        <v>High Balance</v>
      </c>
      <c r="P5285" t="str">
        <f t="shared" si="331"/>
        <v>Mid-term</v>
      </c>
    </row>
    <row r="5286" spans="1:16" x14ac:dyDescent="0.25">
      <c r="A5286">
        <v>2025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  <c r="M5286" t="str">
        <f t="shared" si="328"/>
        <v>46-60</v>
      </c>
      <c r="N5286" t="str">
        <f t="shared" si="329"/>
        <v>High</v>
      </c>
      <c r="O5286" t="str">
        <f t="shared" si="330"/>
        <v>Low Balance</v>
      </c>
      <c r="P5286" t="str">
        <f t="shared" si="331"/>
        <v>New</v>
      </c>
    </row>
    <row r="5287" spans="1:16" x14ac:dyDescent="0.25">
      <c r="A5287">
        <v>2025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  <c r="M5287" t="str">
        <f t="shared" si="328"/>
        <v>46-60</v>
      </c>
      <c r="N5287" t="str">
        <f t="shared" si="329"/>
        <v>Low</v>
      </c>
      <c r="O5287" t="str">
        <f t="shared" si="330"/>
        <v>High Balance</v>
      </c>
      <c r="P5287" t="str">
        <f t="shared" si="331"/>
        <v>New</v>
      </c>
    </row>
    <row r="5288" spans="1:16" x14ac:dyDescent="0.25">
      <c r="A5288">
        <v>2025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  <c r="M5288" t="str">
        <f t="shared" si="328"/>
        <v>30-45</v>
      </c>
      <c r="N5288" t="str">
        <f t="shared" si="329"/>
        <v>Medium</v>
      </c>
      <c r="O5288" t="str">
        <f t="shared" si="330"/>
        <v>High Balance</v>
      </c>
      <c r="P5288" t="str">
        <f t="shared" si="331"/>
        <v>New</v>
      </c>
    </row>
    <row r="5289" spans="1:16" x14ac:dyDescent="0.25">
      <c r="A5289">
        <v>2025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  <c r="M5289" t="str">
        <f t="shared" si="328"/>
        <v>30-45</v>
      </c>
      <c r="N5289" t="str">
        <f t="shared" si="329"/>
        <v>Medium</v>
      </c>
      <c r="O5289" t="str">
        <f t="shared" si="330"/>
        <v>Zero Balance</v>
      </c>
      <c r="P5289" t="str">
        <f t="shared" si="331"/>
        <v>New</v>
      </c>
    </row>
    <row r="5290" spans="1:16" x14ac:dyDescent="0.25">
      <c r="A5290">
        <v>2025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  <c r="M5290" t="str">
        <f t="shared" si="328"/>
        <v>30-45</v>
      </c>
      <c r="N5290" t="str">
        <f t="shared" si="329"/>
        <v>Medium</v>
      </c>
      <c r="O5290" t="str">
        <f t="shared" si="330"/>
        <v>Zero Balance</v>
      </c>
      <c r="P5290" t="str">
        <f t="shared" si="331"/>
        <v>New</v>
      </c>
    </row>
    <row r="5291" spans="1:16" x14ac:dyDescent="0.25">
      <c r="A5291">
        <v>2025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  <c r="M5291" t="str">
        <f t="shared" si="328"/>
        <v>&lt;30</v>
      </c>
      <c r="N5291" t="str">
        <f t="shared" si="329"/>
        <v>Medium</v>
      </c>
      <c r="O5291" t="str">
        <f t="shared" si="330"/>
        <v>Zero Balance</v>
      </c>
      <c r="P5291" t="str">
        <f t="shared" si="331"/>
        <v>Mid-term</v>
      </c>
    </row>
    <row r="5292" spans="1:16" x14ac:dyDescent="0.25">
      <c r="A5292">
        <v>2025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  <c r="M5292" t="str">
        <f t="shared" si="328"/>
        <v>46-60</v>
      </c>
      <c r="N5292" t="str">
        <f t="shared" si="329"/>
        <v>High</v>
      </c>
      <c r="O5292" t="str">
        <f t="shared" si="330"/>
        <v>Low Balance</v>
      </c>
      <c r="P5292" t="str">
        <f t="shared" si="331"/>
        <v>Long-term</v>
      </c>
    </row>
    <row r="5293" spans="1:16" x14ac:dyDescent="0.25">
      <c r="A5293">
        <v>2025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  <c r="M5293" t="str">
        <f t="shared" si="328"/>
        <v>30-45</v>
      </c>
      <c r="N5293" t="str">
        <f t="shared" si="329"/>
        <v>Medium</v>
      </c>
      <c r="O5293" t="str">
        <f t="shared" si="330"/>
        <v>High Balance</v>
      </c>
      <c r="P5293" t="str">
        <f t="shared" si="331"/>
        <v>New</v>
      </c>
    </row>
    <row r="5294" spans="1:16" x14ac:dyDescent="0.25">
      <c r="A5294">
        <v>2025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  <c r="M5294" t="str">
        <f t="shared" si="328"/>
        <v>&lt;30</v>
      </c>
      <c r="N5294" t="str">
        <f t="shared" si="329"/>
        <v>High</v>
      </c>
      <c r="O5294" t="str">
        <f t="shared" si="330"/>
        <v>Zero Balance</v>
      </c>
      <c r="P5294" t="str">
        <f t="shared" si="331"/>
        <v>Mid-term</v>
      </c>
    </row>
    <row r="5295" spans="1:16" x14ac:dyDescent="0.25">
      <c r="A5295">
        <v>2025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  <c r="M5295" t="str">
        <f t="shared" si="328"/>
        <v>30-45</v>
      </c>
      <c r="N5295" t="str">
        <f t="shared" si="329"/>
        <v>Medium</v>
      </c>
      <c r="O5295" t="str">
        <f t="shared" si="330"/>
        <v>Zero Balance</v>
      </c>
      <c r="P5295" t="str">
        <f t="shared" si="331"/>
        <v>Long-term</v>
      </c>
    </row>
    <row r="5296" spans="1:16" x14ac:dyDescent="0.25">
      <c r="A5296">
        <v>2025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  <c r="M5296" t="str">
        <f t="shared" si="328"/>
        <v>30-45</v>
      </c>
      <c r="N5296" t="str">
        <f t="shared" si="329"/>
        <v>Medium</v>
      </c>
      <c r="O5296" t="str">
        <f t="shared" si="330"/>
        <v>High Balance</v>
      </c>
      <c r="P5296" t="str">
        <f t="shared" si="331"/>
        <v>Long-term</v>
      </c>
    </row>
    <row r="5297" spans="1:16" x14ac:dyDescent="0.25">
      <c r="A5297">
        <v>2025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  <c r="M5297" t="str">
        <f t="shared" si="328"/>
        <v>&lt;30</v>
      </c>
      <c r="N5297" t="str">
        <f t="shared" si="329"/>
        <v>High</v>
      </c>
      <c r="O5297" t="str">
        <f t="shared" si="330"/>
        <v>High Balance</v>
      </c>
      <c r="P5297" t="str">
        <f t="shared" si="331"/>
        <v>Mid-term</v>
      </c>
    </row>
    <row r="5298" spans="1:16" x14ac:dyDescent="0.25">
      <c r="A5298">
        <v>2025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  <c r="M5298" t="str">
        <f t="shared" si="328"/>
        <v>30-45</v>
      </c>
      <c r="N5298" t="str">
        <f t="shared" si="329"/>
        <v>Medium</v>
      </c>
      <c r="O5298" t="str">
        <f t="shared" si="330"/>
        <v>Low Balance</v>
      </c>
      <c r="P5298" t="str">
        <f t="shared" si="331"/>
        <v>Mid-term</v>
      </c>
    </row>
    <row r="5299" spans="1:16" x14ac:dyDescent="0.25">
      <c r="A5299">
        <v>2025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  <c r="M5299" t="str">
        <f t="shared" si="328"/>
        <v>46-60</v>
      </c>
      <c r="N5299" t="str">
        <f t="shared" si="329"/>
        <v>Medium</v>
      </c>
      <c r="O5299" t="str">
        <f t="shared" si="330"/>
        <v>Low Balance</v>
      </c>
      <c r="P5299" t="str">
        <f t="shared" si="331"/>
        <v>Long-term</v>
      </c>
    </row>
    <row r="5300" spans="1:16" x14ac:dyDescent="0.25">
      <c r="A5300">
        <v>2025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  <c r="M5300" t="str">
        <f t="shared" si="328"/>
        <v>30-45</v>
      </c>
      <c r="N5300" t="str">
        <f t="shared" si="329"/>
        <v>Medium</v>
      </c>
      <c r="O5300" t="str">
        <f t="shared" si="330"/>
        <v>High Balance</v>
      </c>
      <c r="P5300" t="str">
        <f t="shared" si="331"/>
        <v>Mid-term</v>
      </c>
    </row>
    <row r="5301" spans="1:16" x14ac:dyDescent="0.25">
      <c r="A5301">
        <v>2025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  <c r="M5301" t="str">
        <f t="shared" si="328"/>
        <v>60+</v>
      </c>
      <c r="N5301" t="str">
        <f t="shared" si="329"/>
        <v>Medium</v>
      </c>
      <c r="O5301" t="str">
        <f t="shared" si="330"/>
        <v>High Balance</v>
      </c>
      <c r="P5301" t="str">
        <f t="shared" si="331"/>
        <v>New</v>
      </c>
    </row>
    <row r="5302" spans="1:16" x14ac:dyDescent="0.25">
      <c r="A5302">
        <v>2025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  <c r="M5302" t="str">
        <f t="shared" si="328"/>
        <v>30-45</v>
      </c>
      <c r="N5302" t="str">
        <f t="shared" si="329"/>
        <v>Medium</v>
      </c>
      <c r="O5302" t="str">
        <f t="shared" si="330"/>
        <v>Low Balance</v>
      </c>
      <c r="P5302" t="str">
        <f t="shared" si="331"/>
        <v>Mid-term</v>
      </c>
    </row>
    <row r="5303" spans="1:16" x14ac:dyDescent="0.25">
      <c r="A5303">
        <v>2025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  <c r="M5303" t="str">
        <f t="shared" si="328"/>
        <v>30-45</v>
      </c>
      <c r="N5303" t="str">
        <f t="shared" si="329"/>
        <v>Medium</v>
      </c>
      <c r="O5303" t="str">
        <f t="shared" si="330"/>
        <v>Zero Balance</v>
      </c>
      <c r="P5303" t="str">
        <f t="shared" si="331"/>
        <v>New</v>
      </c>
    </row>
    <row r="5304" spans="1:16" x14ac:dyDescent="0.25">
      <c r="A5304">
        <v>2025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  <c r="M5304" t="str">
        <f t="shared" si="328"/>
        <v>30-45</v>
      </c>
      <c r="N5304" t="str">
        <f t="shared" si="329"/>
        <v>High</v>
      </c>
      <c r="O5304" t="str">
        <f t="shared" si="330"/>
        <v>High Balance</v>
      </c>
      <c r="P5304" t="str">
        <f t="shared" si="331"/>
        <v>Long-term</v>
      </c>
    </row>
    <row r="5305" spans="1:16" x14ac:dyDescent="0.25">
      <c r="A5305">
        <v>2025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  <c r="M5305" t="str">
        <f t="shared" si="328"/>
        <v>&lt;30</v>
      </c>
      <c r="N5305" t="str">
        <f t="shared" si="329"/>
        <v>Medium</v>
      </c>
      <c r="O5305" t="str">
        <f t="shared" si="330"/>
        <v>Zero Balance</v>
      </c>
      <c r="P5305" t="str">
        <f t="shared" si="331"/>
        <v>Long-term</v>
      </c>
    </row>
    <row r="5306" spans="1:16" x14ac:dyDescent="0.25">
      <c r="A5306">
        <v>2025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  <c r="M5306" t="str">
        <f t="shared" si="328"/>
        <v>30-45</v>
      </c>
      <c r="N5306" t="str">
        <f t="shared" si="329"/>
        <v>Medium</v>
      </c>
      <c r="O5306" t="str">
        <f t="shared" si="330"/>
        <v>Low Balance</v>
      </c>
      <c r="P5306" t="str">
        <f t="shared" si="331"/>
        <v>Mid-term</v>
      </c>
    </row>
    <row r="5307" spans="1:16" x14ac:dyDescent="0.25">
      <c r="A5307">
        <v>2025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  <c r="M5307" t="str">
        <f t="shared" si="328"/>
        <v>&lt;30</v>
      </c>
      <c r="N5307" t="str">
        <f t="shared" si="329"/>
        <v>Medium</v>
      </c>
      <c r="O5307" t="str">
        <f t="shared" si="330"/>
        <v>Zero Balance</v>
      </c>
      <c r="P5307" t="str">
        <f t="shared" si="331"/>
        <v>New</v>
      </c>
    </row>
    <row r="5308" spans="1:16" x14ac:dyDescent="0.25">
      <c r="A5308">
        <v>2025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  <c r="M5308" t="str">
        <f t="shared" si="328"/>
        <v>46-60</v>
      </c>
      <c r="N5308" t="str">
        <f t="shared" si="329"/>
        <v>Medium</v>
      </c>
      <c r="O5308" t="str">
        <f t="shared" si="330"/>
        <v>High Balance</v>
      </c>
      <c r="P5308" t="str">
        <f t="shared" si="331"/>
        <v>Long-term</v>
      </c>
    </row>
    <row r="5309" spans="1:16" x14ac:dyDescent="0.25">
      <c r="A5309">
        <v>2025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  <c r="M5309" t="str">
        <f t="shared" si="328"/>
        <v>46-60</v>
      </c>
      <c r="N5309" t="str">
        <f t="shared" si="329"/>
        <v>Medium</v>
      </c>
      <c r="O5309" t="str">
        <f t="shared" si="330"/>
        <v>Zero Balance</v>
      </c>
      <c r="P5309" t="str">
        <f t="shared" si="331"/>
        <v>Mid-term</v>
      </c>
    </row>
    <row r="5310" spans="1:16" x14ac:dyDescent="0.25">
      <c r="A5310">
        <v>2025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  <c r="M5310" t="str">
        <f t="shared" si="328"/>
        <v>30-45</v>
      </c>
      <c r="N5310" t="str">
        <f t="shared" si="329"/>
        <v>Low</v>
      </c>
      <c r="O5310" t="str">
        <f t="shared" si="330"/>
        <v>High Balance</v>
      </c>
      <c r="P5310" t="str">
        <f t="shared" si="331"/>
        <v>New</v>
      </c>
    </row>
    <row r="5311" spans="1:16" x14ac:dyDescent="0.25">
      <c r="A5311">
        <v>2025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  <c r="M5311" t="str">
        <f t="shared" si="328"/>
        <v>30-45</v>
      </c>
      <c r="N5311" t="str">
        <f t="shared" si="329"/>
        <v>Medium</v>
      </c>
      <c r="O5311" t="str">
        <f t="shared" si="330"/>
        <v>High Balance</v>
      </c>
      <c r="P5311" t="str">
        <f t="shared" si="331"/>
        <v>Mid-term</v>
      </c>
    </row>
    <row r="5312" spans="1:16" x14ac:dyDescent="0.25">
      <c r="A5312">
        <v>2025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  <c r="M5312" t="str">
        <f t="shared" si="328"/>
        <v>30-45</v>
      </c>
      <c r="N5312" t="str">
        <f t="shared" si="329"/>
        <v>Medium</v>
      </c>
      <c r="O5312" t="str">
        <f t="shared" si="330"/>
        <v>High Balance</v>
      </c>
      <c r="P5312" t="str">
        <f t="shared" si="331"/>
        <v>Long-term</v>
      </c>
    </row>
    <row r="5313" spans="1:16" x14ac:dyDescent="0.25">
      <c r="A5313">
        <v>2025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  <c r="M5313" t="str">
        <f t="shared" si="328"/>
        <v>30-45</v>
      </c>
      <c r="N5313" t="str">
        <f t="shared" si="329"/>
        <v>High</v>
      </c>
      <c r="O5313" t="str">
        <f t="shared" si="330"/>
        <v>Zero Balance</v>
      </c>
      <c r="P5313" t="str">
        <f t="shared" si="331"/>
        <v>New</v>
      </c>
    </row>
    <row r="5314" spans="1:16" x14ac:dyDescent="0.25">
      <c r="A5314">
        <v>2025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  <c r="M5314" t="str">
        <f t="shared" si="328"/>
        <v>46-60</v>
      </c>
      <c r="N5314" t="str">
        <f t="shared" si="329"/>
        <v>High</v>
      </c>
      <c r="O5314" t="str">
        <f t="shared" si="330"/>
        <v>Zero Balance</v>
      </c>
      <c r="P5314" t="str">
        <f t="shared" si="331"/>
        <v>Long-term</v>
      </c>
    </row>
    <row r="5315" spans="1:16" x14ac:dyDescent="0.25">
      <c r="A5315">
        <v>2025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  <c r="M5315" t="str">
        <f t="shared" ref="M5315:M5378" si="332">IF(E5315&lt;30,"&lt;30",IF(E5315&lt;=45,"30-45",IF(E5315&lt;=60,"46-60","60+")))</f>
        <v>60+</v>
      </c>
      <c r="N5315" t="str">
        <f t="shared" ref="N5315:N5378" si="333">IF(B5315&lt;500,"Low",IF(B5315&lt;700,"Medium","High"))</f>
        <v>High</v>
      </c>
      <c r="O5315" t="str">
        <f t="shared" ref="O5315:O5378" si="334">IF(G5315=0,"Zero Balance",IF(G5315&lt;100000,"Low Balance","High Balance"))</f>
        <v>High Balance</v>
      </c>
      <c r="P5315" t="str">
        <f t="shared" ref="P5315:P5378" si="335">IF(F5315&lt;=3,"New",IF(F5315&lt;=7,"Mid-term","Long-term"))</f>
        <v>Mid-term</v>
      </c>
    </row>
    <row r="5316" spans="1:16" x14ac:dyDescent="0.25">
      <c r="A5316">
        <v>2025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  <c r="M5316" t="str">
        <f t="shared" si="332"/>
        <v>30-45</v>
      </c>
      <c r="N5316" t="str">
        <f t="shared" si="333"/>
        <v>High</v>
      </c>
      <c r="O5316" t="str">
        <f t="shared" si="334"/>
        <v>High Balance</v>
      </c>
      <c r="P5316" t="str">
        <f t="shared" si="335"/>
        <v>Long-term</v>
      </c>
    </row>
    <row r="5317" spans="1:16" x14ac:dyDescent="0.25">
      <c r="A5317">
        <v>2025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  <c r="M5317" t="str">
        <f t="shared" si="332"/>
        <v>30-45</v>
      </c>
      <c r="N5317" t="str">
        <f t="shared" si="333"/>
        <v>Medium</v>
      </c>
      <c r="O5317" t="str">
        <f t="shared" si="334"/>
        <v>High Balance</v>
      </c>
      <c r="P5317" t="str">
        <f t="shared" si="335"/>
        <v>Mid-term</v>
      </c>
    </row>
    <row r="5318" spans="1:16" x14ac:dyDescent="0.25">
      <c r="A5318">
        <v>2025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  <c r="M5318" t="str">
        <f t="shared" si="332"/>
        <v>30-45</v>
      </c>
      <c r="N5318" t="str">
        <f t="shared" si="333"/>
        <v>Medium</v>
      </c>
      <c r="O5318" t="str">
        <f t="shared" si="334"/>
        <v>High Balance</v>
      </c>
      <c r="P5318" t="str">
        <f t="shared" si="335"/>
        <v>Mid-term</v>
      </c>
    </row>
    <row r="5319" spans="1:16" x14ac:dyDescent="0.25">
      <c r="A5319">
        <v>2025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  <c r="M5319" t="str">
        <f t="shared" si="332"/>
        <v>30-45</v>
      </c>
      <c r="N5319" t="str">
        <f t="shared" si="333"/>
        <v>High</v>
      </c>
      <c r="O5319" t="str">
        <f t="shared" si="334"/>
        <v>High Balance</v>
      </c>
      <c r="P5319" t="str">
        <f t="shared" si="335"/>
        <v>New</v>
      </c>
    </row>
    <row r="5320" spans="1:16" x14ac:dyDescent="0.25">
      <c r="A5320">
        <v>2025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  <c r="M5320" t="str">
        <f t="shared" si="332"/>
        <v>30-45</v>
      </c>
      <c r="N5320" t="str">
        <f t="shared" si="333"/>
        <v>High</v>
      </c>
      <c r="O5320" t="str">
        <f t="shared" si="334"/>
        <v>High Balance</v>
      </c>
      <c r="P5320" t="str">
        <f t="shared" si="335"/>
        <v>New</v>
      </c>
    </row>
    <row r="5321" spans="1:16" x14ac:dyDescent="0.25">
      <c r="A5321">
        <v>2025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  <c r="M5321" t="str">
        <f t="shared" si="332"/>
        <v>&lt;30</v>
      </c>
      <c r="N5321" t="str">
        <f t="shared" si="333"/>
        <v>Medium</v>
      </c>
      <c r="O5321" t="str">
        <f t="shared" si="334"/>
        <v>High Balance</v>
      </c>
      <c r="P5321" t="str">
        <f t="shared" si="335"/>
        <v>New</v>
      </c>
    </row>
    <row r="5322" spans="1:16" x14ac:dyDescent="0.25">
      <c r="A5322">
        <v>2025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  <c r="M5322" t="str">
        <f t="shared" si="332"/>
        <v>30-45</v>
      </c>
      <c r="N5322" t="str">
        <f t="shared" si="333"/>
        <v>Medium</v>
      </c>
      <c r="O5322" t="str">
        <f t="shared" si="334"/>
        <v>Low Balance</v>
      </c>
      <c r="P5322" t="str">
        <f t="shared" si="335"/>
        <v>New</v>
      </c>
    </row>
    <row r="5323" spans="1:16" x14ac:dyDescent="0.25">
      <c r="A5323">
        <v>2025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  <c r="M5323" t="str">
        <f t="shared" si="332"/>
        <v>&lt;30</v>
      </c>
      <c r="N5323" t="str">
        <f t="shared" si="333"/>
        <v>High</v>
      </c>
      <c r="O5323" t="str">
        <f t="shared" si="334"/>
        <v>High Balance</v>
      </c>
      <c r="P5323" t="str">
        <f t="shared" si="335"/>
        <v>New</v>
      </c>
    </row>
    <row r="5324" spans="1:16" x14ac:dyDescent="0.25">
      <c r="A5324">
        <v>2025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  <c r="M5324" t="str">
        <f t="shared" si="332"/>
        <v>30-45</v>
      </c>
      <c r="N5324" t="str">
        <f t="shared" si="333"/>
        <v>High</v>
      </c>
      <c r="O5324" t="str">
        <f t="shared" si="334"/>
        <v>Zero Balance</v>
      </c>
      <c r="P5324" t="str">
        <f t="shared" si="335"/>
        <v>Mid-term</v>
      </c>
    </row>
    <row r="5325" spans="1:16" x14ac:dyDescent="0.25">
      <c r="A5325">
        <v>2025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  <c r="M5325" t="str">
        <f t="shared" si="332"/>
        <v>30-45</v>
      </c>
      <c r="N5325" t="str">
        <f t="shared" si="333"/>
        <v>Medium</v>
      </c>
      <c r="O5325" t="str">
        <f t="shared" si="334"/>
        <v>High Balance</v>
      </c>
      <c r="P5325" t="str">
        <f t="shared" si="335"/>
        <v>Mid-term</v>
      </c>
    </row>
    <row r="5326" spans="1:16" x14ac:dyDescent="0.25">
      <c r="A5326">
        <v>2025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  <c r="M5326" t="str">
        <f t="shared" si="332"/>
        <v>30-45</v>
      </c>
      <c r="N5326" t="str">
        <f t="shared" si="333"/>
        <v>Medium</v>
      </c>
      <c r="O5326" t="str">
        <f t="shared" si="334"/>
        <v>High Balance</v>
      </c>
      <c r="P5326" t="str">
        <f t="shared" si="335"/>
        <v>Mid-term</v>
      </c>
    </row>
    <row r="5327" spans="1:16" x14ac:dyDescent="0.25">
      <c r="A5327">
        <v>2025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  <c r="M5327" t="str">
        <f t="shared" si="332"/>
        <v>30-45</v>
      </c>
      <c r="N5327" t="str">
        <f t="shared" si="333"/>
        <v>Medium</v>
      </c>
      <c r="O5327" t="str">
        <f t="shared" si="334"/>
        <v>High Balance</v>
      </c>
      <c r="P5327" t="str">
        <f t="shared" si="335"/>
        <v>New</v>
      </c>
    </row>
    <row r="5328" spans="1:16" x14ac:dyDescent="0.25">
      <c r="A5328">
        <v>2025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  <c r="M5328" t="str">
        <f t="shared" si="332"/>
        <v>46-60</v>
      </c>
      <c r="N5328" t="str">
        <f t="shared" si="333"/>
        <v>High</v>
      </c>
      <c r="O5328" t="str">
        <f t="shared" si="334"/>
        <v>Zero Balance</v>
      </c>
      <c r="P5328" t="str">
        <f t="shared" si="335"/>
        <v>Mid-term</v>
      </c>
    </row>
    <row r="5329" spans="1:16" x14ac:dyDescent="0.25">
      <c r="A5329">
        <v>2025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  <c r="M5329" t="str">
        <f t="shared" si="332"/>
        <v>&lt;30</v>
      </c>
      <c r="N5329" t="str">
        <f t="shared" si="333"/>
        <v>High</v>
      </c>
      <c r="O5329" t="str">
        <f t="shared" si="334"/>
        <v>Low Balance</v>
      </c>
      <c r="P5329" t="str">
        <f t="shared" si="335"/>
        <v>Long-term</v>
      </c>
    </row>
    <row r="5330" spans="1:16" x14ac:dyDescent="0.25">
      <c r="A5330">
        <v>2025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  <c r="M5330" t="str">
        <f t="shared" si="332"/>
        <v>&lt;30</v>
      </c>
      <c r="N5330" t="str">
        <f t="shared" si="333"/>
        <v>Medium</v>
      </c>
      <c r="O5330" t="str">
        <f t="shared" si="334"/>
        <v>High Balance</v>
      </c>
      <c r="P5330" t="str">
        <f t="shared" si="335"/>
        <v>New</v>
      </c>
    </row>
    <row r="5331" spans="1:16" x14ac:dyDescent="0.25">
      <c r="A5331">
        <v>2025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  <c r="M5331" t="str">
        <f t="shared" si="332"/>
        <v>30-45</v>
      </c>
      <c r="N5331" t="str">
        <f t="shared" si="333"/>
        <v>Medium</v>
      </c>
      <c r="O5331" t="str">
        <f t="shared" si="334"/>
        <v>Zero Balance</v>
      </c>
      <c r="P5331" t="str">
        <f t="shared" si="335"/>
        <v>New</v>
      </c>
    </row>
    <row r="5332" spans="1:16" x14ac:dyDescent="0.25">
      <c r="A5332">
        <v>2025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  <c r="M5332" t="str">
        <f t="shared" si="332"/>
        <v>&lt;30</v>
      </c>
      <c r="N5332" t="str">
        <f t="shared" si="333"/>
        <v>Medium</v>
      </c>
      <c r="O5332" t="str">
        <f t="shared" si="334"/>
        <v>Zero Balance</v>
      </c>
      <c r="P5332" t="str">
        <f t="shared" si="335"/>
        <v>Long-term</v>
      </c>
    </row>
    <row r="5333" spans="1:16" x14ac:dyDescent="0.25">
      <c r="A5333">
        <v>2025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  <c r="M5333" t="str">
        <f t="shared" si="332"/>
        <v>46-60</v>
      </c>
      <c r="N5333" t="str">
        <f t="shared" si="333"/>
        <v>Medium</v>
      </c>
      <c r="O5333" t="str">
        <f t="shared" si="334"/>
        <v>High Balance</v>
      </c>
      <c r="P5333" t="str">
        <f t="shared" si="335"/>
        <v>New</v>
      </c>
    </row>
    <row r="5334" spans="1:16" x14ac:dyDescent="0.25">
      <c r="A5334">
        <v>2025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  <c r="M5334" t="str">
        <f t="shared" si="332"/>
        <v>&lt;30</v>
      </c>
      <c r="N5334" t="str">
        <f t="shared" si="333"/>
        <v>High</v>
      </c>
      <c r="O5334" t="str">
        <f t="shared" si="334"/>
        <v>High Balance</v>
      </c>
      <c r="P5334" t="str">
        <f t="shared" si="335"/>
        <v>New</v>
      </c>
    </row>
    <row r="5335" spans="1:16" x14ac:dyDescent="0.25">
      <c r="A5335">
        <v>2025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  <c r="M5335" t="str">
        <f t="shared" si="332"/>
        <v>30-45</v>
      </c>
      <c r="N5335" t="str">
        <f t="shared" si="333"/>
        <v>High</v>
      </c>
      <c r="O5335" t="str">
        <f t="shared" si="334"/>
        <v>Low Balance</v>
      </c>
      <c r="P5335" t="str">
        <f t="shared" si="335"/>
        <v>New</v>
      </c>
    </row>
    <row r="5336" spans="1:16" x14ac:dyDescent="0.25">
      <c r="A5336">
        <v>2025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  <c r="M5336" t="str">
        <f t="shared" si="332"/>
        <v>&lt;30</v>
      </c>
      <c r="N5336" t="str">
        <f t="shared" si="333"/>
        <v>High</v>
      </c>
      <c r="O5336" t="str">
        <f t="shared" si="334"/>
        <v>High Balance</v>
      </c>
      <c r="P5336" t="str">
        <f t="shared" si="335"/>
        <v>New</v>
      </c>
    </row>
    <row r="5337" spans="1:16" x14ac:dyDescent="0.25">
      <c r="A5337">
        <v>2025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  <c r="M5337" t="str">
        <f t="shared" si="332"/>
        <v>30-45</v>
      </c>
      <c r="N5337" t="str">
        <f t="shared" si="333"/>
        <v>Medium</v>
      </c>
      <c r="O5337" t="str">
        <f t="shared" si="334"/>
        <v>Zero Balance</v>
      </c>
      <c r="P5337" t="str">
        <f t="shared" si="335"/>
        <v>Long-term</v>
      </c>
    </row>
    <row r="5338" spans="1:16" x14ac:dyDescent="0.25">
      <c r="A5338">
        <v>2025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  <c r="M5338" t="str">
        <f t="shared" si="332"/>
        <v>46-60</v>
      </c>
      <c r="N5338" t="str">
        <f t="shared" si="333"/>
        <v>Medium</v>
      </c>
      <c r="O5338" t="str">
        <f t="shared" si="334"/>
        <v>High Balance</v>
      </c>
      <c r="P5338" t="str">
        <f t="shared" si="335"/>
        <v>Mid-term</v>
      </c>
    </row>
    <row r="5339" spans="1:16" x14ac:dyDescent="0.25">
      <c r="A5339">
        <v>2025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  <c r="M5339" t="str">
        <f t="shared" si="332"/>
        <v>46-60</v>
      </c>
      <c r="N5339" t="str">
        <f t="shared" si="333"/>
        <v>High</v>
      </c>
      <c r="O5339" t="str">
        <f t="shared" si="334"/>
        <v>Zero Balance</v>
      </c>
      <c r="P5339" t="str">
        <f t="shared" si="335"/>
        <v>Mid-term</v>
      </c>
    </row>
    <row r="5340" spans="1:16" x14ac:dyDescent="0.25">
      <c r="A5340">
        <v>2025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  <c r="M5340" t="str">
        <f t="shared" si="332"/>
        <v>30-45</v>
      </c>
      <c r="N5340" t="str">
        <f t="shared" si="333"/>
        <v>High</v>
      </c>
      <c r="O5340" t="str">
        <f t="shared" si="334"/>
        <v>High Balance</v>
      </c>
      <c r="P5340" t="str">
        <f t="shared" si="335"/>
        <v>Long-term</v>
      </c>
    </row>
    <row r="5341" spans="1:16" x14ac:dyDescent="0.25">
      <c r="A5341">
        <v>2025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  <c r="M5341" t="str">
        <f t="shared" si="332"/>
        <v>46-60</v>
      </c>
      <c r="N5341" t="str">
        <f t="shared" si="333"/>
        <v>Low</v>
      </c>
      <c r="O5341" t="str">
        <f t="shared" si="334"/>
        <v>High Balance</v>
      </c>
      <c r="P5341" t="str">
        <f t="shared" si="335"/>
        <v>Mid-term</v>
      </c>
    </row>
    <row r="5342" spans="1:16" x14ac:dyDescent="0.25">
      <c r="A5342">
        <v>2025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  <c r="M5342" t="str">
        <f t="shared" si="332"/>
        <v>30-45</v>
      </c>
      <c r="N5342" t="str">
        <f t="shared" si="333"/>
        <v>Medium</v>
      </c>
      <c r="O5342" t="str">
        <f t="shared" si="334"/>
        <v>Zero Balance</v>
      </c>
      <c r="P5342" t="str">
        <f t="shared" si="335"/>
        <v>New</v>
      </c>
    </row>
    <row r="5343" spans="1:16" x14ac:dyDescent="0.25">
      <c r="A5343">
        <v>2025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  <c r="M5343" t="str">
        <f t="shared" si="332"/>
        <v>46-60</v>
      </c>
      <c r="N5343" t="str">
        <f t="shared" si="333"/>
        <v>Medium</v>
      </c>
      <c r="O5343" t="str">
        <f t="shared" si="334"/>
        <v>High Balance</v>
      </c>
      <c r="P5343" t="str">
        <f t="shared" si="335"/>
        <v>Mid-term</v>
      </c>
    </row>
    <row r="5344" spans="1:16" x14ac:dyDescent="0.25">
      <c r="A5344">
        <v>2025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  <c r="M5344" t="str">
        <f t="shared" si="332"/>
        <v>46-60</v>
      </c>
      <c r="N5344" t="str">
        <f t="shared" si="333"/>
        <v>High</v>
      </c>
      <c r="O5344" t="str">
        <f t="shared" si="334"/>
        <v>High Balance</v>
      </c>
      <c r="P5344" t="str">
        <f t="shared" si="335"/>
        <v>New</v>
      </c>
    </row>
    <row r="5345" spans="1:16" x14ac:dyDescent="0.25">
      <c r="A5345">
        <v>2025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  <c r="M5345" t="str">
        <f t="shared" si="332"/>
        <v>46-60</v>
      </c>
      <c r="N5345" t="str">
        <f t="shared" si="333"/>
        <v>High</v>
      </c>
      <c r="O5345" t="str">
        <f t="shared" si="334"/>
        <v>Zero Balance</v>
      </c>
      <c r="P5345" t="str">
        <f t="shared" si="335"/>
        <v>Mid-term</v>
      </c>
    </row>
    <row r="5346" spans="1:16" x14ac:dyDescent="0.25">
      <c r="A5346">
        <v>2025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  <c r="M5346" t="str">
        <f t="shared" si="332"/>
        <v>&lt;30</v>
      </c>
      <c r="N5346" t="str">
        <f t="shared" si="333"/>
        <v>High</v>
      </c>
      <c r="O5346" t="str">
        <f t="shared" si="334"/>
        <v>Zero Balance</v>
      </c>
      <c r="P5346" t="str">
        <f t="shared" si="335"/>
        <v>Mid-term</v>
      </c>
    </row>
    <row r="5347" spans="1:16" x14ac:dyDescent="0.25">
      <c r="A5347">
        <v>2025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  <c r="M5347" t="str">
        <f t="shared" si="332"/>
        <v>30-45</v>
      </c>
      <c r="N5347" t="str">
        <f t="shared" si="333"/>
        <v>High</v>
      </c>
      <c r="O5347" t="str">
        <f t="shared" si="334"/>
        <v>Zero Balance</v>
      </c>
      <c r="P5347" t="str">
        <f t="shared" si="335"/>
        <v>Mid-term</v>
      </c>
    </row>
    <row r="5348" spans="1:16" x14ac:dyDescent="0.25">
      <c r="A5348">
        <v>2025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  <c r="M5348" t="str">
        <f t="shared" si="332"/>
        <v>30-45</v>
      </c>
      <c r="N5348" t="str">
        <f t="shared" si="333"/>
        <v>Medium</v>
      </c>
      <c r="O5348" t="str">
        <f t="shared" si="334"/>
        <v>High Balance</v>
      </c>
      <c r="P5348" t="str">
        <f t="shared" si="335"/>
        <v>New</v>
      </c>
    </row>
    <row r="5349" spans="1:16" x14ac:dyDescent="0.25">
      <c r="A5349">
        <v>2025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  <c r="M5349" t="str">
        <f t="shared" si="332"/>
        <v>30-45</v>
      </c>
      <c r="N5349" t="str">
        <f t="shared" si="333"/>
        <v>Medium</v>
      </c>
      <c r="O5349" t="str">
        <f t="shared" si="334"/>
        <v>Zero Balance</v>
      </c>
      <c r="P5349" t="str">
        <f t="shared" si="335"/>
        <v>New</v>
      </c>
    </row>
    <row r="5350" spans="1:16" x14ac:dyDescent="0.25">
      <c r="A5350">
        <v>2025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  <c r="M5350" t="str">
        <f t="shared" si="332"/>
        <v>30-45</v>
      </c>
      <c r="N5350" t="str">
        <f t="shared" si="333"/>
        <v>Medium</v>
      </c>
      <c r="O5350" t="str">
        <f t="shared" si="334"/>
        <v>High Balance</v>
      </c>
      <c r="P5350" t="str">
        <f t="shared" si="335"/>
        <v>New</v>
      </c>
    </row>
    <row r="5351" spans="1:16" x14ac:dyDescent="0.25">
      <c r="A5351">
        <v>2025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  <c r="M5351" t="str">
        <f t="shared" si="332"/>
        <v>30-45</v>
      </c>
      <c r="N5351" t="str">
        <f t="shared" si="333"/>
        <v>Medium</v>
      </c>
      <c r="O5351" t="str">
        <f t="shared" si="334"/>
        <v>High Balance</v>
      </c>
      <c r="P5351" t="str">
        <f t="shared" si="335"/>
        <v>New</v>
      </c>
    </row>
    <row r="5352" spans="1:16" x14ac:dyDescent="0.25">
      <c r="A5352">
        <v>2025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  <c r="M5352" t="str">
        <f t="shared" si="332"/>
        <v>46-60</v>
      </c>
      <c r="N5352" t="str">
        <f t="shared" si="333"/>
        <v>Low</v>
      </c>
      <c r="O5352" t="str">
        <f t="shared" si="334"/>
        <v>High Balance</v>
      </c>
      <c r="P5352" t="str">
        <f t="shared" si="335"/>
        <v>Long-term</v>
      </c>
    </row>
    <row r="5353" spans="1:16" x14ac:dyDescent="0.25">
      <c r="A5353">
        <v>2025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  <c r="M5353" t="str">
        <f t="shared" si="332"/>
        <v>30-45</v>
      </c>
      <c r="N5353" t="str">
        <f t="shared" si="333"/>
        <v>Medium</v>
      </c>
      <c r="O5353" t="str">
        <f t="shared" si="334"/>
        <v>High Balance</v>
      </c>
      <c r="P5353" t="str">
        <f t="shared" si="335"/>
        <v>New</v>
      </c>
    </row>
    <row r="5354" spans="1:16" x14ac:dyDescent="0.25">
      <c r="A5354">
        <v>2025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  <c r="M5354" t="str">
        <f t="shared" si="332"/>
        <v>&lt;30</v>
      </c>
      <c r="N5354" t="str">
        <f t="shared" si="333"/>
        <v>Medium</v>
      </c>
      <c r="O5354" t="str">
        <f t="shared" si="334"/>
        <v>Zero Balance</v>
      </c>
      <c r="P5354" t="str">
        <f t="shared" si="335"/>
        <v>New</v>
      </c>
    </row>
    <row r="5355" spans="1:16" x14ac:dyDescent="0.25">
      <c r="A5355">
        <v>2025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  <c r="M5355" t="str">
        <f t="shared" si="332"/>
        <v>30-45</v>
      </c>
      <c r="N5355" t="str">
        <f t="shared" si="333"/>
        <v>Medium</v>
      </c>
      <c r="O5355" t="str">
        <f t="shared" si="334"/>
        <v>Low Balance</v>
      </c>
      <c r="P5355" t="str">
        <f t="shared" si="335"/>
        <v>Mid-term</v>
      </c>
    </row>
    <row r="5356" spans="1:16" x14ac:dyDescent="0.25">
      <c r="A5356">
        <v>2025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  <c r="M5356" t="str">
        <f t="shared" si="332"/>
        <v>30-45</v>
      </c>
      <c r="N5356" t="str">
        <f t="shared" si="333"/>
        <v>High</v>
      </c>
      <c r="O5356" t="str">
        <f t="shared" si="334"/>
        <v>High Balance</v>
      </c>
      <c r="P5356" t="str">
        <f t="shared" si="335"/>
        <v>Mid-term</v>
      </c>
    </row>
    <row r="5357" spans="1:16" x14ac:dyDescent="0.25">
      <c r="A5357">
        <v>2025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  <c r="M5357" t="str">
        <f t="shared" si="332"/>
        <v>&lt;30</v>
      </c>
      <c r="N5357" t="str">
        <f t="shared" si="333"/>
        <v>Medium</v>
      </c>
      <c r="O5357" t="str">
        <f t="shared" si="334"/>
        <v>High Balance</v>
      </c>
      <c r="P5357" t="str">
        <f t="shared" si="335"/>
        <v>New</v>
      </c>
    </row>
    <row r="5358" spans="1:16" x14ac:dyDescent="0.25">
      <c r="A5358">
        <v>2025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  <c r="M5358" t="str">
        <f t="shared" si="332"/>
        <v>46-60</v>
      </c>
      <c r="N5358" t="str">
        <f t="shared" si="333"/>
        <v>High</v>
      </c>
      <c r="O5358" t="str">
        <f t="shared" si="334"/>
        <v>High Balance</v>
      </c>
      <c r="P5358" t="str">
        <f t="shared" si="335"/>
        <v>New</v>
      </c>
    </row>
    <row r="5359" spans="1:16" x14ac:dyDescent="0.25">
      <c r="A5359">
        <v>2025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  <c r="M5359" t="str">
        <f t="shared" si="332"/>
        <v>30-45</v>
      </c>
      <c r="N5359" t="str">
        <f t="shared" si="333"/>
        <v>Low</v>
      </c>
      <c r="O5359" t="str">
        <f t="shared" si="334"/>
        <v>High Balance</v>
      </c>
      <c r="P5359" t="str">
        <f t="shared" si="335"/>
        <v>Mid-term</v>
      </c>
    </row>
    <row r="5360" spans="1:16" x14ac:dyDescent="0.25">
      <c r="A5360">
        <v>2025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  <c r="M5360" t="str">
        <f t="shared" si="332"/>
        <v>30-45</v>
      </c>
      <c r="N5360" t="str">
        <f t="shared" si="333"/>
        <v>Medium</v>
      </c>
      <c r="O5360" t="str">
        <f t="shared" si="334"/>
        <v>Zero Balance</v>
      </c>
      <c r="P5360" t="str">
        <f t="shared" si="335"/>
        <v>Mid-term</v>
      </c>
    </row>
    <row r="5361" spans="1:16" x14ac:dyDescent="0.25">
      <c r="A5361">
        <v>2025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  <c r="M5361" t="str">
        <f t="shared" si="332"/>
        <v>30-45</v>
      </c>
      <c r="N5361" t="str">
        <f t="shared" si="333"/>
        <v>Medium</v>
      </c>
      <c r="O5361" t="str">
        <f t="shared" si="334"/>
        <v>High Balance</v>
      </c>
      <c r="P5361" t="str">
        <f t="shared" si="335"/>
        <v>New</v>
      </c>
    </row>
    <row r="5362" spans="1:16" x14ac:dyDescent="0.25">
      <c r="A5362">
        <v>2025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  <c r="M5362" t="str">
        <f t="shared" si="332"/>
        <v>30-45</v>
      </c>
      <c r="N5362" t="str">
        <f t="shared" si="333"/>
        <v>Medium</v>
      </c>
      <c r="O5362" t="str">
        <f t="shared" si="334"/>
        <v>Zero Balance</v>
      </c>
      <c r="P5362" t="str">
        <f t="shared" si="335"/>
        <v>Long-term</v>
      </c>
    </row>
    <row r="5363" spans="1:16" x14ac:dyDescent="0.25">
      <c r="A5363">
        <v>2025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  <c r="M5363" t="str">
        <f t="shared" si="332"/>
        <v>46-60</v>
      </c>
      <c r="N5363" t="str">
        <f t="shared" si="333"/>
        <v>Medium</v>
      </c>
      <c r="O5363" t="str">
        <f t="shared" si="334"/>
        <v>Zero Balance</v>
      </c>
      <c r="P5363" t="str">
        <f t="shared" si="335"/>
        <v>Long-term</v>
      </c>
    </row>
    <row r="5364" spans="1:16" x14ac:dyDescent="0.25">
      <c r="A5364">
        <v>2025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  <c r="M5364" t="str">
        <f t="shared" si="332"/>
        <v>30-45</v>
      </c>
      <c r="N5364" t="str">
        <f t="shared" si="333"/>
        <v>High</v>
      </c>
      <c r="O5364" t="str">
        <f t="shared" si="334"/>
        <v>High Balance</v>
      </c>
      <c r="P5364" t="str">
        <f t="shared" si="335"/>
        <v>New</v>
      </c>
    </row>
    <row r="5365" spans="1:16" x14ac:dyDescent="0.25">
      <c r="A5365">
        <v>2025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  <c r="M5365" t="str">
        <f t="shared" si="332"/>
        <v>46-60</v>
      </c>
      <c r="N5365" t="str">
        <f t="shared" si="333"/>
        <v>High</v>
      </c>
      <c r="O5365" t="str">
        <f t="shared" si="334"/>
        <v>High Balance</v>
      </c>
      <c r="P5365" t="str">
        <f t="shared" si="335"/>
        <v>Mid-term</v>
      </c>
    </row>
    <row r="5366" spans="1:16" x14ac:dyDescent="0.25">
      <c r="A5366">
        <v>2025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  <c r="M5366" t="str">
        <f t="shared" si="332"/>
        <v>30-45</v>
      </c>
      <c r="N5366" t="str">
        <f t="shared" si="333"/>
        <v>High</v>
      </c>
      <c r="O5366" t="str">
        <f t="shared" si="334"/>
        <v>High Balance</v>
      </c>
      <c r="P5366" t="str">
        <f t="shared" si="335"/>
        <v>New</v>
      </c>
    </row>
    <row r="5367" spans="1:16" x14ac:dyDescent="0.25">
      <c r="A5367">
        <v>2025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  <c r="M5367" t="str">
        <f t="shared" si="332"/>
        <v>30-45</v>
      </c>
      <c r="N5367" t="str">
        <f t="shared" si="333"/>
        <v>Medium</v>
      </c>
      <c r="O5367" t="str">
        <f t="shared" si="334"/>
        <v>Zero Balance</v>
      </c>
      <c r="P5367" t="str">
        <f t="shared" si="335"/>
        <v>New</v>
      </c>
    </row>
    <row r="5368" spans="1:16" x14ac:dyDescent="0.25">
      <c r="A5368">
        <v>2025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  <c r="M5368" t="str">
        <f t="shared" si="332"/>
        <v>30-45</v>
      </c>
      <c r="N5368" t="str">
        <f t="shared" si="333"/>
        <v>Medium</v>
      </c>
      <c r="O5368" t="str">
        <f t="shared" si="334"/>
        <v>Low Balance</v>
      </c>
      <c r="P5368" t="str">
        <f t="shared" si="335"/>
        <v>Mid-term</v>
      </c>
    </row>
    <row r="5369" spans="1:16" x14ac:dyDescent="0.25">
      <c r="A5369">
        <v>2025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  <c r="M5369" t="str">
        <f t="shared" si="332"/>
        <v>30-45</v>
      </c>
      <c r="N5369" t="str">
        <f t="shared" si="333"/>
        <v>Medium</v>
      </c>
      <c r="O5369" t="str">
        <f t="shared" si="334"/>
        <v>Zero Balance</v>
      </c>
      <c r="P5369" t="str">
        <f t="shared" si="335"/>
        <v>Mid-term</v>
      </c>
    </row>
    <row r="5370" spans="1:16" x14ac:dyDescent="0.25">
      <c r="A5370">
        <v>2025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  <c r="M5370" t="str">
        <f t="shared" si="332"/>
        <v>60+</v>
      </c>
      <c r="N5370" t="str">
        <f t="shared" si="333"/>
        <v>Medium</v>
      </c>
      <c r="O5370" t="str">
        <f t="shared" si="334"/>
        <v>Low Balance</v>
      </c>
      <c r="P5370" t="str">
        <f t="shared" si="335"/>
        <v>New</v>
      </c>
    </row>
    <row r="5371" spans="1:16" x14ac:dyDescent="0.25">
      <c r="A5371">
        <v>2025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  <c r="M5371" t="str">
        <f t="shared" si="332"/>
        <v>46-60</v>
      </c>
      <c r="N5371" t="str">
        <f t="shared" si="333"/>
        <v>Medium</v>
      </c>
      <c r="O5371" t="str">
        <f t="shared" si="334"/>
        <v>High Balance</v>
      </c>
      <c r="P5371" t="str">
        <f t="shared" si="335"/>
        <v>Long-term</v>
      </c>
    </row>
    <row r="5372" spans="1:16" x14ac:dyDescent="0.25">
      <c r="A5372">
        <v>2025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  <c r="M5372" t="str">
        <f t="shared" si="332"/>
        <v>30-45</v>
      </c>
      <c r="N5372" t="str">
        <f t="shared" si="333"/>
        <v>Medium</v>
      </c>
      <c r="O5372" t="str">
        <f t="shared" si="334"/>
        <v>Zero Balance</v>
      </c>
      <c r="P5372" t="str">
        <f t="shared" si="335"/>
        <v>Mid-term</v>
      </c>
    </row>
    <row r="5373" spans="1:16" x14ac:dyDescent="0.25">
      <c r="A5373">
        <v>2025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  <c r="M5373" t="str">
        <f t="shared" si="332"/>
        <v>30-45</v>
      </c>
      <c r="N5373" t="str">
        <f t="shared" si="333"/>
        <v>High</v>
      </c>
      <c r="O5373" t="str">
        <f t="shared" si="334"/>
        <v>High Balance</v>
      </c>
      <c r="P5373" t="str">
        <f t="shared" si="335"/>
        <v>New</v>
      </c>
    </row>
    <row r="5374" spans="1:16" x14ac:dyDescent="0.25">
      <c r="A5374">
        <v>2025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  <c r="M5374" t="str">
        <f t="shared" si="332"/>
        <v>30-45</v>
      </c>
      <c r="N5374" t="str">
        <f t="shared" si="333"/>
        <v>Medium</v>
      </c>
      <c r="O5374" t="str">
        <f t="shared" si="334"/>
        <v>Zero Balance</v>
      </c>
      <c r="P5374" t="str">
        <f t="shared" si="335"/>
        <v>Mid-term</v>
      </c>
    </row>
    <row r="5375" spans="1:16" x14ac:dyDescent="0.25">
      <c r="A5375">
        <v>2025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  <c r="M5375" t="str">
        <f t="shared" si="332"/>
        <v>30-45</v>
      </c>
      <c r="N5375" t="str">
        <f t="shared" si="333"/>
        <v>High</v>
      </c>
      <c r="O5375" t="str">
        <f t="shared" si="334"/>
        <v>Zero Balance</v>
      </c>
      <c r="P5375" t="str">
        <f t="shared" si="335"/>
        <v>Mid-term</v>
      </c>
    </row>
    <row r="5376" spans="1:16" x14ac:dyDescent="0.25">
      <c r="A5376">
        <v>2025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  <c r="M5376" t="str">
        <f t="shared" si="332"/>
        <v>&lt;30</v>
      </c>
      <c r="N5376" t="str">
        <f t="shared" si="333"/>
        <v>Medium</v>
      </c>
      <c r="O5376" t="str">
        <f t="shared" si="334"/>
        <v>Low Balance</v>
      </c>
      <c r="P5376" t="str">
        <f t="shared" si="335"/>
        <v>Long-term</v>
      </c>
    </row>
    <row r="5377" spans="1:16" x14ac:dyDescent="0.25">
      <c r="A5377">
        <v>2025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  <c r="M5377" t="str">
        <f t="shared" si="332"/>
        <v>30-45</v>
      </c>
      <c r="N5377" t="str">
        <f t="shared" si="333"/>
        <v>Medium</v>
      </c>
      <c r="O5377" t="str">
        <f t="shared" si="334"/>
        <v>High Balance</v>
      </c>
      <c r="P5377" t="str">
        <f t="shared" si="335"/>
        <v>Mid-term</v>
      </c>
    </row>
    <row r="5378" spans="1:16" x14ac:dyDescent="0.25">
      <c r="A5378">
        <v>2025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  <c r="M5378" t="str">
        <f t="shared" si="332"/>
        <v>30-45</v>
      </c>
      <c r="N5378" t="str">
        <f t="shared" si="333"/>
        <v>High</v>
      </c>
      <c r="O5378" t="str">
        <f t="shared" si="334"/>
        <v>High Balance</v>
      </c>
      <c r="P5378" t="str">
        <f t="shared" si="335"/>
        <v>New</v>
      </c>
    </row>
    <row r="5379" spans="1:16" x14ac:dyDescent="0.25">
      <c r="A5379">
        <v>2025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  <c r="M5379" t="str">
        <f t="shared" ref="M5379:M5442" si="336">IF(E5379&lt;30,"&lt;30",IF(E5379&lt;=45,"30-45",IF(E5379&lt;=60,"46-60","60+")))</f>
        <v>60+</v>
      </c>
      <c r="N5379" t="str">
        <f t="shared" ref="N5379:N5442" si="337">IF(B5379&lt;500,"Low",IF(B5379&lt;700,"Medium","High"))</f>
        <v>Medium</v>
      </c>
      <c r="O5379" t="str">
        <f t="shared" ref="O5379:O5442" si="338">IF(G5379=0,"Zero Balance",IF(G5379&lt;100000,"Low Balance","High Balance"))</f>
        <v>High Balance</v>
      </c>
      <c r="P5379" t="str">
        <f t="shared" ref="P5379:P5442" si="339">IF(F5379&lt;=3,"New",IF(F5379&lt;=7,"Mid-term","Long-term"))</f>
        <v>New</v>
      </c>
    </row>
    <row r="5380" spans="1:16" x14ac:dyDescent="0.25">
      <c r="A5380">
        <v>2025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  <c r="M5380" t="str">
        <f t="shared" si="336"/>
        <v>&lt;30</v>
      </c>
      <c r="N5380" t="str">
        <f t="shared" si="337"/>
        <v>Medium</v>
      </c>
      <c r="O5380" t="str">
        <f t="shared" si="338"/>
        <v>High Balance</v>
      </c>
      <c r="P5380" t="str">
        <f t="shared" si="339"/>
        <v>New</v>
      </c>
    </row>
    <row r="5381" spans="1:16" x14ac:dyDescent="0.25">
      <c r="A5381">
        <v>2025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  <c r="M5381" t="str">
        <f t="shared" si="336"/>
        <v>&lt;30</v>
      </c>
      <c r="N5381" t="str">
        <f t="shared" si="337"/>
        <v>Medium</v>
      </c>
      <c r="O5381" t="str">
        <f t="shared" si="338"/>
        <v>Low Balance</v>
      </c>
      <c r="P5381" t="str">
        <f t="shared" si="339"/>
        <v>Mid-term</v>
      </c>
    </row>
    <row r="5382" spans="1:16" x14ac:dyDescent="0.25">
      <c r="A5382">
        <v>2025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  <c r="M5382" t="str">
        <f t="shared" si="336"/>
        <v>30-45</v>
      </c>
      <c r="N5382" t="str">
        <f t="shared" si="337"/>
        <v>High</v>
      </c>
      <c r="O5382" t="str">
        <f t="shared" si="338"/>
        <v>Zero Balance</v>
      </c>
      <c r="P5382" t="str">
        <f t="shared" si="339"/>
        <v>New</v>
      </c>
    </row>
    <row r="5383" spans="1:16" x14ac:dyDescent="0.25">
      <c r="A5383">
        <v>2025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  <c r="M5383" t="str">
        <f t="shared" si="336"/>
        <v>30-45</v>
      </c>
      <c r="N5383" t="str">
        <f t="shared" si="337"/>
        <v>High</v>
      </c>
      <c r="O5383" t="str">
        <f t="shared" si="338"/>
        <v>High Balance</v>
      </c>
      <c r="P5383" t="str">
        <f t="shared" si="339"/>
        <v>Long-term</v>
      </c>
    </row>
    <row r="5384" spans="1:16" x14ac:dyDescent="0.25">
      <c r="A5384">
        <v>2025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  <c r="M5384" t="str">
        <f t="shared" si="336"/>
        <v>30-45</v>
      </c>
      <c r="N5384" t="str">
        <f t="shared" si="337"/>
        <v>High</v>
      </c>
      <c r="O5384" t="str">
        <f t="shared" si="338"/>
        <v>High Balance</v>
      </c>
      <c r="P5384" t="str">
        <f t="shared" si="339"/>
        <v>Mid-term</v>
      </c>
    </row>
    <row r="5385" spans="1:16" x14ac:dyDescent="0.25">
      <c r="A5385">
        <v>2025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  <c r="M5385" t="str">
        <f t="shared" si="336"/>
        <v>&lt;30</v>
      </c>
      <c r="N5385" t="str">
        <f t="shared" si="337"/>
        <v>Medium</v>
      </c>
      <c r="O5385" t="str">
        <f t="shared" si="338"/>
        <v>Zero Balance</v>
      </c>
      <c r="P5385" t="str">
        <f t="shared" si="339"/>
        <v>Mid-term</v>
      </c>
    </row>
    <row r="5386" spans="1:16" x14ac:dyDescent="0.25">
      <c r="A5386">
        <v>2025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  <c r="M5386" t="str">
        <f t="shared" si="336"/>
        <v>&lt;30</v>
      </c>
      <c r="N5386" t="str">
        <f t="shared" si="337"/>
        <v>High</v>
      </c>
      <c r="O5386" t="str">
        <f t="shared" si="338"/>
        <v>Zero Balance</v>
      </c>
      <c r="P5386" t="str">
        <f t="shared" si="339"/>
        <v>New</v>
      </c>
    </row>
    <row r="5387" spans="1:16" x14ac:dyDescent="0.25">
      <c r="A5387">
        <v>2025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  <c r="M5387" t="str">
        <f t="shared" si="336"/>
        <v>30-45</v>
      </c>
      <c r="N5387" t="str">
        <f t="shared" si="337"/>
        <v>High</v>
      </c>
      <c r="O5387" t="str">
        <f t="shared" si="338"/>
        <v>Low Balance</v>
      </c>
      <c r="P5387" t="str">
        <f t="shared" si="339"/>
        <v>Mid-term</v>
      </c>
    </row>
    <row r="5388" spans="1:16" x14ac:dyDescent="0.25">
      <c r="A5388">
        <v>2025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  <c r="M5388" t="str">
        <f t="shared" si="336"/>
        <v>46-60</v>
      </c>
      <c r="N5388" t="str">
        <f t="shared" si="337"/>
        <v>Medium</v>
      </c>
      <c r="O5388" t="str">
        <f t="shared" si="338"/>
        <v>High Balance</v>
      </c>
      <c r="P5388" t="str">
        <f t="shared" si="339"/>
        <v>Long-term</v>
      </c>
    </row>
    <row r="5389" spans="1:16" x14ac:dyDescent="0.25">
      <c r="A5389">
        <v>2025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  <c r="M5389" t="str">
        <f t="shared" si="336"/>
        <v>&lt;30</v>
      </c>
      <c r="N5389" t="str">
        <f t="shared" si="337"/>
        <v>Medium</v>
      </c>
      <c r="O5389" t="str">
        <f t="shared" si="338"/>
        <v>Zero Balance</v>
      </c>
      <c r="P5389" t="str">
        <f t="shared" si="339"/>
        <v>Long-term</v>
      </c>
    </row>
    <row r="5390" spans="1:16" x14ac:dyDescent="0.25">
      <c r="A5390">
        <v>2025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  <c r="M5390" t="str">
        <f t="shared" si="336"/>
        <v>46-60</v>
      </c>
      <c r="N5390" t="str">
        <f t="shared" si="337"/>
        <v>Medium</v>
      </c>
      <c r="O5390" t="str">
        <f t="shared" si="338"/>
        <v>Low Balance</v>
      </c>
      <c r="P5390" t="str">
        <f t="shared" si="339"/>
        <v>New</v>
      </c>
    </row>
    <row r="5391" spans="1:16" x14ac:dyDescent="0.25">
      <c r="A5391">
        <v>2025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  <c r="M5391" t="str">
        <f t="shared" si="336"/>
        <v>30-45</v>
      </c>
      <c r="N5391" t="str">
        <f t="shared" si="337"/>
        <v>High</v>
      </c>
      <c r="O5391" t="str">
        <f t="shared" si="338"/>
        <v>Zero Balance</v>
      </c>
      <c r="P5391" t="str">
        <f t="shared" si="339"/>
        <v>Mid-term</v>
      </c>
    </row>
    <row r="5392" spans="1:16" x14ac:dyDescent="0.25">
      <c r="A5392">
        <v>2025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  <c r="M5392" t="str">
        <f t="shared" si="336"/>
        <v>30-45</v>
      </c>
      <c r="N5392" t="str">
        <f t="shared" si="337"/>
        <v>High</v>
      </c>
      <c r="O5392" t="str">
        <f t="shared" si="338"/>
        <v>Zero Balance</v>
      </c>
      <c r="P5392" t="str">
        <f t="shared" si="339"/>
        <v>New</v>
      </c>
    </row>
    <row r="5393" spans="1:16" x14ac:dyDescent="0.25">
      <c r="A5393">
        <v>2025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  <c r="M5393" t="str">
        <f t="shared" si="336"/>
        <v>&lt;30</v>
      </c>
      <c r="N5393" t="str">
        <f t="shared" si="337"/>
        <v>Medium</v>
      </c>
      <c r="O5393" t="str">
        <f t="shared" si="338"/>
        <v>High Balance</v>
      </c>
      <c r="P5393" t="str">
        <f t="shared" si="339"/>
        <v>Long-term</v>
      </c>
    </row>
    <row r="5394" spans="1:16" x14ac:dyDescent="0.25">
      <c r="A5394">
        <v>2025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  <c r="M5394" t="str">
        <f t="shared" si="336"/>
        <v>30-45</v>
      </c>
      <c r="N5394" t="str">
        <f t="shared" si="337"/>
        <v>High</v>
      </c>
      <c r="O5394" t="str">
        <f t="shared" si="338"/>
        <v>Zero Balance</v>
      </c>
      <c r="P5394" t="str">
        <f t="shared" si="339"/>
        <v>New</v>
      </c>
    </row>
    <row r="5395" spans="1:16" x14ac:dyDescent="0.25">
      <c r="A5395">
        <v>2025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  <c r="M5395" t="str">
        <f t="shared" si="336"/>
        <v>30-45</v>
      </c>
      <c r="N5395" t="str">
        <f t="shared" si="337"/>
        <v>High</v>
      </c>
      <c r="O5395" t="str">
        <f t="shared" si="338"/>
        <v>High Balance</v>
      </c>
      <c r="P5395" t="str">
        <f t="shared" si="339"/>
        <v>Long-term</v>
      </c>
    </row>
    <row r="5396" spans="1:16" x14ac:dyDescent="0.25">
      <c r="A5396">
        <v>2025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  <c r="M5396" t="str">
        <f t="shared" si="336"/>
        <v>30-45</v>
      </c>
      <c r="N5396" t="str">
        <f t="shared" si="337"/>
        <v>Medium</v>
      </c>
      <c r="O5396" t="str">
        <f t="shared" si="338"/>
        <v>High Balance</v>
      </c>
      <c r="P5396" t="str">
        <f t="shared" si="339"/>
        <v>New</v>
      </c>
    </row>
    <row r="5397" spans="1:16" x14ac:dyDescent="0.25">
      <c r="A5397">
        <v>2025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  <c r="M5397" t="str">
        <f t="shared" si="336"/>
        <v>46-60</v>
      </c>
      <c r="N5397" t="str">
        <f t="shared" si="337"/>
        <v>Medium</v>
      </c>
      <c r="O5397" t="str">
        <f t="shared" si="338"/>
        <v>High Balance</v>
      </c>
      <c r="P5397" t="str">
        <f t="shared" si="339"/>
        <v>Mid-term</v>
      </c>
    </row>
    <row r="5398" spans="1:16" x14ac:dyDescent="0.25">
      <c r="A5398">
        <v>2025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  <c r="M5398" t="str">
        <f t="shared" si="336"/>
        <v>30-45</v>
      </c>
      <c r="N5398" t="str">
        <f t="shared" si="337"/>
        <v>Medium</v>
      </c>
      <c r="O5398" t="str">
        <f t="shared" si="338"/>
        <v>High Balance</v>
      </c>
      <c r="P5398" t="str">
        <f t="shared" si="339"/>
        <v>Long-term</v>
      </c>
    </row>
    <row r="5399" spans="1:16" x14ac:dyDescent="0.25">
      <c r="A5399">
        <v>2025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  <c r="M5399" t="str">
        <f t="shared" si="336"/>
        <v>30-45</v>
      </c>
      <c r="N5399" t="str">
        <f t="shared" si="337"/>
        <v>High</v>
      </c>
      <c r="O5399" t="str">
        <f t="shared" si="338"/>
        <v>High Balance</v>
      </c>
      <c r="P5399" t="str">
        <f t="shared" si="339"/>
        <v>Mid-term</v>
      </c>
    </row>
    <row r="5400" spans="1:16" x14ac:dyDescent="0.25">
      <c r="A5400">
        <v>2025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  <c r="M5400" t="str">
        <f t="shared" si="336"/>
        <v>30-45</v>
      </c>
      <c r="N5400" t="str">
        <f t="shared" si="337"/>
        <v>High</v>
      </c>
      <c r="O5400" t="str">
        <f t="shared" si="338"/>
        <v>High Balance</v>
      </c>
      <c r="P5400" t="str">
        <f t="shared" si="339"/>
        <v>New</v>
      </c>
    </row>
    <row r="5401" spans="1:16" x14ac:dyDescent="0.25">
      <c r="A5401">
        <v>2025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  <c r="M5401" t="str">
        <f t="shared" si="336"/>
        <v>30-45</v>
      </c>
      <c r="N5401" t="str">
        <f t="shared" si="337"/>
        <v>High</v>
      </c>
      <c r="O5401" t="str">
        <f t="shared" si="338"/>
        <v>High Balance</v>
      </c>
      <c r="P5401" t="str">
        <f t="shared" si="339"/>
        <v>Long-term</v>
      </c>
    </row>
    <row r="5402" spans="1:16" x14ac:dyDescent="0.25">
      <c r="A5402">
        <v>2025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  <c r="M5402" t="str">
        <f t="shared" si="336"/>
        <v>30-45</v>
      </c>
      <c r="N5402" t="str">
        <f t="shared" si="337"/>
        <v>High</v>
      </c>
      <c r="O5402" t="str">
        <f t="shared" si="338"/>
        <v>Zero Balance</v>
      </c>
      <c r="P5402" t="str">
        <f t="shared" si="339"/>
        <v>Mid-term</v>
      </c>
    </row>
    <row r="5403" spans="1:16" x14ac:dyDescent="0.25">
      <c r="A5403">
        <v>2025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  <c r="M5403" t="str">
        <f t="shared" si="336"/>
        <v>46-60</v>
      </c>
      <c r="N5403" t="str">
        <f t="shared" si="337"/>
        <v>Medium</v>
      </c>
      <c r="O5403" t="str">
        <f t="shared" si="338"/>
        <v>Zero Balance</v>
      </c>
      <c r="P5403" t="str">
        <f t="shared" si="339"/>
        <v>Long-term</v>
      </c>
    </row>
    <row r="5404" spans="1:16" x14ac:dyDescent="0.25">
      <c r="A5404">
        <v>2025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  <c r="M5404" t="str">
        <f t="shared" si="336"/>
        <v>30-45</v>
      </c>
      <c r="N5404" t="str">
        <f t="shared" si="337"/>
        <v>High</v>
      </c>
      <c r="O5404" t="str">
        <f t="shared" si="338"/>
        <v>Zero Balance</v>
      </c>
      <c r="P5404" t="str">
        <f t="shared" si="339"/>
        <v>Mid-term</v>
      </c>
    </row>
    <row r="5405" spans="1:16" x14ac:dyDescent="0.25">
      <c r="A5405">
        <v>2025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  <c r="M5405" t="str">
        <f t="shared" si="336"/>
        <v>&lt;30</v>
      </c>
      <c r="N5405" t="str">
        <f t="shared" si="337"/>
        <v>Medium</v>
      </c>
      <c r="O5405" t="str">
        <f t="shared" si="338"/>
        <v>High Balance</v>
      </c>
      <c r="P5405" t="str">
        <f t="shared" si="339"/>
        <v>Mid-term</v>
      </c>
    </row>
    <row r="5406" spans="1:16" x14ac:dyDescent="0.25">
      <c r="A5406">
        <v>2025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  <c r="M5406" t="str">
        <f t="shared" si="336"/>
        <v>30-45</v>
      </c>
      <c r="N5406" t="str">
        <f t="shared" si="337"/>
        <v>Medium</v>
      </c>
      <c r="O5406" t="str">
        <f t="shared" si="338"/>
        <v>Low Balance</v>
      </c>
      <c r="P5406" t="str">
        <f t="shared" si="339"/>
        <v>Mid-term</v>
      </c>
    </row>
    <row r="5407" spans="1:16" x14ac:dyDescent="0.25">
      <c r="A5407">
        <v>2025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  <c r="M5407" t="str">
        <f t="shared" si="336"/>
        <v>60+</v>
      </c>
      <c r="N5407" t="str">
        <f t="shared" si="337"/>
        <v>Medium</v>
      </c>
      <c r="O5407" t="str">
        <f t="shared" si="338"/>
        <v>High Balance</v>
      </c>
      <c r="P5407" t="str">
        <f t="shared" si="339"/>
        <v>New</v>
      </c>
    </row>
    <row r="5408" spans="1:16" x14ac:dyDescent="0.25">
      <c r="A5408">
        <v>2025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  <c r="M5408" t="str">
        <f t="shared" si="336"/>
        <v>46-60</v>
      </c>
      <c r="N5408" t="str">
        <f t="shared" si="337"/>
        <v>Medium</v>
      </c>
      <c r="O5408" t="str">
        <f t="shared" si="338"/>
        <v>High Balance</v>
      </c>
      <c r="P5408" t="str">
        <f t="shared" si="339"/>
        <v>Mid-term</v>
      </c>
    </row>
    <row r="5409" spans="1:16" x14ac:dyDescent="0.25">
      <c r="A5409">
        <v>2025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  <c r="M5409" t="str">
        <f t="shared" si="336"/>
        <v>30-45</v>
      </c>
      <c r="N5409" t="str">
        <f t="shared" si="337"/>
        <v>Medium</v>
      </c>
      <c r="O5409" t="str">
        <f t="shared" si="338"/>
        <v>High Balance</v>
      </c>
      <c r="P5409" t="str">
        <f t="shared" si="339"/>
        <v>New</v>
      </c>
    </row>
    <row r="5410" spans="1:16" x14ac:dyDescent="0.25">
      <c r="A5410">
        <v>2025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  <c r="M5410" t="str">
        <f t="shared" si="336"/>
        <v>46-60</v>
      </c>
      <c r="N5410" t="str">
        <f t="shared" si="337"/>
        <v>Medium</v>
      </c>
      <c r="O5410" t="str">
        <f t="shared" si="338"/>
        <v>Low Balance</v>
      </c>
      <c r="P5410" t="str">
        <f t="shared" si="339"/>
        <v>New</v>
      </c>
    </row>
    <row r="5411" spans="1:16" x14ac:dyDescent="0.25">
      <c r="A5411">
        <v>2025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  <c r="M5411" t="str">
        <f t="shared" si="336"/>
        <v>&lt;30</v>
      </c>
      <c r="N5411" t="str">
        <f t="shared" si="337"/>
        <v>Medium</v>
      </c>
      <c r="O5411" t="str">
        <f t="shared" si="338"/>
        <v>Zero Balance</v>
      </c>
      <c r="P5411" t="str">
        <f t="shared" si="339"/>
        <v>Mid-term</v>
      </c>
    </row>
    <row r="5412" spans="1:16" x14ac:dyDescent="0.25">
      <c r="A5412">
        <v>2025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  <c r="M5412" t="str">
        <f t="shared" si="336"/>
        <v>&lt;30</v>
      </c>
      <c r="N5412" t="str">
        <f t="shared" si="337"/>
        <v>Medium</v>
      </c>
      <c r="O5412" t="str">
        <f t="shared" si="338"/>
        <v>Zero Balance</v>
      </c>
      <c r="P5412" t="str">
        <f t="shared" si="339"/>
        <v>Mid-term</v>
      </c>
    </row>
    <row r="5413" spans="1:16" x14ac:dyDescent="0.25">
      <c r="A5413">
        <v>2025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  <c r="M5413" t="str">
        <f t="shared" si="336"/>
        <v>30-45</v>
      </c>
      <c r="N5413" t="str">
        <f t="shared" si="337"/>
        <v>Medium</v>
      </c>
      <c r="O5413" t="str">
        <f t="shared" si="338"/>
        <v>Zero Balance</v>
      </c>
      <c r="P5413" t="str">
        <f t="shared" si="339"/>
        <v>Mid-term</v>
      </c>
    </row>
    <row r="5414" spans="1:16" x14ac:dyDescent="0.25">
      <c r="A5414">
        <v>2025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  <c r="M5414" t="str">
        <f t="shared" si="336"/>
        <v>46-60</v>
      </c>
      <c r="N5414" t="str">
        <f t="shared" si="337"/>
        <v>High</v>
      </c>
      <c r="O5414" t="str">
        <f t="shared" si="338"/>
        <v>High Balance</v>
      </c>
      <c r="P5414" t="str">
        <f t="shared" si="339"/>
        <v>New</v>
      </c>
    </row>
    <row r="5415" spans="1:16" x14ac:dyDescent="0.25">
      <c r="A5415">
        <v>2025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  <c r="M5415" t="str">
        <f t="shared" si="336"/>
        <v>30-45</v>
      </c>
      <c r="N5415" t="str">
        <f t="shared" si="337"/>
        <v>Medium</v>
      </c>
      <c r="O5415" t="str">
        <f t="shared" si="338"/>
        <v>Zero Balance</v>
      </c>
      <c r="P5415" t="str">
        <f t="shared" si="339"/>
        <v>Mid-term</v>
      </c>
    </row>
    <row r="5416" spans="1:16" x14ac:dyDescent="0.25">
      <c r="A5416">
        <v>2025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  <c r="M5416" t="str">
        <f t="shared" si="336"/>
        <v>30-45</v>
      </c>
      <c r="N5416" t="str">
        <f t="shared" si="337"/>
        <v>Low</v>
      </c>
      <c r="O5416" t="str">
        <f t="shared" si="338"/>
        <v>High Balance</v>
      </c>
      <c r="P5416" t="str">
        <f t="shared" si="339"/>
        <v>New</v>
      </c>
    </row>
    <row r="5417" spans="1:16" x14ac:dyDescent="0.25">
      <c r="A5417">
        <v>2025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  <c r="M5417" t="str">
        <f t="shared" si="336"/>
        <v>&lt;30</v>
      </c>
      <c r="N5417" t="str">
        <f t="shared" si="337"/>
        <v>High</v>
      </c>
      <c r="O5417" t="str">
        <f t="shared" si="338"/>
        <v>High Balance</v>
      </c>
      <c r="P5417" t="str">
        <f t="shared" si="339"/>
        <v>New</v>
      </c>
    </row>
    <row r="5418" spans="1:16" x14ac:dyDescent="0.25">
      <c r="A5418">
        <v>2025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  <c r="M5418" t="str">
        <f t="shared" si="336"/>
        <v>46-60</v>
      </c>
      <c r="N5418" t="str">
        <f t="shared" si="337"/>
        <v>Medium</v>
      </c>
      <c r="O5418" t="str">
        <f t="shared" si="338"/>
        <v>Zero Balance</v>
      </c>
      <c r="P5418" t="str">
        <f t="shared" si="339"/>
        <v>Long-term</v>
      </c>
    </row>
    <row r="5419" spans="1:16" x14ac:dyDescent="0.25">
      <c r="A5419">
        <v>2025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  <c r="M5419" t="str">
        <f t="shared" si="336"/>
        <v>30-45</v>
      </c>
      <c r="N5419" t="str">
        <f t="shared" si="337"/>
        <v>Medium</v>
      </c>
      <c r="O5419" t="str">
        <f t="shared" si="338"/>
        <v>Zero Balance</v>
      </c>
      <c r="P5419" t="str">
        <f t="shared" si="339"/>
        <v>New</v>
      </c>
    </row>
    <row r="5420" spans="1:16" x14ac:dyDescent="0.25">
      <c r="A5420">
        <v>2025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  <c r="M5420" t="str">
        <f t="shared" si="336"/>
        <v>30-45</v>
      </c>
      <c r="N5420" t="str">
        <f t="shared" si="337"/>
        <v>Medium</v>
      </c>
      <c r="O5420" t="str">
        <f t="shared" si="338"/>
        <v>High Balance</v>
      </c>
      <c r="P5420" t="str">
        <f t="shared" si="339"/>
        <v>New</v>
      </c>
    </row>
    <row r="5421" spans="1:16" x14ac:dyDescent="0.25">
      <c r="A5421">
        <v>2025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  <c r="M5421" t="str">
        <f t="shared" si="336"/>
        <v>46-60</v>
      </c>
      <c r="N5421" t="str">
        <f t="shared" si="337"/>
        <v>High</v>
      </c>
      <c r="O5421" t="str">
        <f t="shared" si="338"/>
        <v>Low Balance</v>
      </c>
      <c r="P5421" t="str">
        <f t="shared" si="339"/>
        <v>Mid-term</v>
      </c>
    </row>
    <row r="5422" spans="1:16" x14ac:dyDescent="0.25">
      <c r="A5422">
        <v>2025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  <c r="M5422" t="str">
        <f t="shared" si="336"/>
        <v>&lt;30</v>
      </c>
      <c r="N5422" t="str">
        <f t="shared" si="337"/>
        <v>Medium</v>
      </c>
      <c r="O5422" t="str">
        <f t="shared" si="338"/>
        <v>High Balance</v>
      </c>
      <c r="P5422" t="str">
        <f t="shared" si="339"/>
        <v>Mid-term</v>
      </c>
    </row>
    <row r="5423" spans="1:16" x14ac:dyDescent="0.25">
      <c r="A5423">
        <v>2025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  <c r="M5423" t="str">
        <f t="shared" si="336"/>
        <v>30-45</v>
      </c>
      <c r="N5423" t="str">
        <f t="shared" si="337"/>
        <v>Medium</v>
      </c>
      <c r="O5423" t="str">
        <f t="shared" si="338"/>
        <v>Zero Balance</v>
      </c>
      <c r="P5423" t="str">
        <f t="shared" si="339"/>
        <v>Mid-term</v>
      </c>
    </row>
    <row r="5424" spans="1:16" x14ac:dyDescent="0.25">
      <c r="A5424">
        <v>2025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  <c r="M5424" t="str">
        <f t="shared" si="336"/>
        <v>30-45</v>
      </c>
      <c r="N5424" t="str">
        <f t="shared" si="337"/>
        <v>Medium</v>
      </c>
      <c r="O5424" t="str">
        <f t="shared" si="338"/>
        <v>High Balance</v>
      </c>
      <c r="P5424" t="str">
        <f t="shared" si="339"/>
        <v>New</v>
      </c>
    </row>
    <row r="5425" spans="1:16" x14ac:dyDescent="0.25">
      <c r="A5425">
        <v>2025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  <c r="M5425" t="str">
        <f t="shared" si="336"/>
        <v>30-45</v>
      </c>
      <c r="N5425" t="str">
        <f t="shared" si="337"/>
        <v>High</v>
      </c>
      <c r="O5425" t="str">
        <f t="shared" si="338"/>
        <v>Zero Balance</v>
      </c>
      <c r="P5425" t="str">
        <f t="shared" si="339"/>
        <v>Mid-term</v>
      </c>
    </row>
    <row r="5426" spans="1:16" x14ac:dyDescent="0.25">
      <c r="A5426">
        <v>2025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  <c r="M5426" t="str">
        <f t="shared" si="336"/>
        <v>30-45</v>
      </c>
      <c r="N5426" t="str">
        <f t="shared" si="337"/>
        <v>Medium</v>
      </c>
      <c r="O5426" t="str">
        <f t="shared" si="338"/>
        <v>High Balance</v>
      </c>
      <c r="P5426" t="str">
        <f t="shared" si="339"/>
        <v>Long-term</v>
      </c>
    </row>
    <row r="5427" spans="1:16" x14ac:dyDescent="0.25">
      <c r="A5427">
        <v>2025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  <c r="M5427" t="str">
        <f t="shared" si="336"/>
        <v>30-45</v>
      </c>
      <c r="N5427" t="str">
        <f t="shared" si="337"/>
        <v>Medium</v>
      </c>
      <c r="O5427" t="str">
        <f t="shared" si="338"/>
        <v>High Balance</v>
      </c>
      <c r="P5427" t="str">
        <f t="shared" si="339"/>
        <v>Long-term</v>
      </c>
    </row>
    <row r="5428" spans="1:16" x14ac:dyDescent="0.25">
      <c r="A5428">
        <v>2025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  <c r="M5428" t="str">
        <f t="shared" si="336"/>
        <v>30-45</v>
      </c>
      <c r="N5428" t="str">
        <f t="shared" si="337"/>
        <v>Medium</v>
      </c>
      <c r="O5428" t="str">
        <f t="shared" si="338"/>
        <v>Zero Balance</v>
      </c>
      <c r="P5428" t="str">
        <f t="shared" si="339"/>
        <v>New</v>
      </c>
    </row>
    <row r="5429" spans="1:16" x14ac:dyDescent="0.25">
      <c r="A5429">
        <v>2025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  <c r="M5429" t="str">
        <f t="shared" si="336"/>
        <v>30-45</v>
      </c>
      <c r="N5429" t="str">
        <f t="shared" si="337"/>
        <v>Medium</v>
      </c>
      <c r="O5429" t="str">
        <f t="shared" si="338"/>
        <v>High Balance</v>
      </c>
      <c r="P5429" t="str">
        <f t="shared" si="339"/>
        <v>New</v>
      </c>
    </row>
    <row r="5430" spans="1:16" x14ac:dyDescent="0.25">
      <c r="A5430">
        <v>2025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  <c r="M5430" t="str">
        <f t="shared" si="336"/>
        <v>30-45</v>
      </c>
      <c r="N5430" t="str">
        <f t="shared" si="337"/>
        <v>Medium</v>
      </c>
      <c r="O5430" t="str">
        <f t="shared" si="338"/>
        <v>Zero Balance</v>
      </c>
      <c r="P5430" t="str">
        <f t="shared" si="339"/>
        <v>New</v>
      </c>
    </row>
    <row r="5431" spans="1:16" x14ac:dyDescent="0.25">
      <c r="A5431">
        <v>2025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  <c r="M5431" t="str">
        <f t="shared" si="336"/>
        <v>46-60</v>
      </c>
      <c r="N5431" t="str">
        <f t="shared" si="337"/>
        <v>Medium</v>
      </c>
      <c r="O5431" t="str">
        <f t="shared" si="338"/>
        <v>Zero Balance</v>
      </c>
      <c r="P5431" t="str">
        <f t="shared" si="339"/>
        <v>Mid-term</v>
      </c>
    </row>
    <row r="5432" spans="1:16" x14ac:dyDescent="0.25">
      <c r="A5432">
        <v>2025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  <c r="M5432" t="str">
        <f t="shared" si="336"/>
        <v>&lt;30</v>
      </c>
      <c r="N5432" t="str">
        <f t="shared" si="337"/>
        <v>High</v>
      </c>
      <c r="O5432" t="str">
        <f t="shared" si="338"/>
        <v>Zero Balance</v>
      </c>
      <c r="P5432" t="str">
        <f t="shared" si="339"/>
        <v>Mid-term</v>
      </c>
    </row>
    <row r="5433" spans="1:16" x14ac:dyDescent="0.25">
      <c r="A5433">
        <v>2025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  <c r="M5433" t="str">
        <f t="shared" si="336"/>
        <v>&lt;30</v>
      </c>
      <c r="N5433" t="str">
        <f t="shared" si="337"/>
        <v>Medium</v>
      </c>
      <c r="O5433" t="str">
        <f t="shared" si="338"/>
        <v>High Balance</v>
      </c>
      <c r="P5433" t="str">
        <f t="shared" si="339"/>
        <v>Long-term</v>
      </c>
    </row>
    <row r="5434" spans="1:16" x14ac:dyDescent="0.25">
      <c r="A5434">
        <v>2025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  <c r="M5434" t="str">
        <f t="shared" si="336"/>
        <v>46-60</v>
      </c>
      <c r="N5434" t="str">
        <f t="shared" si="337"/>
        <v>Medium</v>
      </c>
      <c r="O5434" t="str">
        <f t="shared" si="338"/>
        <v>Zero Balance</v>
      </c>
      <c r="P5434" t="str">
        <f t="shared" si="339"/>
        <v>New</v>
      </c>
    </row>
    <row r="5435" spans="1:16" x14ac:dyDescent="0.25">
      <c r="A5435">
        <v>2025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  <c r="M5435" t="str">
        <f t="shared" si="336"/>
        <v>30-45</v>
      </c>
      <c r="N5435" t="str">
        <f t="shared" si="337"/>
        <v>Medium</v>
      </c>
      <c r="O5435" t="str">
        <f t="shared" si="338"/>
        <v>High Balance</v>
      </c>
      <c r="P5435" t="str">
        <f t="shared" si="339"/>
        <v>New</v>
      </c>
    </row>
    <row r="5436" spans="1:16" x14ac:dyDescent="0.25">
      <c r="A5436">
        <v>2025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  <c r="M5436" t="str">
        <f t="shared" si="336"/>
        <v>30-45</v>
      </c>
      <c r="N5436" t="str">
        <f t="shared" si="337"/>
        <v>High</v>
      </c>
      <c r="O5436" t="str">
        <f t="shared" si="338"/>
        <v>Zero Balance</v>
      </c>
      <c r="P5436" t="str">
        <f t="shared" si="339"/>
        <v>Mid-term</v>
      </c>
    </row>
    <row r="5437" spans="1:16" x14ac:dyDescent="0.25">
      <c r="A5437">
        <v>2025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  <c r="M5437" t="str">
        <f t="shared" si="336"/>
        <v>30-45</v>
      </c>
      <c r="N5437" t="str">
        <f t="shared" si="337"/>
        <v>Medium</v>
      </c>
      <c r="O5437" t="str">
        <f t="shared" si="338"/>
        <v>Zero Balance</v>
      </c>
      <c r="P5437" t="str">
        <f t="shared" si="339"/>
        <v>Mid-term</v>
      </c>
    </row>
    <row r="5438" spans="1:16" x14ac:dyDescent="0.25">
      <c r="A5438">
        <v>2025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  <c r="M5438" t="str">
        <f t="shared" si="336"/>
        <v>30-45</v>
      </c>
      <c r="N5438" t="str">
        <f t="shared" si="337"/>
        <v>High</v>
      </c>
      <c r="O5438" t="str">
        <f t="shared" si="338"/>
        <v>Zero Balance</v>
      </c>
      <c r="P5438" t="str">
        <f t="shared" si="339"/>
        <v>New</v>
      </c>
    </row>
    <row r="5439" spans="1:16" x14ac:dyDescent="0.25">
      <c r="A5439">
        <v>2025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  <c r="M5439" t="str">
        <f t="shared" si="336"/>
        <v>30-45</v>
      </c>
      <c r="N5439" t="str">
        <f t="shared" si="337"/>
        <v>Medium</v>
      </c>
      <c r="O5439" t="str">
        <f t="shared" si="338"/>
        <v>Low Balance</v>
      </c>
      <c r="P5439" t="str">
        <f t="shared" si="339"/>
        <v>Mid-term</v>
      </c>
    </row>
    <row r="5440" spans="1:16" x14ac:dyDescent="0.25">
      <c r="A5440">
        <v>2025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  <c r="M5440" t="str">
        <f t="shared" si="336"/>
        <v>30-45</v>
      </c>
      <c r="N5440" t="str">
        <f t="shared" si="337"/>
        <v>Medium</v>
      </c>
      <c r="O5440" t="str">
        <f t="shared" si="338"/>
        <v>High Balance</v>
      </c>
      <c r="P5440" t="str">
        <f t="shared" si="339"/>
        <v>Mid-term</v>
      </c>
    </row>
    <row r="5441" spans="1:16" x14ac:dyDescent="0.25">
      <c r="A5441">
        <v>2025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  <c r="M5441" t="str">
        <f t="shared" si="336"/>
        <v>60+</v>
      </c>
      <c r="N5441" t="str">
        <f t="shared" si="337"/>
        <v>High</v>
      </c>
      <c r="O5441" t="str">
        <f t="shared" si="338"/>
        <v>High Balance</v>
      </c>
      <c r="P5441" t="str">
        <f t="shared" si="339"/>
        <v>Mid-term</v>
      </c>
    </row>
    <row r="5442" spans="1:16" x14ac:dyDescent="0.25">
      <c r="A5442">
        <v>2025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  <c r="M5442" t="str">
        <f t="shared" si="336"/>
        <v>30-45</v>
      </c>
      <c r="N5442" t="str">
        <f t="shared" si="337"/>
        <v>Medium</v>
      </c>
      <c r="O5442" t="str">
        <f t="shared" si="338"/>
        <v>High Balance</v>
      </c>
      <c r="P5442" t="str">
        <f t="shared" si="339"/>
        <v>New</v>
      </c>
    </row>
    <row r="5443" spans="1:16" x14ac:dyDescent="0.25">
      <c r="A5443">
        <v>2025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  <c r="M5443" t="str">
        <f t="shared" ref="M5443:M5506" si="340">IF(E5443&lt;30,"&lt;30",IF(E5443&lt;=45,"30-45",IF(E5443&lt;=60,"46-60","60+")))</f>
        <v>&lt;30</v>
      </c>
      <c r="N5443" t="str">
        <f t="shared" ref="N5443:N5506" si="341">IF(B5443&lt;500,"Low",IF(B5443&lt;700,"Medium","High"))</f>
        <v>High</v>
      </c>
      <c r="O5443" t="str">
        <f t="shared" ref="O5443:O5506" si="342">IF(G5443=0,"Zero Balance",IF(G5443&lt;100000,"Low Balance","High Balance"))</f>
        <v>High Balance</v>
      </c>
      <c r="P5443" t="str">
        <f t="shared" ref="P5443:P5506" si="343">IF(F5443&lt;=3,"New",IF(F5443&lt;=7,"Mid-term","Long-term"))</f>
        <v>New</v>
      </c>
    </row>
    <row r="5444" spans="1:16" x14ac:dyDescent="0.25">
      <c r="A5444">
        <v>2025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  <c r="M5444" t="str">
        <f t="shared" si="340"/>
        <v>30-45</v>
      </c>
      <c r="N5444" t="str">
        <f t="shared" si="341"/>
        <v>Medium</v>
      </c>
      <c r="O5444" t="str">
        <f t="shared" si="342"/>
        <v>High Balance</v>
      </c>
      <c r="P5444" t="str">
        <f t="shared" si="343"/>
        <v>Long-term</v>
      </c>
    </row>
    <row r="5445" spans="1:16" x14ac:dyDescent="0.25">
      <c r="A5445">
        <v>2025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  <c r="M5445" t="str">
        <f t="shared" si="340"/>
        <v>&lt;30</v>
      </c>
      <c r="N5445" t="str">
        <f t="shared" si="341"/>
        <v>High</v>
      </c>
      <c r="O5445" t="str">
        <f t="shared" si="342"/>
        <v>High Balance</v>
      </c>
      <c r="P5445" t="str">
        <f t="shared" si="343"/>
        <v>New</v>
      </c>
    </row>
    <row r="5446" spans="1:16" x14ac:dyDescent="0.25">
      <c r="A5446">
        <v>2025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  <c r="M5446" t="str">
        <f t="shared" si="340"/>
        <v>30-45</v>
      </c>
      <c r="N5446" t="str">
        <f t="shared" si="341"/>
        <v>Medium</v>
      </c>
      <c r="O5446" t="str">
        <f t="shared" si="342"/>
        <v>High Balance</v>
      </c>
      <c r="P5446" t="str">
        <f t="shared" si="343"/>
        <v>Mid-term</v>
      </c>
    </row>
    <row r="5447" spans="1:16" x14ac:dyDescent="0.25">
      <c r="A5447">
        <v>2025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  <c r="M5447" t="str">
        <f t="shared" si="340"/>
        <v>30-45</v>
      </c>
      <c r="N5447" t="str">
        <f t="shared" si="341"/>
        <v>Low</v>
      </c>
      <c r="O5447" t="str">
        <f t="shared" si="342"/>
        <v>Zero Balance</v>
      </c>
      <c r="P5447" t="str">
        <f t="shared" si="343"/>
        <v>New</v>
      </c>
    </row>
    <row r="5448" spans="1:16" x14ac:dyDescent="0.25">
      <c r="A5448">
        <v>2025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  <c r="M5448" t="str">
        <f t="shared" si="340"/>
        <v>&lt;30</v>
      </c>
      <c r="N5448" t="str">
        <f t="shared" si="341"/>
        <v>Medium</v>
      </c>
      <c r="O5448" t="str">
        <f t="shared" si="342"/>
        <v>High Balance</v>
      </c>
      <c r="P5448" t="str">
        <f t="shared" si="343"/>
        <v>Long-term</v>
      </c>
    </row>
    <row r="5449" spans="1:16" x14ac:dyDescent="0.25">
      <c r="A5449">
        <v>2025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  <c r="M5449" t="str">
        <f t="shared" si="340"/>
        <v>46-60</v>
      </c>
      <c r="N5449" t="str">
        <f t="shared" si="341"/>
        <v>High</v>
      </c>
      <c r="O5449" t="str">
        <f t="shared" si="342"/>
        <v>Low Balance</v>
      </c>
      <c r="P5449" t="str">
        <f t="shared" si="343"/>
        <v>Long-term</v>
      </c>
    </row>
    <row r="5450" spans="1:16" x14ac:dyDescent="0.25">
      <c r="A5450">
        <v>2025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  <c r="M5450" t="str">
        <f t="shared" si="340"/>
        <v>30-45</v>
      </c>
      <c r="N5450" t="str">
        <f t="shared" si="341"/>
        <v>Medium</v>
      </c>
      <c r="O5450" t="str">
        <f t="shared" si="342"/>
        <v>High Balance</v>
      </c>
      <c r="P5450" t="str">
        <f t="shared" si="343"/>
        <v>Mid-term</v>
      </c>
    </row>
    <row r="5451" spans="1:16" x14ac:dyDescent="0.25">
      <c r="A5451">
        <v>2025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  <c r="M5451" t="str">
        <f t="shared" si="340"/>
        <v>46-60</v>
      </c>
      <c r="N5451" t="str">
        <f t="shared" si="341"/>
        <v>Medium</v>
      </c>
      <c r="O5451" t="str">
        <f t="shared" si="342"/>
        <v>Zero Balance</v>
      </c>
      <c r="P5451" t="str">
        <f t="shared" si="343"/>
        <v>Mid-term</v>
      </c>
    </row>
    <row r="5452" spans="1:16" x14ac:dyDescent="0.25">
      <c r="A5452">
        <v>2025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  <c r="M5452" t="str">
        <f t="shared" si="340"/>
        <v>30-45</v>
      </c>
      <c r="N5452" t="str">
        <f t="shared" si="341"/>
        <v>High</v>
      </c>
      <c r="O5452" t="str">
        <f t="shared" si="342"/>
        <v>Zero Balance</v>
      </c>
      <c r="P5452" t="str">
        <f t="shared" si="343"/>
        <v>Mid-term</v>
      </c>
    </row>
    <row r="5453" spans="1:16" x14ac:dyDescent="0.25">
      <c r="A5453">
        <v>2025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  <c r="M5453" t="str">
        <f t="shared" si="340"/>
        <v>30-45</v>
      </c>
      <c r="N5453" t="str">
        <f t="shared" si="341"/>
        <v>Medium</v>
      </c>
      <c r="O5453" t="str">
        <f t="shared" si="342"/>
        <v>Low Balance</v>
      </c>
      <c r="P5453" t="str">
        <f t="shared" si="343"/>
        <v>Mid-term</v>
      </c>
    </row>
    <row r="5454" spans="1:16" x14ac:dyDescent="0.25">
      <c r="A5454">
        <v>2025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  <c r="M5454" t="str">
        <f t="shared" si="340"/>
        <v>30-45</v>
      </c>
      <c r="N5454" t="str">
        <f t="shared" si="341"/>
        <v>Medium</v>
      </c>
      <c r="O5454" t="str">
        <f t="shared" si="342"/>
        <v>High Balance</v>
      </c>
      <c r="P5454" t="str">
        <f t="shared" si="343"/>
        <v>New</v>
      </c>
    </row>
    <row r="5455" spans="1:16" x14ac:dyDescent="0.25">
      <c r="A5455">
        <v>2025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  <c r="M5455" t="str">
        <f t="shared" si="340"/>
        <v>&lt;30</v>
      </c>
      <c r="N5455" t="str">
        <f t="shared" si="341"/>
        <v>High</v>
      </c>
      <c r="O5455" t="str">
        <f t="shared" si="342"/>
        <v>Zero Balance</v>
      </c>
      <c r="P5455" t="str">
        <f t="shared" si="343"/>
        <v>Mid-term</v>
      </c>
    </row>
    <row r="5456" spans="1:16" x14ac:dyDescent="0.25">
      <c r="A5456">
        <v>2025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  <c r="M5456" t="str">
        <f t="shared" si="340"/>
        <v>30-45</v>
      </c>
      <c r="N5456" t="str">
        <f t="shared" si="341"/>
        <v>High</v>
      </c>
      <c r="O5456" t="str">
        <f t="shared" si="342"/>
        <v>Zero Balance</v>
      </c>
      <c r="P5456" t="str">
        <f t="shared" si="343"/>
        <v>Mid-term</v>
      </c>
    </row>
    <row r="5457" spans="1:16" x14ac:dyDescent="0.25">
      <c r="A5457">
        <v>2025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  <c r="M5457" t="str">
        <f t="shared" si="340"/>
        <v>30-45</v>
      </c>
      <c r="N5457" t="str">
        <f t="shared" si="341"/>
        <v>High</v>
      </c>
      <c r="O5457" t="str">
        <f t="shared" si="342"/>
        <v>High Balance</v>
      </c>
      <c r="P5457" t="str">
        <f t="shared" si="343"/>
        <v>Long-term</v>
      </c>
    </row>
    <row r="5458" spans="1:16" x14ac:dyDescent="0.25">
      <c r="A5458">
        <v>2025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  <c r="M5458" t="str">
        <f t="shared" si="340"/>
        <v>30-45</v>
      </c>
      <c r="N5458" t="str">
        <f t="shared" si="341"/>
        <v>Medium</v>
      </c>
      <c r="O5458" t="str">
        <f t="shared" si="342"/>
        <v>High Balance</v>
      </c>
      <c r="P5458" t="str">
        <f t="shared" si="343"/>
        <v>Long-term</v>
      </c>
    </row>
    <row r="5459" spans="1:16" x14ac:dyDescent="0.25">
      <c r="A5459">
        <v>2025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  <c r="M5459" t="str">
        <f t="shared" si="340"/>
        <v>60+</v>
      </c>
      <c r="N5459" t="str">
        <f t="shared" si="341"/>
        <v>High</v>
      </c>
      <c r="O5459" t="str">
        <f t="shared" si="342"/>
        <v>Low Balance</v>
      </c>
      <c r="P5459" t="str">
        <f t="shared" si="343"/>
        <v>Long-term</v>
      </c>
    </row>
    <row r="5460" spans="1:16" x14ac:dyDescent="0.25">
      <c r="A5460">
        <v>2025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  <c r="M5460" t="str">
        <f t="shared" si="340"/>
        <v>30-45</v>
      </c>
      <c r="N5460" t="str">
        <f t="shared" si="341"/>
        <v>Medium</v>
      </c>
      <c r="O5460" t="str">
        <f t="shared" si="342"/>
        <v>High Balance</v>
      </c>
      <c r="P5460" t="str">
        <f t="shared" si="343"/>
        <v>New</v>
      </c>
    </row>
    <row r="5461" spans="1:16" x14ac:dyDescent="0.25">
      <c r="A5461">
        <v>2025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  <c r="M5461" t="str">
        <f t="shared" si="340"/>
        <v>30-45</v>
      </c>
      <c r="N5461" t="str">
        <f t="shared" si="341"/>
        <v>Medium</v>
      </c>
      <c r="O5461" t="str">
        <f t="shared" si="342"/>
        <v>Zero Balance</v>
      </c>
      <c r="P5461" t="str">
        <f t="shared" si="343"/>
        <v>Mid-term</v>
      </c>
    </row>
    <row r="5462" spans="1:16" x14ac:dyDescent="0.25">
      <c r="A5462">
        <v>2025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  <c r="M5462" t="str">
        <f t="shared" si="340"/>
        <v>30-45</v>
      </c>
      <c r="N5462" t="str">
        <f t="shared" si="341"/>
        <v>Medium</v>
      </c>
      <c r="O5462" t="str">
        <f t="shared" si="342"/>
        <v>High Balance</v>
      </c>
      <c r="P5462" t="str">
        <f t="shared" si="343"/>
        <v>Mid-term</v>
      </c>
    </row>
    <row r="5463" spans="1:16" x14ac:dyDescent="0.25">
      <c r="A5463">
        <v>2025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  <c r="M5463" t="str">
        <f t="shared" si="340"/>
        <v>30-45</v>
      </c>
      <c r="N5463" t="str">
        <f t="shared" si="341"/>
        <v>Medium</v>
      </c>
      <c r="O5463" t="str">
        <f t="shared" si="342"/>
        <v>High Balance</v>
      </c>
      <c r="P5463" t="str">
        <f t="shared" si="343"/>
        <v>New</v>
      </c>
    </row>
    <row r="5464" spans="1:16" x14ac:dyDescent="0.25">
      <c r="A5464">
        <v>2025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  <c r="M5464" t="str">
        <f t="shared" si="340"/>
        <v>&lt;30</v>
      </c>
      <c r="N5464" t="str">
        <f t="shared" si="341"/>
        <v>Medium</v>
      </c>
      <c r="O5464" t="str">
        <f t="shared" si="342"/>
        <v>Low Balance</v>
      </c>
      <c r="P5464" t="str">
        <f t="shared" si="343"/>
        <v>Mid-term</v>
      </c>
    </row>
    <row r="5465" spans="1:16" x14ac:dyDescent="0.25">
      <c r="A5465">
        <v>2025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  <c r="M5465" t="str">
        <f t="shared" si="340"/>
        <v>30-45</v>
      </c>
      <c r="N5465" t="str">
        <f t="shared" si="341"/>
        <v>High</v>
      </c>
      <c r="O5465" t="str">
        <f t="shared" si="342"/>
        <v>Zero Balance</v>
      </c>
      <c r="P5465" t="str">
        <f t="shared" si="343"/>
        <v>Mid-term</v>
      </c>
    </row>
    <row r="5466" spans="1:16" x14ac:dyDescent="0.25">
      <c r="A5466">
        <v>2025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  <c r="M5466" t="str">
        <f t="shared" si="340"/>
        <v>30-45</v>
      </c>
      <c r="N5466" t="str">
        <f t="shared" si="341"/>
        <v>Medium</v>
      </c>
      <c r="O5466" t="str">
        <f t="shared" si="342"/>
        <v>High Balance</v>
      </c>
      <c r="P5466" t="str">
        <f t="shared" si="343"/>
        <v>New</v>
      </c>
    </row>
    <row r="5467" spans="1:16" x14ac:dyDescent="0.25">
      <c r="A5467">
        <v>2025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  <c r="M5467" t="str">
        <f t="shared" si="340"/>
        <v>30-45</v>
      </c>
      <c r="N5467" t="str">
        <f t="shared" si="341"/>
        <v>Medium</v>
      </c>
      <c r="O5467" t="str">
        <f t="shared" si="342"/>
        <v>Low Balance</v>
      </c>
      <c r="P5467" t="str">
        <f t="shared" si="343"/>
        <v>New</v>
      </c>
    </row>
    <row r="5468" spans="1:16" x14ac:dyDescent="0.25">
      <c r="A5468">
        <v>2025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  <c r="M5468" t="str">
        <f t="shared" si="340"/>
        <v>30-45</v>
      </c>
      <c r="N5468" t="str">
        <f t="shared" si="341"/>
        <v>High</v>
      </c>
      <c r="O5468" t="str">
        <f t="shared" si="342"/>
        <v>High Balance</v>
      </c>
      <c r="P5468" t="str">
        <f t="shared" si="343"/>
        <v>New</v>
      </c>
    </row>
    <row r="5469" spans="1:16" x14ac:dyDescent="0.25">
      <c r="A5469">
        <v>2025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  <c r="M5469" t="str">
        <f t="shared" si="340"/>
        <v>30-45</v>
      </c>
      <c r="N5469" t="str">
        <f t="shared" si="341"/>
        <v>Medium</v>
      </c>
      <c r="O5469" t="str">
        <f t="shared" si="342"/>
        <v>High Balance</v>
      </c>
      <c r="P5469" t="str">
        <f t="shared" si="343"/>
        <v>New</v>
      </c>
    </row>
    <row r="5470" spans="1:16" x14ac:dyDescent="0.25">
      <c r="A5470">
        <v>2025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  <c r="M5470" t="str">
        <f t="shared" si="340"/>
        <v>30-45</v>
      </c>
      <c r="N5470" t="str">
        <f t="shared" si="341"/>
        <v>Medium</v>
      </c>
      <c r="O5470" t="str">
        <f t="shared" si="342"/>
        <v>Zero Balance</v>
      </c>
      <c r="P5470" t="str">
        <f t="shared" si="343"/>
        <v>Mid-term</v>
      </c>
    </row>
    <row r="5471" spans="1:16" x14ac:dyDescent="0.25">
      <c r="A5471">
        <v>2025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  <c r="M5471" t="str">
        <f t="shared" si="340"/>
        <v>&lt;30</v>
      </c>
      <c r="N5471" t="str">
        <f t="shared" si="341"/>
        <v>High</v>
      </c>
      <c r="O5471" t="str">
        <f t="shared" si="342"/>
        <v>Zero Balance</v>
      </c>
      <c r="P5471" t="str">
        <f t="shared" si="343"/>
        <v>Mid-term</v>
      </c>
    </row>
    <row r="5472" spans="1:16" x14ac:dyDescent="0.25">
      <c r="A5472">
        <v>2025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  <c r="M5472" t="str">
        <f t="shared" si="340"/>
        <v>&lt;30</v>
      </c>
      <c r="N5472" t="str">
        <f t="shared" si="341"/>
        <v>Medium</v>
      </c>
      <c r="O5472" t="str">
        <f t="shared" si="342"/>
        <v>High Balance</v>
      </c>
      <c r="P5472" t="str">
        <f t="shared" si="343"/>
        <v>New</v>
      </c>
    </row>
    <row r="5473" spans="1:16" x14ac:dyDescent="0.25">
      <c r="A5473">
        <v>2025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  <c r="M5473" t="str">
        <f t="shared" si="340"/>
        <v>30-45</v>
      </c>
      <c r="N5473" t="str">
        <f t="shared" si="341"/>
        <v>High</v>
      </c>
      <c r="O5473" t="str">
        <f t="shared" si="342"/>
        <v>High Balance</v>
      </c>
      <c r="P5473" t="str">
        <f t="shared" si="343"/>
        <v>Long-term</v>
      </c>
    </row>
    <row r="5474" spans="1:16" x14ac:dyDescent="0.25">
      <c r="A5474">
        <v>2025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  <c r="M5474" t="str">
        <f t="shared" si="340"/>
        <v>30-45</v>
      </c>
      <c r="N5474" t="str">
        <f t="shared" si="341"/>
        <v>Low</v>
      </c>
      <c r="O5474" t="str">
        <f t="shared" si="342"/>
        <v>High Balance</v>
      </c>
      <c r="P5474" t="str">
        <f t="shared" si="343"/>
        <v>Mid-term</v>
      </c>
    </row>
    <row r="5475" spans="1:16" x14ac:dyDescent="0.25">
      <c r="A5475">
        <v>2025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  <c r="M5475" t="str">
        <f t="shared" si="340"/>
        <v>30-45</v>
      </c>
      <c r="N5475" t="str">
        <f t="shared" si="341"/>
        <v>High</v>
      </c>
      <c r="O5475" t="str">
        <f t="shared" si="342"/>
        <v>High Balance</v>
      </c>
      <c r="P5475" t="str">
        <f t="shared" si="343"/>
        <v>New</v>
      </c>
    </row>
    <row r="5476" spans="1:16" x14ac:dyDescent="0.25">
      <c r="A5476">
        <v>2025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  <c r="M5476" t="str">
        <f t="shared" si="340"/>
        <v>30-45</v>
      </c>
      <c r="N5476" t="str">
        <f t="shared" si="341"/>
        <v>Medium</v>
      </c>
      <c r="O5476" t="str">
        <f t="shared" si="342"/>
        <v>Zero Balance</v>
      </c>
      <c r="P5476" t="str">
        <f t="shared" si="343"/>
        <v>Long-term</v>
      </c>
    </row>
    <row r="5477" spans="1:16" x14ac:dyDescent="0.25">
      <c r="A5477">
        <v>2025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  <c r="M5477" t="str">
        <f t="shared" si="340"/>
        <v>30-45</v>
      </c>
      <c r="N5477" t="str">
        <f t="shared" si="341"/>
        <v>Medium</v>
      </c>
      <c r="O5477" t="str">
        <f t="shared" si="342"/>
        <v>High Balance</v>
      </c>
      <c r="P5477" t="str">
        <f t="shared" si="343"/>
        <v>Mid-term</v>
      </c>
    </row>
    <row r="5478" spans="1:16" x14ac:dyDescent="0.25">
      <c r="A5478">
        <v>2025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  <c r="M5478" t="str">
        <f t="shared" si="340"/>
        <v>46-60</v>
      </c>
      <c r="N5478" t="str">
        <f t="shared" si="341"/>
        <v>High</v>
      </c>
      <c r="O5478" t="str">
        <f t="shared" si="342"/>
        <v>High Balance</v>
      </c>
      <c r="P5478" t="str">
        <f t="shared" si="343"/>
        <v>New</v>
      </c>
    </row>
    <row r="5479" spans="1:16" x14ac:dyDescent="0.25">
      <c r="A5479">
        <v>2025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  <c r="M5479" t="str">
        <f t="shared" si="340"/>
        <v>30-45</v>
      </c>
      <c r="N5479" t="str">
        <f t="shared" si="341"/>
        <v>High</v>
      </c>
      <c r="O5479" t="str">
        <f t="shared" si="342"/>
        <v>Zero Balance</v>
      </c>
      <c r="P5479" t="str">
        <f t="shared" si="343"/>
        <v>New</v>
      </c>
    </row>
    <row r="5480" spans="1:16" x14ac:dyDescent="0.25">
      <c r="A5480">
        <v>2025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  <c r="M5480" t="str">
        <f t="shared" si="340"/>
        <v>30-45</v>
      </c>
      <c r="N5480" t="str">
        <f t="shared" si="341"/>
        <v>Medium</v>
      </c>
      <c r="O5480" t="str">
        <f t="shared" si="342"/>
        <v>High Balance</v>
      </c>
      <c r="P5480" t="str">
        <f t="shared" si="343"/>
        <v>Long-term</v>
      </c>
    </row>
    <row r="5481" spans="1:16" x14ac:dyDescent="0.25">
      <c r="A5481">
        <v>2025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  <c r="M5481" t="str">
        <f t="shared" si="340"/>
        <v>30-45</v>
      </c>
      <c r="N5481" t="str">
        <f t="shared" si="341"/>
        <v>Medium</v>
      </c>
      <c r="O5481" t="str">
        <f t="shared" si="342"/>
        <v>High Balance</v>
      </c>
      <c r="P5481" t="str">
        <f t="shared" si="343"/>
        <v>New</v>
      </c>
    </row>
    <row r="5482" spans="1:16" x14ac:dyDescent="0.25">
      <c r="A5482">
        <v>2025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  <c r="M5482" t="str">
        <f t="shared" si="340"/>
        <v>30-45</v>
      </c>
      <c r="N5482" t="str">
        <f t="shared" si="341"/>
        <v>High</v>
      </c>
      <c r="O5482" t="str">
        <f t="shared" si="342"/>
        <v>High Balance</v>
      </c>
      <c r="P5482" t="str">
        <f t="shared" si="343"/>
        <v>Long-term</v>
      </c>
    </row>
    <row r="5483" spans="1:16" x14ac:dyDescent="0.25">
      <c r="A5483">
        <v>2025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  <c r="M5483" t="str">
        <f t="shared" si="340"/>
        <v>30-45</v>
      </c>
      <c r="N5483" t="str">
        <f t="shared" si="341"/>
        <v>Medium</v>
      </c>
      <c r="O5483" t="str">
        <f t="shared" si="342"/>
        <v>High Balance</v>
      </c>
      <c r="P5483" t="str">
        <f t="shared" si="343"/>
        <v>New</v>
      </c>
    </row>
    <row r="5484" spans="1:16" x14ac:dyDescent="0.25">
      <c r="A5484">
        <v>2025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  <c r="M5484" t="str">
        <f t="shared" si="340"/>
        <v>46-60</v>
      </c>
      <c r="N5484" t="str">
        <f t="shared" si="341"/>
        <v>Medium</v>
      </c>
      <c r="O5484" t="str">
        <f t="shared" si="342"/>
        <v>Zero Balance</v>
      </c>
      <c r="P5484" t="str">
        <f t="shared" si="343"/>
        <v>New</v>
      </c>
    </row>
    <row r="5485" spans="1:16" x14ac:dyDescent="0.25">
      <c r="A5485">
        <v>2025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  <c r="M5485" t="str">
        <f t="shared" si="340"/>
        <v>&lt;30</v>
      </c>
      <c r="N5485" t="str">
        <f t="shared" si="341"/>
        <v>Medium</v>
      </c>
      <c r="O5485" t="str">
        <f t="shared" si="342"/>
        <v>High Balance</v>
      </c>
      <c r="P5485" t="str">
        <f t="shared" si="343"/>
        <v>New</v>
      </c>
    </row>
    <row r="5486" spans="1:16" x14ac:dyDescent="0.25">
      <c r="A5486">
        <v>2025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  <c r="M5486" t="str">
        <f t="shared" si="340"/>
        <v>30-45</v>
      </c>
      <c r="N5486" t="str">
        <f t="shared" si="341"/>
        <v>High</v>
      </c>
      <c r="O5486" t="str">
        <f t="shared" si="342"/>
        <v>High Balance</v>
      </c>
      <c r="P5486" t="str">
        <f t="shared" si="343"/>
        <v>New</v>
      </c>
    </row>
    <row r="5487" spans="1:16" x14ac:dyDescent="0.25">
      <c r="A5487">
        <v>2025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  <c r="M5487" t="str">
        <f t="shared" si="340"/>
        <v>30-45</v>
      </c>
      <c r="N5487" t="str">
        <f t="shared" si="341"/>
        <v>Medium</v>
      </c>
      <c r="O5487" t="str">
        <f t="shared" si="342"/>
        <v>Zero Balance</v>
      </c>
      <c r="P5487" t="str">
        <f t="shared" si="343"/>
        <v>Mid-term</v>
      </c>
    </row>
    <row r="5488" spans="1:16" x14ac:dyDescent="0.25">
      <c r="A5488">
        <v>2025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  <c r="M5488" t="str">
        <f t="shared" si="340"/>
        <v>30-45</v>
      </c>
      <c r="N5488" t="str">
        <f t="shared" si="341"/>
        <v>High</v>
      </c>
      <c r="O5488" t="str">
        <f t="shared" si="342"/>
        <v>Zero Balance</v>
      </c>
      <c r="P5488" t="str">
        <f t="shared" si="343"/>
        <v>Mid-term</v>
      </c>
    </row>
    <row r="5489" spans="1:16" x14ac:dyDescent="0.25">
      <c r="A5489">
        <v>2025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  <c r="M5489" t="str">
        <f t="shared" si="340"/>
        <v>30-45</v>
      </c>
      <c r="N5489" t="str">
        <f t="shared" si="341"/>
        <v>High</v>
      </c>
      <c r="O5489" t="str">
        <f t="shared" si="342"/>
        <v>Zero Balance</v>
      </c>
      <c r="P5489" t="str">
        <f t="shared" si="343"/>
        <v>Long-term</v>
      </c>
    </row>
    <row r="5490" spans="1:16" x14ac:dyDescent="0.25">
      <c r="A5490">
        <v>2025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  <c r="M5490" t="str">
        <f t="shared" si="340"/>
        <v>30-45</v>
      </c>
      <c r="N5490" t="str">
        <f t="shared" si="341"/>
        <v>Low</v>
      </c>
      <c r="O5490" t="str">
        <f t="shared" si="342"/>
        <v>High Balance</v>
      </c>
      <c r="P5490" t="str">
        <f t="shared" si="343"/>
        <v>Mid-term</v>
      </c>
    </row>
    <row r="5491" spans="1:16" x14ac:dyDescent="0.25">
      <c r="A5491">
        <v>2025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  <c r="M5491" t="str">
        <f t="shared" si="340"/>
        <v>30-45</v>
      </c>
      <c r="N5491" t="str">
        <f t="shared" si="341"/>
        <v>High</v>
      </c>
      <c r="O5491" t="str">
        <f t="shared" si="342"/>
        <v>High Balance</v>
      </c>
      <c r="P5491" t="str">
        <f t="shared" si="343"/>
        <v>Long-term</v>
      </c>
    </row>
    <row r="5492" spans="1:16" x14ac:dyDescent="0.25">
      <c r="A5492">
        <v>2025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  <c r="M5492" t="str">
        <f t="shared" si="340"/>
        <v>60+</v>
      </c>
      <c r="N5492" t="str">
        <f t="shared" si="341"/>
        <v>Medium</v>
      </c>
      <c r="O5492" t="str">
        <f t="shared" si="342"/>
        <v>Zero Balance</v>
      </c>
      <c r="P5492" t="str">
        <f t="shared" si="343"/>
        <v>New</v>
      </c>
    </row>
    <row r="5493" spans="1:16" x14ac:dyDescent="0.25">
      <c r="A5493">
        <v>2025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  <c r="M5493" t="str">
        <f t="shared" si="340"/>
        <v>30-45</v>
      </c>
      <c r="N5493" t="str">
        <f t="shared" si="341"/>
        <v>Medium</v>
      </c>
      <c r="O5493" t="str">
        <f t="shared" si="342"/>
        <v>High Balance</v>
      </c>
      <c r="P5493" t="str">
        <f t="shared" si="343"/>
        <v>Mid-term</v>
      </c>
    </row>
    <row r="5494" spans="1:16" x14ac:dyDescent="0.25">
      <c r="A5494">
        <v>2025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  <c r="M5494" t="str">
        <f t="shared" si="340"/>
        <v>30-45</v>
      </c>
      <c r="N5494" t="str">
        <f t="shared" si="341"/>
        <v>High</v>
      </c>
      <c r="O5494" t="str">
        <f t="shared" si="342"/>
        <v>High Balance</v>
      </c>
      <c r="P5494" t="str">
        <f t="shared" si="343"/>
        <v>Mid-term</v>
      </c>
    </row>
    <row r="5495" spans="1:16" x14ac:dyDescent="0.25">
      <c r="A5495">
        <v>2025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  <c r="M5495" t="str">
        <f t="shared" si="340"/>
        <v>30-45</v>
      </c>
      <c r="N5495" t="str">
        <f t="shared" si="341"/>
        <v>Medium</v>
      </c>
      <c r="O5495" t="str">
        <f t="shared" si="342"/>
        <v>Zero Balance</v>
      </c>
      <c r="P5495" t="str">
        <f t="shared" si="343"/>
        <v>Long-term</v>
      </c>
    </row>
    <row r="5496" spans="1:16" x14ac:dyDescent="0.25">
      <c r="A5496">
        <v>2025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  <c r="M5496" t="str">
        <f t="shared" si="340"/>
        <v>46-60</v>
      </c>
      <c r="N5496" t="str">
        <f t="shared" si="341"/>
        <v>Low</v>
      </c>
      <c r="O5496" t="str">
        <f t="shared" si="342"/>
        <v>Low Balance</v>
      </c>
      <c r="P5496" t="str">
        <f t="shared" si="343"/>
        <v>Long-term</v>
      </c>
    </row>
    <row r="5497" spans="1:16" x14ac:dyDescent="0.25">
      <c r="A5497">
        <v>2025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  <c r="M5497" t="str">
        <f t="shared" si="340"/>
        <v>30-45</v>
      </c>
      <c r="N5497" t="str">
        <f t="shared" si="341"/>
        <v>High</v>
      </c>
      <c r="O5497" t="str">
        <f t="shared" si="342"/>
        <v>Zero Balance</v>
      </c>
      <c r="P5497" t="str">
        <f t="shared" si="343"/>
        <v>Long-term</v>
      </c>
    </row>
    <row r="5498" spans="1:16" x14ac:dyDescent="0.25">
      <c r="A5498">
        <v>2025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  <c r="M5498" t="str">
        <f t="shared" si="340"/>
        <v>30-45</v>
      </c>
      <c r="N5498" t="str">
        <f t="shared" si="341"/>
        <v>Medium</v>
      </c>
      <c r="O5498" t="str">
        <f t="shared" si="342"/>
        <v>Zero Balance</v>
      </c>
      <c r="P5498" t="str">
        <f t="shared" si="343"/>
        <v>New</v>
      </c>
    </row>
    <row r="5499" spans="1:16" x14ac:dyDescent="0.25">
      <c r="A5499">
        <v>2025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  <c r="M5499" t="str">
        <f t="shared" si="340"/>
        <v>30-45</v>
      </c>
      <c r="N5499" t="str">
        <f t="shared" si="341"/>
        <v>High</v>
      </c>
      <c r="O5499" t="str">
        <f t="shared" si="342"/>
        <v>High Balance</v>
      </c>
      <c r="P5499" t="str">
        <f t="shared" si="343"/>
        <v>Long-term</v>
      </c>
    </row>
    <row r="5500" spans="1:16" x14ac:dyDescent="0.25">
      <c r="A5500">
        <v>2025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  <c r="M5500" t="str">
        <f t="shared" si="340"/>
        <v>30-45</v>
      </c>
      <c r="N5500" t="str">
        <f t="shared" si="341"/>
        <v>Medium</v>
      </c>
      <c r="O5500" t="str">
        <f t="shared" si="342"/>
        <v>High Balance</v>
      </c>
      <c r="P5500" t="str">
        <f t="shared" si="343"/>
        <v>New</v>
      </c>
    </row>
    <row r="5501" spans="1:16" x14ac:dyDescent="0.25">
      <c r="A5501">
        <v>2025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  <c r="M5501" t="str">
        <f t="shared" si="340"/>
        <v>&lt;30</v>
      </c>
      <c r="N5501" t="str">
        <f t="shared" si="341"/>
        <v>High</v>
      </c>
      <c r="O5501" t="str">
        <f t="shared" si="342"/>
        <v>High Balance</v>
      </c>
      <c r="P5501" t="str">
        <f t="shared" si="343"/>
        <v>Long-term</v>
      </c>
    </row>
    <row r="5502" spans="1:16" x14ac:dyDescent="0.25">
      <c r="A5502">
        <v>2025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  <c r="M5502" t="str">
        <f t="shared" si="340"/>
        <v>46-60</v>
      </c>
      <c r="N5502" t="str">
        <f t="shared" si="341"/>
        <v>Medium</v>
      </c>
      <c r="O5502" t="str">
        <f t="shared" si="342"/>
        <v>Low Balance</v>
      </c>
      <c r="P5502" t="str">
        <f t="shared" si="343"/>
        <v>Long-term</v>
      </c>
    </row>
    <row r="5503" spans="1:16" x14ac:dyDescent="0.25">
      <c r="A5503">
        <v>2025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  <c r="M5503" t="str">
        <f t="shared" si="340"/>
        <v>30-45</v>
      </c>
      <c r="N5503" t="str">
        <f t="shared" si="341"/>
        <v>Medium</v>
      </c>
      <c r="O5503" t="str">
        <f t="shared" si="342"/>
        <v>High Balance</v>
      </c>
      <c r="P5503" t="str">
        <f t="shared" si="343"/>
        <v>Long-term</v>
      </c>
    </row>
    <row r="5504" spans="1:16" x14ac:dyDescent="0.25">
      <c r="A5504">
        <v>2025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  <c r="M5504" t="str">
        <f t="shared" si="340"/>
        <v>30-45</v>
      </c>
      <c r="N5504" t="str">
        <f t="shared" si="341"/>
        <v>Medium</v>
      </c>
      <c r="O5504" t="str">
        <f t="shared" si="342"/>
        <v>High Balance</v>
      </c>
      <c r="P5504" t="str">
        <f t="shared" si="343"/>
        <v>New</v>
      </c>
    </row>
    <row r="5505" spans="1:16" x14ac:dyDescent="0.25">
      <c r="A5505">
        <v>2025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  <c r="M5505" t="str">
        <f t="shared" si="340"/>
        <v>&lt;30</v>
      </c>
      <c r="N5505" t="str">
        <f t="shared" si="341"/>
        <v>High</v>
      </c>
      <c r="O5505" t="str">
        <f t="shared" si="342"/>
        <v>High Balance</v>
      </c>
      <c r="P5505" t="str">
        <f t="shared" si="343"/>
        <v>Long-term</v>
      </c>
    </row>
    <row r="5506" spans="1:16" x14ac:dyDescent="0.25">
      <c r="A5506">
        <v>2025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  <c r="M5506" t="str">
        <f t="shared" si="340"/>
        <v>30-45</v>
      </c>
      <c r="N5506" t="str">
        <f t="shared" si="341"/>
        <v>High</v>
      </c>
      <c r="O5506" t="str">
        <f t="shared" si="342"/>
        <v>High Balance</v>
      </c>
      <c r="P5506" t="str">
        <f t="shared" si="343"/>
        <v>New</v>
      </c>
    </row>
    <row r="5507" spans="1:16" x14ac:dyDescent="0.25">
      <c r="A5507">
        <v>2025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  <c r="M5507" t="str">
        <f t="shared" ref="M5507:M5570" si="344">IF(E5507&lt;30,"&lt;30",IF(E5507&lt;=45,"30-45",IF(E5507&lt;=60,"46-60","60+")))</f>
        <v>46-60</v>
      </c>
      <c r="N5507" t="str">
        <f t="shared" ref="N5507:N5570" si="345">IF(B5507&lt;500,"Low",IF(B5507&lt;700,"Medium","High"))</f>
        <v>Medium</v>
      </c>
      <c r="O5507" t="str">
        <f t="shared" ref="O5507:O5570" si="346">IF(G5507=0,"Zero Balance",IF(G5507&lt;100000,"Low Balance","High Balance"))</f>
        <v>Zero Balance</v>
      </c>
      <c r="P5507" t="str">
        <f t="shared" ref="P5507:P5570" si="347">IF(F5507&lt;=3,"New",IF(F5507&lt;=7,"Mid-term","Long-term"))</f>
        <v>Mid-term</v>
      </c>
    </row>
    <row r="5508" spans="1:16" x14ac:dyDescent="0.25">
      <c r="A5508">
        <v>2025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  <c r="M5508" t="str">
        <f t="shared" si="344"/>
        <v>30-45</v>
      </c>
      <c r="N5508" t="str">
        <f t="shared" si="345"/>
        <v>Medium</v>
      </c>
      <c r="O5508" t="str">
        <f t="shared" si="346"/>
        <v>Low Balance</v>
      </c>
      <c r="P5508" t="str">
        <f t="shared" si="347"/>
        <v>New</v>
      </c>
    </row>
    <row r="5509" spans="1:16" x14ac:dyDescent="0.25">
      <c r="A5509">
        <v>2025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  <c r="M5509" t="str">
        <f t="shared" si="344"/>
        <v>30-45</v>
      </c>
      <c r="N5509" t="str">
        <f t="shared" si="345"/>
        <v>Medium</v>
      </c>
      <c r="O5509" t="str">
        <f t="shared" si="346"/>
        <v>Low Balance</v>
      </c>
      <c r="P5509" t="str">
        <f t="shared" si="347"/>
        <v>New</v>
      </c>
    </row>
    <row r="5510" spans="1:16" x14ac:dyDescent="0.25">
      <c r="A5510">
        <v>2025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  <c r="M5510" t="str">
        <f t="shared" si="344"/>
        <v>60+</v>
      </c>
      <c r="N5510" t="str">
        <f t="shared" si="345"/>
        <v>Medium</v>
      </c>
      <c r="O5510" t="str">
        <f t="shared" si="346"/>
        <v>Zero Balance</v>
      </c>
      <c r="P5510" t="str">
        <f t="shared" si="347"/>
        <v>New</v>
      </c>
    </row>
    <row r="5511" spans="1:16" x14ac:dyDescent="0.25">
      <c r="A5511">
        <v>2025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  <c r="M5511" t="str">
        <f t="shared" si="344"/>
        <v>30-45</v>
      </c>
      <c r="N5511" t="str">
        <f t="shared" si="345"/>
        <v>Medium</v>
      </c>
      <c r="O5511" t="str">
        <f t="shared" si="346"/>
        <v>Zero Balance</v>
      </c>
      <c r="P5511" t="str">
        <f t="shared" si="347"/>
        <v>Long-term</v>
      </c>
    </row>
    <row r="5512" spans="1:16" x14ac:dyDescent="0.25">
      <c r="A5512">
        <v>2025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  <c r="M5512" t="str">
        <f t="shared" si="344"/>
        <v>46-60</v>
      </c>
      <c r="N5512" t="str">
        <f t="shared" si="345"/>
        <v>Medium</v>
      </c>
      <c r="O5512" t="str">
        <f t="shared" si="346"/>
        <v>High Balance</v>
      </c>
      <c r="P5512" t="str">
        <f t="shared" si="347"/>
        <v>New</v>
      </c>
    </row>
    <row r="5513" spans="1:16" x14ac:dyDescent="0.25">
      <c r="A5513">
        <v>2025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  <c r="M5513" t="str">
        <f t="shared" si="344"/>
        <v>30-45</v>
      </c>
      <c r="N5513" t="str">
        <f t="shared" si="345"/>
        <v>Medium</v>
      </c>
      <c r="O5513" t="str">
        <f t="shared" si="346"/>
        <v>High Balance</v>
      </c>
      <c r="P5513" t="str">
        <f t="shared" si="347"/>
        <v>New</v>
      </c>
    </row>
    <row r="5514" spans="1:16" x14ac:dyDescent="0.25">
      <c r="A5514">
        <v>2025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  <c r="M5514" t="str">
        <f t="shared" si="344"/>
        <v>30-45</v>
      </c>
      <c r="N5514" t="str">
        <f t="shared" si="345"/>
        <v>Medium</v>
      </c>
      <c r="O5514" t="str">
        <f t="shared" si="346"/>
        <v>High Balance</v>
      </c>
      <c r="P5514" t="str">
        <f t="shared" si="347"/>
        <v>New</v>
      </c>
    </row>
    <row r="5515" spans="1:16" x14ac:dyDescent="0.25">
      <c r="A5515">
        <v>2025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  <c r="M5515" t="str">
        <f t="shared" si="344"/>
        <v>30-45</v>
      </c>
      <c r="N5515" t="str">
        <f t="shared" si="345"/>
        <v>High</v>
      </c>
      <c r="O5515" t="str">
        <f t="shared" si="346"/>
        <v>Zero Balance</v>
      </c>
      <c r="P5515" t="str">
        <f t="shared" si="347"/>
        <v>Long-term</v>
      </c>
    </row>
    <row r="5516" spans="1:16" x14ac:dyDescent="0.25">
      <c r="A5516">
        <v>2025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  <c r="M5516" t="str">
        <f t="shared" si="344"/>
        <v>60+</v>
      </c>
      <c r="N5516" t="str">
        <f t="shared" si="345"/>
        <v>Medium</v>
      </c>
      <c r="O5516" t="str">
        <f t="shared" si="346"/>
        <v>Low Balance</v>
      </c>
      <c r="P5516" t="str">
        <f t="shared" si="347"/>
        <v>Mid-term</v>
      </c>
    </row>
    <row r="5517" spans="1:16" x14ac:dyDescent="0.25">
      <c r="A5517">
        <v>2025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  <c r="M5517" t="str">
        <f t="shared" si="344"/>
        <v>&lt;30</v>
      </c>
      <c r="N5517" t="str">
        <f t="shared" si="345"/>
        <v>Medium</v>
      </c>
      <c r="O5517" t="str">
        <f t="shared" si="346"/>
        <v>High Balance</v>
      </c>
      <c r="P5517" t="str">
        <f t="shared" si="347"/>
        <v>New</v>
      </c>
    </row>
    <row r="5518" spans="1:16" x14ac:dyDescent="0.25">
      <c r="A5518">
        <v>2025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  <c r="M5518" t="str">
        <f t="shared" si="344"/>
        <v>30-45</v>
      </c>
      <c r="N5518" t="str">
        <f t="shared" si="345"/>
        <v>Medium</v>
      </c>
      <c r="O5518" t="str">
        <f t="shared" si="346"/>
        <v>Low Balance</v>
      </c>
      <c r="P5518" t="str">
        <f t="shared" si="347"/>
        <v>New</v>
      </c>
    </row>
    <row r="5519" spans="1:16" x14ac:dyDescent="0.25">
      <c r="A5519">
        <v>2025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  <c r="M5519" t="str">
        <f t="shared" si="344"/>
        <v>30-45</v>
      </c>
      <c r="N5519" t="str">
        <f t="shared" si="345"/>
        <v>Low</v>
      </c>
      <c r="O5519" t="str">
        <f t="shared" si="346"/>
        <v>Zero Balance</v>
      </c>
      <c r="P5519" t="str">
        <f t="shared" si="347"/>
        <v>Long-term</v>
      </c>
    </row>
    <row r="5520" spans="1:16" x14ac:dyDescent="0.25">
      <c r="A5520">
        <v>2025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  <c r="M5520" t="str">
        <f t="shared" si="344"/>
        <v>30-45</v>
      </c>
      <c r="N5520" t="str">
        <f t="shared" si="345"/>
        <v>Medium</v>
      </c>
      <c r="O5520" t="str">
        <f t="shared" si="346"/>
        <v>Zero Balance</v>
      </c>
      <c r="P5520" t="str">
        <f t="shared" si="347"/>
        <v>Mid-term</v>
      </c>
    </row>
    <row r="5521" spans="1:16" x14ac:dyDescent="0.25">
      <c r="A5521">
        <v>2025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  <c r="M5521" t="str">
        <f t="shared" si="344"/>
        <v>30-45</v>
      </c>
      <c r="N5521" t="str">
        <f t="shared" si="345"/>
        <v>Medium</v>
      </c>
      <c r="O5521" t="str">
        <f t="shared" si="346"/>
        <v>High Balance</v>
      </c>
      <c r="P5521" t="str">
        <f t="shared" si="347"/>
        <v>New</v>
      </c>
    </row>
    <row r="5522" spans="1:16" x14ac:dyDescent="0.25">
      <c r="A5522">
        <v>2025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  <c r="M5522" t="str">
        <f t="shared" si="344"/>
        <v>60+</v>
      </c>
      <c r="N5522" t="str">
        <f t="shared" si="345"/>
        <v>Medium</v>
      </c>
      <c r="O5522" t="str">
        <f t="shared" si="346"/>
        <v>High Balance</v>
      </c>
      <c r="P5522" t="str">
        <f t="shared" si="347"/>
        <v>Mid-term</v>
      </c>
    </row>
    <row r="5523" spans="1:16" x14ac:dyDescent="0.25">
      <c r="A5523">
        <v>2025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  <c r="M5523" t="str">
        <f t="shared" si="344"/>
        <v>30-45</v>
      </c>
      <c r="N5523" t="str">
        <f t="shared" si="345"/>
        <v>High</v>
      </c>
      <c r="O5523" t="str">
        <f t="shared" si="346"/>
        <v>High Balance</v>
      </c>
      <c r="P5523" t="str">
        <f t="shared" si="347"/>
        <v>New</v>
      </c>
    </row>
    <row r="5524" spans="1:16" x14ac:dyDescent="0.25">
      <c r="A5524">
        <v>2025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  <c r="M5524" t="str">
        <f t="shared" si="344"/>
        <v>30-45</v>
      </c>
      <c r="N5524" t="str">
        <f t="shared" si="345"/>
        <v>High</v>
      </c>
      <c r="O5524" t="str">
        <f t="shared" si="346"/>
        <v>Low Balance</v>
      </c>
      <c r="P5524" t="str">
        <f t="shared" si="347"/>
        <v>Mid-term</v>
      </c>
    </row>
    <row r="5525" spans="1:16" x14ac:dyDescent="0.25">
      <c r="A5525">
        <v>2025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  <c r="M5525" t="str">
        <f t="shared" si="344"/>
        <v>30-45</v>
      </c>
      <c r="N5525" t="str">
        <f t="shared" si="345"/>
        <v>High</v>
      </c>
      <c r="O5525" t="str">
        <f t="shared" si="346"/>
        <v>Zero Balance</v>
      </c>
      <c r="P5525" t="str">
        <f t="shared" si="347"/>
        <v>Mid-term</v>
      </c>
    </row>
    <row r="5526" spans="1:16" x14ac:dyDescent="0.25">
      <c r="A5526">
        <v>2025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  <c r="M5526" t="str">
        <f t="shared" si="344"/>
        <v>46-60</v>
      </c>
      <c r="N5526" t="str">
        <f t="shared" si="345"/>
        <v>Medium</v>
      </c>
      <c r="O5526" t="str">
        <f t="shared" si="346"/>
        <v>High Balance</v>
      </c>
      <c r="P5526" t="str">
        <f t="shared" si="347"/>
        <v>New</v>
      </c>
    </row>
    <row r="5527" spans="1:16" x14ac:dyDescent="0.25">
      <c r="A5527">
        <v>2025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  <c r="M5527" t="str">
        <f t="shared" si="344"/>
        <v>46-60</v>
      </c>
      <c r="N5527" t="str">
        <f t="shared" si="345"/>
        <v>Medium</v>
      </c>
      <c r="O5527" t="str">
        <f t="shared" si="346"/>
        <v>High Balance</v>
      </c>
      <c r="P5527" t="str">
        <f t="shared" si="347"/>
        <v>Long-term</v>
      </c>
    </row>
    <row r="5528" spans="1:16" x14ac:dyDescent="0.25">
      <c r="A5528">
        <v>2025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  <c r="M5528" t="str">
        <f t="shared" si="344"/>
        <v>46-60</v>
      </c>
      <c r="N5528" t="str">
        <f t="shared" si="345"/>
        <v>Medium</v>
      </c>
      <c r="O5528" t="str">
        <f t="shared" si="346"/>
        <v>High Balance</v>
      </c>
      <c r="P5528" t="str">
        <f t="shared" si="347"/>
        <v>Mid-term</v>
      </c>
    </row>
    <row r="5529" spans="1:16" x14ac:dyDescent="0.25">
      <c r="A5529">
        <v>2025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  <c r="M5529" t="str">
        <f t="shared" si="344"/>
        <v>30-45</v>
      </c>
      <c r="N5529" t="str">
        <f t="shared" si="345"/>
        <v>Medium</v>
      </c>
      <c r="O5529" t="str">
        <f t="shared" si="346"/>
        <v>High Balance</v>
      </c>
      <c r="P5529" t="str">
        <f t="shared" si="347"/>
        <v>New</v>
      </c>
    </row>
    <row r="5530" spans="1:16" x14ac:dyDescent="0.25">
      <c r="A5530">
        <v>2025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  <c r="M5530" t="str">
        <f t="shared" si="344"/>
        <v>30-45</v>
      </c>
      <c r="N5530" t="str">
        <f t="shared" si="345"/>
        <v>Medium</v>
      </c>
      <c r="O5530" t="str">
        <f t="shared" si="346"/>
        <v>Zero Balance</v>
      </c>
      <c r="P5530" t="str">
        <f t="shared" si="347"/>
        <v>Mid-term</v>
      </c>
    </row>
    <row r="5531" spans="1:16" x14ac:dyDescent="0.25">
      <c r="A5531">
        <v>2025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  <c r="M5531" t="str">
        <f t="shared" si="344"/>
        <v>30-45</v>
      </c>
      <c r="N5531" t="str">
        <f t="shared" si="345"/>
        <v>Medium</v>
      </c>
      <c r="O5531" t="str">
        <f t="shared" si="346"/>
        <v>High Balance</v>
      </c>
      <c r="P5531" t="str">
        <f t="shared" si="347"/>
        <v>Long-term</v>
      </c>
    </row>
    <row r="5532" spans="1:16" x14ac:dyDescent="0.25">
      <c r="A5532">
        <v>2025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  <c r="M5532" t="str">
        <f t="shared" si="344"/>
        <v>30-45</v>
      </c>
      <c r="N5532" t="str">
        <f t="shared" si="345"/>
        <v>Medium</v>
      </c>
      <c r="O5532" t="str">
        <f t="shared" si="346"/>
        <v>High Balance</v>
      </c>
      <c r="P5532" t="str">
        <f t="shared" si="347"/>
        <v>Mid-term</v>
      </c>
    </row>
    <row r="5533" spans="1:16" x14ac:dyDescent="0.25">
      <c r="A5533">
        <v>2025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  <c r="M5533" t="str">
        <f t="shared" si="344"/>
        <v>30-45</v>
      </c>
      <c r="N5533" t="str">
        <f t="shared" si="345"/>
        <v>High</v>
      </c>
      <c r="O5533" t="str">
        <f t="shared" si="346"/>
        <v>High Balance</v>
      </c>
      <c r="P5533" t="str">
        <f t="shared" si="347"/>
        <v>New</v>
      </c>
    </row>
    <row r="5534" spans="1:16" x14ac:dyDescent="0.25">
      <c r="A5534">
        <v>2025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  <c r="M5534" t="str">
        <f t="shared" si="344"/>
        <v>30-45</v>
      </c>
      <c r="N5534" t="str">
        <f t="shared" si="345"/>
        <v>High</v>
      </c>
      <c r="O5534" t="str">
        <f t="shared" si="346"/>
        <v>Zero Balance</v>
      </c>
      <c r="P5534" t="str">
        <f t="shared" si="347"/>
        <v>Long-term</v>
      </c>
    </row>
    <row r="5535" spans="1:16" x14ac:dyDescent="0.25">
      <c r="A5535">
        <v>2025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  <c r="M5535" t="str">
        <f t="shared" si="344"/>
        <v>30-45</v>
      </c>
      <c r="N5535" t="str">
        <f t="shared" si="345"/>
        <v>Medium</v>
      </c>
      <c r="O5535" t="str">
        <f t="shared" si="346"/>
        <v>Zero Balance</v>
      </c>
      <c r="P5535" t="str">
        <f t="shared" si="347"/>
        <v>Mid-term</v>
      </c>
    </row>
    <row r="5536" spans="1:16" x14ac:dyDescent="0.25">
      <c r="A5536">
        <v>2025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  <c r="M5536" t="str">
        <f t="shared" si="344"/>
        <v>&lt;30</v>
      </c>
      <c r="N5536" t="str">
        <f t="shared" si="345"/>
        <v>Medium</v>
      </c>
      <c r="O5536" t="str">
        <f t="shared" si="346"/>
        <v>Zero Balance</v>
      </c>
      <c r="P5536" t="str">
        <f t="shared" si="347"/>
        <v>Long-term</v>
      </c>
    </row>
    <row r="5537" spans="1:16" x14ac:dyDescent="0.25">
      <c r="A5537">
        <v>2025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  <c r="M5537" t="str">
        <f t="shared" si="344"/>
        <v>30-45</v>
      </c>
      <c r="N5537" t="str">
        <f t="shared" si="345"/>
        <v>Medium</v>
      </c>
      <c r="O5537" t="str">
        <f t="shared" si="346"/>
        <v>High Balance</v>
      </c>
      <c r="P5537" t="str">
        <f t="shared" si="347"/>
        <v>Long-term</v>
      </c>
    </row>
    <row r="5538" spans="1:16" x14ac:dyDescent="0.25">
      <c r="A5538">
        <v>2025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  <c r="M5538" t="str">
        <f t="shared" si="344"/>
        <v>30-45</v>
      </c>
      <c r="N5538" t="str">
        <f t="shared" si="345"/>
        <v>Medium</v>
      </c>
      <c r="O5538" t="str">
        <f t="shared" si="346"/>
        <v>Zero Balance</v>
      </c>
      <c r="P5538" t="str">
        <f t="shared" si="347"/>
        <v>New</v>
      </c>
    </row>
    <row r="5539" spans="1:16" x14ac:dyDescent="0.25">
      <c r="A5539">
        <v>2025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  <c r="M5539" t="str">
        <f t="shared" si="344"/>
        <v>30-45</v>
      </c>
      <c r="N5539" t="str">
        <f t="shared" si="345"/>
        <v>Medium</v>
      </c>
      <c r="O5539" t="str">
        <f t="shared" si="346"/>
        <v>High Balance</v>
      </c>
      <c r="P5539" t="str">
        <f t="shared" si="347"/>
        <v>Long-term</v>
      </c>
    </row>
    <row r="5540" spans="1:16" x14ac:dyDescent="0.25">
      <c r="A5540">
        <v>2025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  <c r="M5540" t="str">
        <f t="shared" si="344"/>
        <v>&lt;30</v>
      </c>
      <c r="N5540" t="str">
        <f t="shared" si="345"/>
        <v>High</v>
      </c>
      <c r="O5540" t="str">
        <f t="shared" si="346"/>
        <v>Low Balance</v>
      </c>
      <c r="P5540" t="str">
        <f t="shared" si="347"/>
        <v>Long-term</v>
      </c>
    </row>
    <row r="5541" spans="1:16" x14ac:dyDescent="0.25">
      <c r="A5541">
        <v>2025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  <c r="M5541" t="str">
        <f t="shared" si="344"/>
        <v>30-45</v>
      </c>
      <c r="N5541" t="str">
        <f t="shared" si="345"/>
        <v>Medium</v>
      </c>
      <c r="O5541" t="str">
        <f t="shared" si="346"/>
        <v>High Balance</v>
      </c>
      <c r="P5541" t="str">
        <f t="shared" si="347"/>
        <v>New</v>
      </c>
    </row>
    <row r="5542" spans="1:16" x14ac:dyDescent="0.25">
      <c r="A5542">
        <v>2025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  <c r="M5542" t="str">
        <f t="shared" si="344"/>
        <v>30-45</v>
      </c>
      <c r="N5542" t="str">
        <f t="shared" si="345"/>
        <v>High</v>
      </c>
      <c r="O5542" t="str">
        <f t="shared" si="346"/>
        <v>Low Balance</v>
      </c>
      <c r="P5542" t="str">
        <f t="shared" si="347"/>
        <v>New</v>
      </c>
    </row>
    <row r="5543" spans="1:16" x14ac:dyDescent="0.25">
      <c r="A5543">
        <v>2025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  <c r="M5543" t="str">
        <f t="shared" si="344"/>
        <v>46-60</v>
      </c>
      <c r="N5543" t="str">
        <f t="shared" si="345"/>
        <v>Medium</v>
      </c>
      <c r="O5543" t="str">
        <f t="shared" si="346"/>
        <v>Low Balance</v>
      </c>
      <c r="P5543" t="str">
        <f t="shared" si="347"/>
        <v>New</v>
      </c>
    </row>
    <row r="5544" spans="1:16" x14ac:dyDescent="0.25">
      <c r="A5544">
        <v>2025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  <c r="M5544" t="str">
        <f t="shared" si="344"/>
        <v>30-45</v>
      </c>
      <c r="N5544" t="str">
        <f t="shared" si="345"/>
        <v>Medium</v>
      </c>
      <c r="O5544" t="str">
        <f t="shared" si="346"/>
        <v>High Balance</v>
      </c>
      <c r="P5544" t="str">
        <f t="shared" si="347"/>
        <v>New</v>
      </c>
    </row>
    <row r="5545" spans="1:16" x14ac:dyDescent="0.25">
      <c r="A5545">
        <v>2025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  <c r="M5545" t="str">
        <f t="shared" si="344"/>
        <v>30-45</v>
      </c>
      <c r="N5545" t="str">
        <f t="shared" si="345"/>
        <v>High</v>
      </c>
      <c r="O5545" t="str">
        <f t="shared" si="346"/>
        <v>High Balance</v>
      </c>
      <c r="P5545" t="str">
        <f t="shared" si="347"/>
        <v>New</v>
      </c>
    </row>
    <row r="5546" spans="1:16" x14ac:dyDescent="0.25">
      <c r="A5546">
        <v>2025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  <c r="M5546" t="str">
        <f t="shared" si="344"/>
        <v>30-45</v>
      </c>
      <c r="N5546" t="str">
        <f t="shared" si="345"/>
        <v>Medium</v>
      </c>
      <c r="O5546" t="str">
        <f t="shared" si="346"/>
        <v>Zero Balance</v>
      </c>
      <c r="P5546" t="str">
        <f t="shared" si="347"/>
        <v>Mid-term</v>
      </c>
    </row>
    <row r="5547" spans="1:16" x14ac:dyDescent="0.25">
      <c r="A5547">
        <v>2025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  <c r="M5547" t="str">
        <f t="shared" si="344"/>
        <v>30-45</v>
      </c>
      <c r="N5547" t="str">
        <f t="shared" si="345"/>
        <v>Medium</v>
      </c>
      <c r="O5547" t="str">
        <f t="shared" si="346"/>
        <v>Low Balance</v>
      </c>
      <c r="P5547" t="str">
        <f t="shared" si="347"/>
        <v>Mid-term</v>
      </c>
    </row>
    <row r="5548" spans="1:16" x14ac:dyDescent="0.25">
      <c r="A5548">
        <v>2025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  <c r="M5548" t="str">
        <f t="shared" si="344"/>
        <v>30-45</v>
      </c>
      <c r="N5548" t="str">
        <f t="shared" si="345"/>
        <v>High</v>
      </c>
      <c r="O5548" t="str">
        <f t="shared" si="346"/>
        <v>Zero Balance</v>
      </c>
      <c r="P5548" t="str">
        <f t="shared" si="347"/>
        <v>Long-term</v>
      </c>
    </row>
    <row r="5549" spans="1:16" x14ac:dyDescent="0.25">
      <c r="A5549">
        <v>2025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  <c r="M5549" t="str">
        <f t="shared" si="344"/>
        <v>30-45</v>
      </c>
      <c r="N5549" t="str">
        <f t="shared" si="345"/>
        <v>Medium</v>
      </c>
      <c r="O5549" t="str">
        <f t="shared" si="346"/>
        <v>High Balance</v>
      </c>
      <c r="P5549" t="str">
        <f t="shared" si="347"/>
        <v>Mid-term</v>
      </c>
    </row>
    <row r="5550" spans="1:16" x14ac:dyDescent="0.25">
      <c r="A5550">
        <v>2025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  <c r="M5550" t="str">
        <f t="shared" si="344"/>
        <v>30-45</v>
      </c>
      <c r="N5550" t="str">
        <f t="shared" si="345"/>
        <v>High</v>
      </c>
      <c r="O5550" t="str">
        <f t="shared" si="346"/>
        <v>Zero Balance</v>
      </c>
      <c r="P5550" t="str">
        <f t="shared" si="347"/>
        <v>New</v>
      </c>
    </row>
    <row r="5551" spans="1:16" x14ac:dyDescent="0.25">
      <c r="A5551">
        <v>2025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  <c r="M5551" t="str">
        <f t="shared" si="344"/>
        <v>30-45</v>
      </c>
      <c r="N5551" t="str">
        <f t="shared" si="345"/>
        <v>High</v>
      </c>
      <c r="O5551" t="str">
        <f t="shared" si="346"/>
        <v>Zero Balance</v>
      </c>
      <c r="P5551" t="str">
        <f t="shared" si="347"/>
        <v>New</v>
      </c>
    </row>
    <row r="5552" spans="1:16" x14ac:dyDescent="0.25">
      <c r="A5552">
        <v>2025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  <c r="M5552" t="str">
        <f t="shared" si="344"/>
        <v>30-45</v>
      </c>
      <c r="N5552" t="str">
        <f t="shared" si="345"/>
        <v>High</v>
      </c>
      <c r="O5552" t="str">
        <f t="shared" si="346"/>
        <v>High Balance</v>
      </c>
      <c r="P5552" t="str">
        <f t="shared" si="347"/>
        <v>Mid-term</v>
      </c>
    </row>
    <row r="5553" spans="1:16" x14ac:dyDescent="0.25">
      <c r="A5553">
        <v>2025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  <c r="M5553" t="str">
        <f t="shared" si="344"/>
        <v>&lt;30</v>
      </c>
      <c r="N5553" t="str">
        <f t="shared" si="345"/>
        <v>Medium</v>
      </c>
      <c r="O5553" t="str">
        <f t="shared" si="346"/>
        <v>Low Balance</v>
      </c>
      <c r="P5553" t="str">
        <f t="shared" si="347"/>
        <v>Long-term</v>
      </c>
    </row>
    <row r="5554" spans="1:16" x14ac:dyDescent="0.25">
      <c r="A5554">
        <v>2025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  <c r="M5554" t="str">
        <f t="shared" si="344"/>
        <v>30-45</v>
      </c>
      <c r="N5554" t="str">
        <f t="shared" si="345"/>
        <v>Medium</v>
      </c>
      <c r="O5554" t="str">
        <f t="shared" si="346"/>
        <v>Zero Balance</v>
      </c>
      <c r="P5554" t="str">
        <f t="shared" si="347"/>
        <v>New</v>
      </c>
    </row>
    <row r="5555" spans="1:16" x14ac:dyDescent="0.25">
      <c r="A5555">
        <v>2025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  <c r="M5555" t="str">
        <f t="shared" si="344"/>
        <v>30-45</v>
      </c>
      <c r="N5555" t="str">
        <f t="shared" si="345"/>
        <v>Medium</v>
      </c>
      <c r="O5555" t="str">
        <f t="shared" si="346"/>
        <v>High Balance</v>
      </c>
      <c r="P5555" t="str">
        <f t="shared" si="347"/>
        <v>New</v>
      </c>
    </row>
    <row r="5556" spans="1:16" x14ac:dyDescent="0.25">
      <c r="A5556">
        <v>2025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  <c r="M5556" t="str">
        <f t="shared" si="344"/>
        <v>30-45</v>
      </c>
      <c r="N5556" t="str">
        <f t="shared" si="345"/>
        <v>Medium</v>
      </c>
      <c r="O5556" t="str">
        <f t="shared" si="346"/>
        <v>Zero Balance</v>
      </c>
      <c r="P5556" t="str">
        <f t="shared" si="347"/>
        <v>New</v>
      </c>
    </row>
    <row r="5557" spans="1:16" x14ac:dyDescent="0.25">
      <c r="A5557">
        <v>2025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  <c r="M5557" t="str">
        <f t="shared" si="344"/>
        <v>30-45</v>
      </c>
      <c r="N5557" t="str">
        <f t="shared" si="345"/>
        <v>Medium</v>
      </c>
      <c r="O5557" t="str">
        <f t="shared" si="346"/>
        <v>Zero Balance</v>
      </c>
      <c r="P5557" t="str">
        <f t="shared" si="347"/>
        <v>Mid-term</v>
      </c>
    </row>
    <row r="5558" spans="1:16" x14ac:dyDescent="0.25">
      <c r="A5558">
        <v>2025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  <c r="M5558" t="str">
        <f t="shared" si="344"/>
        <v>30-45</v>
      </c>
      <c r="N5558" t="str">
        <f t="shared" si="345"/>
        <v>Medium</v>
      </c>
      <c r="O5558" t="str">
        <f t="shared" si="346"/>
        <v>High Balance</v>
      </c>
      <c r="P5558" t="str">
        <f t="shared" si="347"/>
        <v>Mid-term</v>
      </c>
    </row>
    <row r="5559" spans="1:16" x14ac:dyDescent="0.25">
      <c r="A5559">
        <v>2025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  <c r="M5559" t="str">
        <f t="shared" si="344"/>
        <v>30-45</v>
      </c>
      <c r="N5559" t="str">
        <f t="shared" si="345"/>
        <v>High</v>
      </c>
      <c r="O5559" t="str">
        <f t="shared" si="346"/>
        <v>High Balance</v>
      </c>
      <c r="P5559" t="str">
        <f t="shared" si="347"/>
        <v>Mid-term</v>
      </c>
    </row>
    <row r="5560" spans="1:16" x14ac:dyDescent="0.25">
      <c r="A5560">
        <v>2025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  <c r="M5560" t="str">
        <f t="shared" si="344"/>
        <v>30-45</v>
      </c>
      <c r="N5560" t="str">
        <f t="shared" si="345"/>
        <v>Medium</v>
      </c>
      <c r="O5560" t="str">
        <f t="shared" si="346"/>
        <v>High Balance</v>
      </c>
      <c r="P5560" t="str">
        <f t="shared" si="347"/>
        <v>New</v>
      </c>
    </row>
    <row r="5561" spans="1:16" x14ac:dyDescent="0.25">
      <c r="A5561">
        <v>2025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  <c r="M5561" t="str">
        <f t="shared" si="344"/>
        <v>30-45</v>
      </c>
      <c r="N5561" t="str">
        <f t="shared" si="345"/>
        <v>High</v>
      </c>
      <c r="O5561" t="str">
        <f t="shared" si="346"/>
        <v>High Balance</v>
      </c>
      <c r="P5561" t="str">
        <f t="shared" si="347"/>
        <v>Mid-term</v>
      </c>
    </row>
    <row r="5562" spans="1:16" x14ac:dyDescent="0.25">
      <c r="A5562">
        <v>2025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  <c r="M5562" t="str">
        <f t="shared" si="344"/>
        <v>30-45</v>
      </c>
      <c r="N5562" t="str">
        <f t="shared" si="345"/>
        <v>Medium</v>
      </c>
      <c r="O5562" t="str">
        <f t="shared" si="346"/>
        <v>Zero Balance</v>
      </c>
      <c r="P5562" t="str">
        <f t="shared" si="347"/>
        <v>Mid-term</v>
      </c>
    </row>
    <row r="5563" spans="1:16" x14ac:dyDescent="0.25">
      <c r="A5563">
        <v>2025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  <c r="M5563" t="str">
        <f t="shared" si="344"/>
        <v>46-60</v>
      </c>
      <c r="N5563" t="str">
        <f t="shared" si="345"/>
        <v>High</v>
      </c>
      <c r="O5563" t="str">
        <f t="shared" si="346"/>
        <v>Zero Balance</v>
      </c>
      <c r="P5563" t="str">
        <f t="shared" si="347"/>
        <v>New</v>
      </c>
    </row>
    <row r="5564" spans="1:16" x14ac:dyDescent="0.25">
      <c r="A5564">
        <v>2025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  <c r="M5564" t="str">
        <f t="shared" si="344"/>
        <v>30-45</v>
      </c>
      <c r="N5564" t="str">
        <f t="shared" si="345"/>
        <v>Medium</v>
      </c>
      <c r="O5564" t="str">
        <f t="shared" si="346"/>
        <v>High Balance</v>
      </c>
      <c r="P5564" t="str">
        <f t="shared" si="347"/>
        <v>Long-term</v>
      </c>
    </row>
    <row r="5565" spans="1:16" x14ac:dyDescent="0.25">
      <c r="A5565">
        <v>2025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  <c r="M5565" t="str">
        <f t="shared" si="344"/>
        <v>46-60</v>
      </c>
      <c r="N5565" t="str">
        <f t="shared" si="345"/>
        <v>Medium</v>
      </c>
      <c r="O5565" t="str">
        <f t="shared" si="346"/>
        <v>Low Balance</v>
      </c>
      <c r="P5565" t="str">
        <f t="shared" si="347"/>
        <v>Mid-term</v>
      </c>
    </row>
    <row r="5566" spans="1:16" x14ac:dyDescent="0.25">
      <c r="A5566">
        <v>2025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  <c r="M5566" t="str">
        <f t="shared" si="344"/>
        <v>30-45</v>
      </c>
      <c r="N5566" t="str">
        <f t="shared" si="345"/>
        <v>Medium</v>
      </c>
      <c r="O5566" t="str">
        <f t="shared" si="346"/>
        <v>High Balance</v>
      </c>
      <c r="P5566" t="str">
        <f t="shared" si="347"/>
        <v>New</v>
      </c>
    </row>
    <row r="5567" spans="1:16" x14ac:dyDescent="0.25">
      <c r="A5567">
        <v>2025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  <c r="M5567" t="str">
        <f t="shared" si="344"/>
        <v>30-45</v>
      </c>
      <c r="N5567" t="str">
        <f t="shared" si="345"/>
        <v>Medium</v>
      </c>
      <c r="O5567" t="str">
        <f t="shared" si="346"/>
        <v>High Balance</v>
      </c>
      <c r="P5567" t="str">
        <f t="shared" si="347"/>
        <v>Mid-term</v>
      </c>
    </row>
    <row r="5568" spans="1:16" x14ac:dyDescent="0.25">
      <c r="A5568">
        <v>2025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  <c r="M5568" t="str">
        <f t="shared" si="344"/>
        <v>30-45</v>
      </c>
      <c r="N5568" t="str">
        <f t="shared" si="345"/>
        <v>Medium</v>
      </c>
      <c r="O5568" t="str">
        <f t="shared" si="346"/>
        <v>High Balance</v>
      </c>
      <c r="P5568" t="str">
        <f t="shared" si="347"/>
        <v>New</v>
      </c>
    </row>
    <row r="5569" spans="1:16" x14ac:dyDescent="0.25">
      <c r="A5569">
        <v>2025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  <c r="M5569" t="str">
        <f t="shared" si="344"/>
        <v>&lt;30</v>
      </c>
      <c r="N5569" t="str">
        <f t="shared" si="345"/>
        <v>Medium</v>
      </c>
      <c r="O5569" t="str">
        <f t="shared" si="346"/>
        <v>Low Balance</v>
      </c>
      <c r="P5569" t="str">
        <f t="shared" si="347"/>
        <v>New</v>
      </c>
    </row>
    <row r="5570" spans="1:16" x14ac:dyDescent="0.25">
      <c r="A5570">
        <v>2025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  <c r="M5570" t="str">
        <f t="shared" si="344"/>
        <v>30-45</v>
      </c>
      <c r="N5570" t="str">
        <f t="shared" si="345"/>
        <v>Medium</v>
      </c>
      <c r="O5570" t="str">
        <f t="shared" si="346"/>
        <v>High Balance</v>
      </c>
      <c r="P5570" t="str">
        <f t="shared" si="347"/>
        <v>Mid-term</v>
      </c>
    </row>
    <row r="5571" spans="1:16" x14ac:dyDescent="0.25">
      <c r="A5571">
        <v>2025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  <c r="M5571" t="str">
        <f t="shared" ref="M5571:M5634" si="348">IF(E5571&lt;30,"&lt;30",IF(E5571&lt;=45,"30-45",IF(E5571&lt;=60,"46-60","60+")))</f>
        <v>30-45</v>
      </c>
      <c r="N5571" t="str">
        <f t="shared" ref="N5571:N5634" si="349">IF(B5571&lt;500,"Low",IF(B5571&lt;700,"Medium","High"))</f>
        <v>High</v>
      </c>
      <c r="O5571" t="str">
        <f t="shared" ref="O5571:O5634" si="350">IF(G5571=0,"Zero Balance",IF(G5571&lt;100000,"Low Balance","High Balance"))</f>
        <v>Zero Balance</v>
      </c>
      <c r="P5571" t="str">
        <f t="shared" ref="P5571:P5634" si="351">IF(F5571&lt;=3,"New",IF(F5571&lt;=7,"Mid-term","Long-term"))</f>
        <v>New</v>
      </c>
    </row>
    <row r="5572" spans="1:16" x14ac:dyDescent="0.25">
      <c r="A5572">
        <v>2025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  <c r="M5572" t="str">
        <f t="shared" si="348"/>
        <v>30-45</v>
      </c>
      <c r="N5572" t="str">
        <f t="shared" si="349"/>
        <v>Medium</v>
      </c>
      <c r="O5572" t="str">
        <f t="shared" si="350"/>
        <v>High Balance</v>
      </c>
      <c r="P5572" t="str">
        <f t="shared" si="351"/>
        <v>New</v>
      </c>
    </row>
    <row r="5573" spans="1:16" x14ac:dyDescent="0.25">
      <c r="A5573">
        <v>2025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  <c r="M5573" t="str">
        <f t="shared" si="348"/>
        <v>30-45</v>
      </c>
      <c r="N5573" t="str">
        <f t="shared" si="349"/>
        <v>Medium</v>
      </c>
      <c r="O5573" t="str">
        <f t="shared" si="350"/>
        <v>High Balance</v>
      </c>
      <c r="P5573" t="str">
        <f t="shared" si="351"/>
        <v>New</v>
      </c>
    </row>
    <row r="5574" spans="1:16" x14ac:dyDescent="0.25">
      <c r="A5574">
        <v>2025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  <c r="M5574" t="str">
        <f t="shared" si="348"/>
        <v>30-45</v>
      </c>
      <c r="N5574" t="str">
        <f t="shared" si="349"/>
        <v>Medium</v>
      </c>
      <c r="O5574" t="str">
        <f t="shared" si="350"/>
        <v>Zero Balance</v>
      </c>
      <c r="P5574" t="str">
        <f t="shared" si="351"/>
        <v>Mid-term</v>
      </c>
    </row>
    <row r="5575" spans="1:16" x14ac:dyDescent="0.25">
      <c r="A5575">
        <v>2025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  <c r="M5575" t="str">
        <f t="shared" si="348"/>
        <v>&lt;30</v>
      </c>
      <c r="N5575" t="str">
        <f t="shared" si="349"/>
        <v>Medium</v>
      </c>
      <c r="O5575" t="str">
        <f t="shared" si="350"/>
        <v>Zero Balance</v>
      </c>
      <c r="P5575" t="str">
        <f t="shared" si="351"/>
        <v>Long-term</v>
      </c>
    </row>
    <row r="5576" spans="1:16" x14ac:dyDescent="0.25">
      <c r="A5576">
        <v>2025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  <c r="M5576" t="str">
        <f t="shared" si="348"/>
        <v>30-45</v>
      </c>
      <c r="N5576" t="str">
        <f t="shared" si="349"/>
        <v>Medium</v>
      </c>
      <c r="O5576" t="str">
        <f t="shared" si="350"/>
        <v>Zero Balance</v>
      </c>
      <c r="P5576" t="str">
        <f t="shared" si="351"/>
        <v>Long-term</v>
      </c>
    </row>
    <row r="5577" spans="1:16" x14ac:dyDescent="0.25">
      <c r="A5577">
        <v>2025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  <c r="M5577" t="str">
        <f t="shared" si="348"/>
        <v>30-45</v>
      </c>
      <c r="N5577" t="str">
        <f t="shared" si="349"/>
        <v>Medium</v>
      </c>
      <c r="O5577" t="str">
        <f t="shared" si="350"/>
        <v>Zero Balance</v>
      </c>
      <c r="P5577" t="str">
        <f t="shared" si="351"/>
        <v>New</v>
      </c>
    </row>
    <row r="5578" spans="1:16" x14ac:dyDescent="0.25">
      <c r="A5578">
        <v>2025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  <c r="M5578" t="str">
        <f t="shared" si="348"/>
        <v>60+</v>
      </c>
      <c r="N5578" t="str">
        <f t="shared" si="349"/>
        <v>Medium</v>
      </c>
      <c r="O5578" t="str">
        <f t="shared" si="350"/>
        <v>High Balance</v>
      </c>
      <c r="P5578" t="str">
        <f t="shared" si="351"/>
        <v>Mid-term</v>
      </c>
    </row>
    <row r="5579" spans="1:16" x14ac:dyDescent="0.25">
      <c r="A5579">
        <v>2025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  <c r="M5579" t="str">
        <f t="shared" si="348"/>
        <v>60+</v>
      </c>
      <c r="N5579" t="str">
        <f t="shared" si="349"/>
        <v>Medium</v>
      </c>
      <c r="O5579" t="str">
        <f t="shared" si="350"/>
        <v>Zero Balance</v>
      </c>
      <c r="P5579" t="str">
        <f t="shared" si="351"/>
        <v>Mid-term</v>
      </c>
    </row>
    <row r="5580" spans="1:16" x14ac:dyDescent="0.25">
      <c r="A5580">
        <v>2025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  <c r="M5580" t="str">
        <f t="shared" si="348"/>
        <v>46-60</v>
      </c>
      <c r="N5580" t="str">
        <f t="shared" si="349"/>
        <v>Medium</v>
      </c>
      <c r="O5580" t="str">
        <f t="shared" si="350"/>
        <v>Zero Balance</v>
      </c>
      <c r="P5580" t="str">
        <f t="shared" si="351"/>
        <v>Mid-term</v>
      </c>
    </row>
    <row r="5581" spans="1:16" x14ac:dyDescent="0.25">
      <c r="A5581">
        <v>2025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  <c r="M5581" t="str">
        <f t="shared" si="348"/>
        <v>&lt;30</v>
      </c>
      <c r="N5581" t="str">
        <f t="shared" si="349"/>
        <v>Medium</v>
      </c>
      <c r="O5581" t="str">
        <f t="shared" si="350"/>
        <v>Zero Balance</v>
      </c>
      <c r="P5581" t="str">
        <f t="shared" si="351"/>
        <v>Long-term</v>
      </c>
    </row>
    <row r="5582" spans="1:16" x14ac:dyDescent="0.25">
      <c r="A5582">
        <v>2025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  <c r="M5582" t="str">
        <f t="shared" si="348"/>
        <v>30-45</v>
      </c>
      <c r="N5582" t="str">
        <f t="shared" si="349"/>
        <v>Medium</v>
      </c>
      <c r="O5582" t="str">
        <f t="shared" si="350"/>
        <v>Zero Balance</v>
      </c>
      <c r="P5582" t="str">
        <f t="shared" si="351"/>
        <v>New</v>
      </c>
    </row>
    <row r="5583" spans="1:16" x14ac:dyDescent="0.25">
      <c r="A5583">
        <v>2025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  <c r="M5583" t="str">
        <f t="shared" si="348"/>
        <v>60+</v>
      </c>
      <c r="N5583" t="str">
        <f t="shared" si="349"/>
        <v>Low</v>
      </c>
      <c r="O5583" t="str">
        <f t="shared" si="350"/>
        <v>Zero Balance</v>
      </c>
      <c r="P5583" t="str">
        <f t="shared" si="351"/>
        <v>Mid-term</v>
      </c>
    </row>
    <row r="5584" spans="1:16" x14ac:dyDescent="0.25">
      <c r="A5584">
        <v>2025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  <c r="M5584" t="str">
        <f t="shared" si="348"/>
        <v>30-45</v>
      </c>
      <c r="N5584" t="str">
        <f t="shared" si="349"/>
        <v>Medium</v>
      </c>
      <c r="O5584" t="str">
        <f t="shared" si="350"/>
        <v>Zero Balance</v>
      </c>
      <c r="P5584" t="str">
        <f t="shared" si="351"/>
        <v>New</v>
      </c>
    </row>
    <row r="5585" spans="1:16" x14ac:dyDescent="0.25">
      <c r="A5585">
        <v>2025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  <c r="M5585" t="str">
        <f t="shared" si="348"/>
        <v>30-45</v>
      </c>
      <c r="N5585" t="str">
        <f t="shared" si="349"/>
        <v>Medium</v>
      </c>
      <c r="O5585" t="str">
        <f t="shared" si="350"/>
        <v>Zero Balance</v>
      </c>
      <c r="P5585" t="str">
        <f t="shared" si="351"/>
        <v>Long-term</v>
      </c>
    </row>
    <row r="5586" spans="1:16" x14ac:dyDescent="0.25">
      <c r="A5586">
        <v>2025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  <c r="M5586" t="str">
        <f t="shared" si="348"/>
        <v>30-45</v>
      </c>
      <c r="N5586" t="str">
        <f t="shared" si="349"/>
        <v>Medium</v>
      </c>
      <c r="O5586" t="str">
        <f t="shared" si="350"/>
        <v>Zero Balance</v>
      </c>
      <c r="P5586" t="str">
        <f t="shared" si="351"/>
        <v>Long-term</v>
      </c>
    </row>
    <row r="5587" spans="1:16" x14ac:dyDescent="0.25">
      <c r="A5587">
        <v>2025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  <c r="M5587" t="str">
        <f t="shared" si="348"/>
        <v>30-45</v>
      </c>
      <c r="N5587" t="str">
        <f t="shared" si="349"/>
        <v>Low</v>
      </c>
      <c r="O5587" t="str">
        <f t="shared" si="350"/>
        <v>High Balance</v>
      </c>
      <c r="P5587" t="str">
        <f t="shared" si="351"/>
        <v>New</v>
      </c>
    </row>
    <row r="5588" spans="1:16" x14ac:dyDescent="0.25">
      <c r="A5588">
        <v>2025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  <c r="M5588" t="str">
        <f t="shared" si="348"/>
        <v>&lt;30</v>
      </c>
      <c r="N5588" t="str">
        <f t="shared" si="349"/>
        <v>High</v>
      </c>
      <c r="O5588" t="str">
        <f t="shared" si="350"/>
        <v>High Balance</v>
      </c>
      <c r="P5588" t="str">
        <f t="shared" si="351"/>
        <v>New</v>
      </c>
    </row>
    <row r="5589" spans="1:16" x14ac:dyDescent="0.25">
      <c r="A5589">
        <v>2025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  <c r="M5589" t="str">
        <f t="shared" si="348"/>
        <v>30-45</v>
      </c>
      <c r="N5589" t="str">
        <f t="shared" si="349"/>
        <v>High</v>
      </c>
      <c r="O5589" t="str">
        <f t="shared" si="350"/>
        <v>Zero Balance</v>
      </c>
      <c r="P5589" t="str">
        <f t="shared" si="351"/>
        <v>New</v>
      </c>
    </row>
    <row r="5590" spans="1:16" x14ac:dyDescent="0.25">
      <c r="A5590">
        <v>2025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  <c r="M5590" t="str">
        <f t="shared" si="348"/>
        <v>30-45</v>
      </c>
      <c r="N5590" t="str">
        <f t="shared" si="349"/>
        <v>Medium</v>
      </c>
      <c r="O5590" t="str">
        <f t="shared" si="350"/>
        <v>High Balance</v>
      </c>
      <c r="P5590" t="str">
        <f t="shared" si="351"/>
        <v>Mid-term</v>
      </c>
    </row>
    <row r="5591" spans="1:16" x14ac:dyDescent="0.25">
      <c r="A5591">
        <v>2025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  <c r="M5591" t="str">
        <f t="shared" si="348"/>
        <v>30-45</v>
      </c>
      <c r="N5591" t="str">
        <f t="shared" si="349"/>
        <v>High</v>
      </c>
      <c r="O5591" t="str">
        <f t="shared" si="350"/>
        <v>High Balance</v>
      </c>
      <c r="P5591" t="str">
        <f t="shared" si="351"/>
        <v>Long-term</v>
      </c>
    </row>
    <row r="5592" spans="1:16" x14ac:dyDescent="0.25">
      <c r="A5592">
        <v>2025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  <c r="M5592" t="str">
        <f t="shared" si="348"/>
        <v>&lt;30</v>
      </c>
      <c r="N5592" t="str">
        <f t="shared" si="349"/>
        <v>High</v>
      </c>
      <c r="O5592" t="str">
        <f t="shared" si="350"/>
        <v>Low Balance</v>
      </c>
      <c r="P5592" t="str">
        <f t="shared" si="351"/>
        <v>Long-term</v>
      </c>
    </row>
    <row r="5593" spans="1:16" x14ac:dyDescent="0.25">
      <c r="A5593">
        <v>2025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  <c r="M5593" t="str">
        <f t="shared" si="348"/>
        <v>30-45</v>
      </c>
      <c r="N5593" t="str">
        <f t="shared" si="349"/>
        <v>Medium</v>
      </c>
      <c r="O5593" t="str">
        <f t="shared" si="350"/>
        <v>Zero Balance</v>
      </c>
      <c r="P5593" t="str">
        <f t="shared" si="351"/>
        <v>Mid-term</v>
      </c>
    </row>
    <row r="5594" spans="1:16" x14ac:dyDescent="0.25">
      <c r="A5594">
        <v>2025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  <c r="M5594" t="str">
        <f t="shared" si="348"/>
        <v>&lt;30</v>
      </c>
      <c r="N5594" t="str">
        <f t="shared" si="349"/>
        <v>Medium</v>
      </c>
      <c r="O5594" t="str">
        <f t="shared" si="350"/>
        <v>Zero Balance</v>
      </c>
      <c r="P5594" t="str">
        <f t="shared" si="351"/>
        <v>Mid-term</v>
      </c>
    </row>
    <row r="5595" spans="1:16" x14ac:dyDescent="0.25">
      <c r="A5595">
        <v>2025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  <c r="M5595" t="str">
        <f t="shared" si="348"/>
        <v>46-60</v>
      </c>
      <c r="N5595" t="str">
        <f t="shared" si="349"/>
        <v>Medium</v>
      </c>
      <c r="O5595" t="str">
        <f t="shared" si="350"/>
        <v>Zero Balance</v>
      </c>
      <c r="P5595" t="str">
        <f t="shared" si="351"/>
        <v>Mid-term</v>
      </c>
    </row>
    <row r="5596" spans="1:16" x14ac:dyDescent="0.25">
      <c r="A5596">
        <v>2025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  <c r="M5596" t="str">
        <f t="shared" si="348"/>
        <v>30-45</v>
      </c>
      <c r="N5596" t="str">
        <f t="shared" si="349"/>
        <v>Medium</v>
      </c>
      <c r="O5596" t="str">
        <f t="shared" si="350"/>
        <v>Zero Balance</v>
      </c>
      <c r="P5596" t="str">
        <f t="shared" si="351"/>
        <v>Mid-term</v>
      </c>
    </row>
    <row r="5597" spans="1:16" x14ac:dyDescent="0.25">
      <c r="A5597">
        <v>2025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  <c r="M5597" t="str">
        <f t="shared" si="348"/>
        <v>30-45</v>
      </c>
      <c r="N5597" t="str">
        <f t="shared" si="349"/>
        <v>Medium</v>
      </c>
      <c r="O5597" t="str">
        <f t="shared" si="350"/>
        <v>Zero Balance</v>
      </c>
      <c r="P5597" t="str">
        <f t="shared" si="351"/>
        <v>Mid-term</v>
      </c>
    </row>
    <row r="5598" spans="1:16" x14ac:dyDescent="0.25">
      <c r="A5598">
        <v>2025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  <c r="M5598" t="str">
        <f t="shared" si="348"/>
        <v>30-45</v>
      </c>
      <c r="N5598" t="str">
        <f t="shared" si="349"/>
        <v>Medium</v>
      </c>
      <c r="O5598" t="str">
        <f t="shared" si="350"/>
        <v>Zero Balance</v>
      </c>
      <c r="P5598" t="str">
        <f t="shared" si="351"/>
        <v>Long-term</v>
      </c>
    </row>
    <row r="5599" spans="1:16" x14ac:dyDescent="0.25">
      <c r="A5599">
        <v>2025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  <c r="M5599" t="str">
        <f t="shared" si="348"/>
        <v>30-45</v>
      </c>
      <c r="N5599" t="str">
        <f t="shared" si="349"/>
        <v>Medium</v>
      </c>
      <c r="O5599" t="str">
        <f t="shared" si="350"/>
        <v>High Balance</v>
      </c>
      <c r="P5599" t="str">
        <f t="shared" si="351"/>
        <v>Mid-term</v>
      </c>
    </row>
    <row r="5600" spans="1:16" x14ac:dyDescent="0.25">
      <c r="A5600">
        <v>2025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  <c r="M5600" t="str">
        <f t="shared" si="348"/>
        <v>46-60</v>
      </c>
      <c r="N5600" t="str">
        <f t="shared" si="349"/>
        <v>Medium</v>
      </c>
      <c r="O5600" t="str">
        <f t="shared" si="350"/>
        <v>High Balance</v>
      </c>
      <c r="P5600" t="str">
        <f t="shared" si="351"/>
        <v>Mid-term</v>
      </c>
    </row>
    <row r="5601" spans="1:16" x14ac:dyDescent="0.25">
      <c r="A5601">
        <v>2025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  <c r="M5601" t="str">
        <f t="shared" si="348"/>
        <v>46-60</v>
      </c>
      <c r="N5601" t="str">
        <f t="shared" si="349"/>
        <v>Medium</v>
      </c>
      <c r="O5601" t="str">
        <f t="shared" si="350"/>
        <v>High Balance</v>
      </c>
      <c r="P5601" t="str">
        <f t="shared" si="351"/>
        <v>Mid-term</v>
      </c>
    </row>
    <row r="5602" spans="1:16" x14ac:dyDescent="0.25">
      <c r="A5602">
        <v>2025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  <c r="M5602" t="str">
        <f t="shared" si="348"/>
        <v>30-45</v>
      </c>
      <c r="N5602" t="str">
        <f t="shared" si="349"/>
        <v>High</v>
      </c>
      <c r="O5602" t="str">
        <f t="shared" si="350"/>
        <v>High Balance</v>
      </c>
      <c r="P5602" t="str">
        <f t="shared" si="351"/>
        <v>Mid-term</v>
      </c>
    </row>
    <row r="5603" spans="1:16" x14ac:dyDescent="0.25">
      <c r="A5603">
        <v>2025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  <c r="M5603" t="str">
        <f t="shared" si="348"/>
        <v>30-45</v>
      </c>
      <c r="N5603" t="str">
        <f t="shared" si="349"/>
        <v>High</v>
      </c>
      <c r="O5603" t="str">
        <f t="shared" si="350"/>
        <v>High Balance</v>
      </c>
      <c r="P5603" t="str">
        <f t="shared" si="351"/>
        <v>Long-term</v>
      </c>
    </row>
    <row r="5604" spans="1:16" x14ac:dyDescent="0.25">
      <c r="A5604">
        <v>2025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  <c r="M5604" t="str">
        <f t="shared" si="348"/>
        <v>46-60</v>
      </c>
      <c r="N5604" t="str">
        <f t="shared" si="349"/>
        <v>High</v>
      </c>
      <c r="O5604" t="str">
        <f t="shared" si="350"/>
        <v>Low Balance</v>
      </c>
      <c r="P5604" t="str">
        <f t="shared" si="351"/>
        <v>New</v>
      </c>
    </row>
    <row r="5605" spans="1:16" x14ac:dyDescent="0.25">
      <c r="A5605">
        <v>2025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  <c r="M5605" t="str">
        <f t="shared" si="348"/>
        <v>30-45</v>
      </c>
      <c r="N5605" t="str">
        <f t="shared" si="349"/>
        <v>Medium</v>
      </c>
      <c r="O5605" t="str">
        <f t="shared" si="350"/>
        <v>Zero Balance</v>
      </c>
      <c r="P5605" t="str">
        <f t="shared" si="351"/>
        <v>New</v>
      </c>
    </row>
    <row r="5606" spans="1:16" x14ac:dyDescent="0.25">
      <c r="A5606">
        <v>2025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  <c r="M5606" t="str">
        <f t="shared" si="348"/>
        <v>46-60</v>
      </c>
      <c r="N5606" t="str">
        <f t="shared" si="349"/>
        <v>Medium</v>
      </c>
      <c r="O5606" t="str">
        <f t="shared" si="350"/>
        <v>High Balance</v>
      </c>
      <c r="P5606" t="str">
        <f t="shared" si="351"/>
        <v>New</v>
      </c>
    </row>
    <row r="5607" spans="1:16" x14ac:dyDescent="0.25">
      <c r="A5607">
        <v>2025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  <c r="M5607" t="str">
        <f t="shared" si="348"/>
        <v>46-60</v>
      </c>
      <c r="N5607" t="str">
        <f t="shared" si="349"/>
        <v>Medium</v>
      </c>
      <c r="O5607" t="str">
        <f t="shared" si="350"/>
        <v>High Balance</v>
      </c>
      <c r="P5607" t="str">
        <f t="shared" si="351"/>
        <v>Mid-term</v>
      </c>
    </row>
    <row r="5608" spans="1:16" x14ac:dyDescent="0.25">
      <c r="A5608">
        <v>2025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  <c r="M5608" t="str">
        <f t="shared" si="348"/>
        <v>46-60</v>
      </c>
      <c r="N5608" t="str">
        <f t="shared" si="349"/>
        <v>Low</v>
      </c>
      <c r="O5608" t="str">
        <f t="shared" si="350"/>
        <v>High Balance</v>
      </c>
      <c r="P5608" t="str">
        <f t="shared" si="351"/>
        <v>Long-term</v>
      </c>
    </row>
    <row r="5609" spans="1:16" x14ac:dyDescent="0.25">
      <c r="A5609">
        <v>2025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  <c r="M5609" t="str">
        <f t="shared" si="348"/>
        <v>30-45</v>
      </c>
      <c r="N5609" t="str">
        <f t="shared" si="349"/>
        <v>Medium</v>
      </c>
      <c r="O5609" t="str">
        <f t="shared" si="350"/>
        <v>High Balance</v>
      </c>
      <c r="P5609" t="str">
        <f t="shared" si="351"/>
        <v>Mid-term</v>
      </c>
    </row>
    <row r="5610" spans="1:16" x14ac:dyDescent="0.25">
      <c r="A5610">
        <v>2025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  <c r="M5610" t="str">
        <f t="shared" si="348"/>
        <v>&lt;30</v>
      </c>
      <c r="N5610" t="str">
        <f t="shared" si="349"/>
        <v>Medium</v>
      </c>
      <c r="O5610" t="str">
        <f t="shared" si="350"/>
        <v>High Balance</v>
      </c>
      <c r="P5610" t="str">
        <f t="shared" si="351"/>
        <v>New</v>
      </c>
    </row>
    <row r="5611" spans="1:16" x14ac:dyDescent="0.25">
      <c r="A5611">
        <v>2025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  <c r="M5611" t="str">
        <f t="shared" si="348"/>
        <v>30-45</v>
      </c>
      <c r="N5611" t="str">
        <f t="shared" si="349"/>
        <v>Medium</v>
      </c>
      <c r="O5611" t="str">
        <f t="shared" si="350"/>
        <v>Zero Balance</v>
      </c>
      <c r="P5611" t="str">
        <f t="shared" si="351"/>
        <v>Mid-term</v>
      </c>
    </row>
    <row r="5612" spans="1:16" x14ac:dyDescent="0.25">
      <c r="A5612">
        <v>2025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  <c r="M5612" t="str">
        <f t="shared" si="348"/>
        <v>&lt;30</v>
      </c>
      <c r="N5612" t="str">
        <f t="shared" si="349"/>
        <v>High</v>
      </c>
      <c r="O5612" t="str">
        <f t="shared" si="350"/>
        <v>Zero Balance</v>
      </c>
      <c r="P5612" t="str">
        <f t="shared" si="351"/>
        <v>Mid-term</v>
      </c>
    </row>
    <row r="5613" spans="1:16" x14ac:dyDescent="0.25">
      <c r="A5613">
        <v>2025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  <c r="M5613" t="str">
        <f t="shared" si="348"/>
        <v>30-45</v>
      </c>
      <c r="N5613" t="str">
        <f t="shared" si="349"/>
        <v>Medium</v>
      </c>
      <c r="O5613" t="str">
        <f t="shared" si="350"/>
        <v>High Balance</v>
      </c>
      <c r="P5613" t="str">
        <f t="shared" si="351"/>
        <v>Mid-term</v>
      </c>
    </row>
    <row r="5614" spans="1:16" x14ac:dyDescent="0.25">
      <c r="A5614">
        <v>2025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  <c r="M5614" t="str">
        <f t="shared" si="348"/>
        <v>30-45</v>
      </c>
      <c r="N5614" t="str">
        <f t="shared" si="349"/>
        <v>High</v>
      </c>
      <c r="O5614" t="str">
        <f t="shared" si="350"/>
        <v>High Balance</v>
      </c>
      <c r="P5614" t="str">
        <f t="shared" si="351"/>
        <v>New</v>
      </c>
    </row>
    <row r="5615" spans="1:16" x14ac:dyDescent="0.25">
      <c r="A5615">
        <v>2025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  <c r="M5615" t="str">
        <f t="shared" si="348"/>
        <v>30-45</v>
      </c>
      <c r="N5615" t="str">
        <f t="shared" si="349"/>
        <v>Medium</v>
      </c>
      <c r="O5615" t="str">
        <f t="shared" si="350"/>
        <v>High Balance</v>
      </c>
      <c r="P5615" t="str">
        <f t="shared" si="351"/>
        <v>Mid-term</v>
      </c>
    </row>
    <row r="5616" spans="1:16" x14ac:dyDescent="0.25">
      <c r="A5616">
        <v>2025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  <c r="M5616" t="str">
        <f t="shared" si="348"/>
        <v>46-60</v>
      </c>
      <c r="N5616" t="str">
        <f t="shared" si="349"/>
        <v>Medium</v>
      </c>
      <c r="O5616" t="str">
        <f t="shared" si="350"/>
        <v>Zero Balance</v>
      </c>
      <c r="P5616" t="str">
        <f t="shared" si="351"/>
        <v>New</v>
      </c>
    </row>
    <row r="5617" spans="1:16" x14ac:dyDescent="0.25">
      <c r="A5617">
        <v>2025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  <c r="M5617" t="str">
        <f t="shared" si="348"/>
        <v>&lt;30</v>
      </c>
      <c r="N5617" t="str">
        <f t="shared" si="349"/>
        <v>Medium</v>
      </c>
      <c r="O5617" t="str">
        <f t="shared" si="350"/>
        <v>Low Balance</v>
      </c>
      <c r="P5617" t="str">
        <f t="shared" si="351"/>
        <v>Long-term</v>
      </c>
    </row>
    <row r="5618" spans="1:16" x14ac:dyDescent="0.25">
      <c r="A5618">
        <v>2025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  <c r="M5618" t="str">
        <f t="shared" si="348"/>
        <v>&lt;30</v>
      </c>
      <c r="N5618" t="str">
        <f t="shared" si="349"/>
        <v>High</v>
      </c>
      <c r="O5618" t="str">
        <f t="shared" si="350"/>
        <v>Zero Balance</v>
      </c>
      <c r="P5618" t="str">
        <f t="shared" si="351"/>
        <v>New</v>
      </c>
    </row>
    <row r="5619" spans="1:16" x14ac:dyDescent="0.25">
      <c r="A5619">
        <v>2025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  <c r="M5619" t="str">
        <f t="shared" si="348"/>
        <v>30-45</v>
      </c>
      <c r="N5619" t="str">
        <f t="shared" si="349"/>
        <v>Medium</v>
      </c>
      <c r="O5619" t="str">
        <f t="shared" si="350"/>
        <v>High Balance</v>
      </c>
      <c r="P5619" t="str">
        <f t="shared" si="351"/>
        <v>Mid-term</v>
      </c>
    </row>
    <row r="5620" spans="1:16" x14ac:dyDescent="0.25">
      <c r="A5620">
        <v>2025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  <c r="M5620" t="str">
        <f t="shared" si="348"/>
        <v>30-45</v>
      </c>
      <c r="N5620" t="str">
        <f t="shared" si="349"/>
        <v>Medium</v>
      </c>
      <c r="O5620" t="str">
        <f t="shared" si="350"/>
        <v>Zero Balance</v>
      </c>
      <c r="P5620" t="str">
        <f t="shared" si="351"/>
        <v>Long-term</v>
      </c>
    </row>
    <row r="5621" spans="1:16" x14ac:dyDescent="0.25">
      <c r="A5621">
        <v>2025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  <c r="M5621" t="str">
        <f t="shared" si="348"/>
        <v>30-45</v>
      </c>
      <c r="N5621" t="str">
        <f t="shared" si="349"/>
        <v>High</v>
      </c>
      <c r="O5621" t="str">
        <f t="shared" si="350"/>
        <v>Zero Balance</v>
      </c>
      <c r="P5621" t="str">
        <f t="shared" si="351"/>
        <v>Mid-term</v>
      </c>
    </row>
    <row r="5622" spans="1:16" x14ac:dyDescent="0.25">
      <c r="A5622">
        <v>2025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  <c r="M5622" t="str">
        <f t="shared" si="348"/>
        <v>30-45</v>
      </c>
      <c r="N5622" t="str">
        <f t="shared" si="349"/>
        <v>Medium</v>
      </c>
      <c r="O5622" t="str">
        <f t="shared" si="350"/>
        <v>Zero Balance</v>
      </c>
      <c r="P5622" t="str">
        <f t="shared" si="351"/>
        <v>Mid-term</v>
      </c>
    </row>
    <row r="5623" spans="1:16" x14ac:dyDescent="0.25">
      <c r="A5623">
        <v>2025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  <c r="M5623" t="str">
        <f t="shared" si="348"/>
        <v>30-45</v>
      </c>
      <c r="N5623" t="str">
        <f t="shared" si="349"/>
        <v>Medium</v>
      </c>
      <c r="O5623" t="str">
        <f t="shared" si="350"/>
        <v>Zero Balance</v>
      </c>
      <c r="P5623" t="str">
        <f t="shared" si="351"/>
        <v>Mid-term</v>
      </c>
    </row>
    <row r="5624" spans="1:16" x14ac:dyDescent="0.25">
      <c r="A5624">
        <v>2025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  <c r="M5624" t="str">
        <f t="shared" si="348"/>
        <v>30-45</v>
      </c>
      <c r="N5624" t="str">
        <f t="shared" si="349"/>
        <v>Medium</v>
      </c>
      <c r="O5624" t="str">
        <f t="shared" si="350"/>
        <v>Low Balance</v>
      </c>
      <c r="P5624" t="str">
        <f t="shared" si="351"/>
        <v>Long-term</v>
      </c>
    </row>
    <row r="5625" spans="1:16" x14ac:dyDescent="0.25">
      <c r="A5625">
        <v>2025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  <c r="M5625" t="str">
        <f t="shared" si="348"/>
        <v>30-45</v>
      </c>
      <c r="N5625" t="str">
        <f t="shared" si="349"/>
        <v>Medium</v>
      </c>
      <c r="O5625" t="str">
        <f t="shared" si="350"/>
        <v>Zero Balance</v>
      </c>
      <c r="P5625" t="str">
        <f t="shared" si="351"/>
        <v>Mid-term</v>
      </c>
    </row>
    <row r="5626" spans="1:16" x14ac:dyDescent="0.25">
      <c r="A5626">
        <v>2025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  <c r="M5626" t="str">
        <f t="shared" si="348"/>
        <v>30-45</v>
      </c>
      <c r="N5626" t="str">
        <f t="shared" si="349"/>
        <v>Medium</v>
      </c>
      <c r="O5626" t="str">
        <f t="shared" si="350"/>
        <v>Zero Balance</v>
      </c>
      <c r="P5626" t="str">
        <f t="shared" si="351"/>
        <v>New</v>
      </c>
    </row>
    <row r="5627" spans="1:16" x14ac:dyDescent="0.25">
      <c r="A5627">
        <v>2025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  <c r="M5627" t="str">
        <f t="shared" si="348"/>
        <v>46-60</v>
      </c>
      <c r="N5627" t="str">
        <f t="shared" si="349"/>
        <v>Medium</v>
      </c>
      <c r="O5627" t="str">
        <f t="shared" si="350"/>
        <v>High Balance</v>
      </c>
      <c r="P5627" t="str">
        <f t="shared" si="351"/>
        <v>Mid-term</v>
      </c>
    </row>
    <row r="5628" spans="1:16" x14ac:dyDescent="0.25">
      <c r="A5628">
        <v>2025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  <c r="M5628" t="str">
        <f t="shared" si="348"/>
        <v>30-45</v>
      </c>
      <c r="N5628" t="str">
        <f t="shared" si="349"/>
        <v>Medium</v>
      </c>
      <c r="O5628" t="str">
        <f t="shared" si="350"/>
        <v>High Balance</v>
      </c>
      <c r="P5628" t="str">
        <f t="shared" si="351"/>
        <v>Mid-term</v>
      </c>
    </row>
    <row r="5629" spans="1:16" x14ac:dyDescent="0.25">
      <c r="A5629">
        <v>2025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  <c r="M5629" t="str">
        <f t="shared" si="348"/>
        <v>&lt;30</v>
      </c>
      <c r="N5629" t="str">
        <f t="shared" si="349"/>
        <v>Medium</v>
      </c>
      <c r="O5629" t="str">
        <f t="shared" si="350"/>
        <v>High Balance</v>
      </c>
      <c r="P5629" t="str">
        <f t="shared" si="351"/>
        <v>Mid-term</v>
      </c>
    </row>
    <row r="5630" spans="1:16" x14ac:dyDescent="0.25">
      <c r="A5630">
        <v>2025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  <c r="M5630" t="str">
        <f t="shared" si="348"/>
        <v>30-45</v>
      </c>
      <c r="N5630" t="str">
        <f t="shared" si="349"/>
        <v>Medium</v>
      </c>
      <c r="O5630" t="str">
        <f t="shared" si="350"/>
        <v>High Balance</v>
      </c>
      <c r="P5630" t="str">
        <f t="shared" si="351"/>
        <v>New</v>
      </c>
    </row>
    <row r="5631" spans="1:16" x14ac:dyDescent="0.25">
      <c r="A5631">
        <v>2025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  <c r="M5631" t="str">
        <f t="shared" si="348"/>
        <v>&lt;30</v>
      </c>
      <c r="N5631" t="str">
        <f t="shared" si="349"/>
        <v>Medium</v>
      </c>
      <c r="O5631" t="str">
        <f t="shared" si="350"/>
        <v>Zero Balance</v>
      </c>
      <c r="P5631" t="str">
        <f t="shared" si="351"/>
        <v>Mid-term</v>
      </c>
    </row>
    <row r="5632" spans="1:16" x14ac:dyDescent="0.25">
      <c r="A5632">
        <v>2025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  <c r="M5632" t="str">
        <f t="shared" si="348"/>
        <v>30-45</v>
      </c>
      <c r="N5632" t="str">
        <f t="shared" si="349"/>
        <v>Medium</v>
      </c>
      <c r="O5632" t="str">
        <f t="shared" si="350"/>
        <v>Low Balance</v>
      </c>
      <c r="P5632" t="str">
        <f t="shared" si="351"/>
        <v>Long-term</v>
      </c>
    </row>
    <row r="5633" spans="1:16" x14ac:dyDescent="0.25">
      <c r="A5633">
        <v>2025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  <c r="M5633" t="str">
        <f t="shared" si="348"/>
        <v>30-45</v>
      </c>
      <c r="N5633" t="str">
        <f t="shared" si="349"/>
        <v>Medium</v>
      </c>
      <c r="O5633" t="str">
        <f t="shared" si="350"/>
        <v>High Balance</v>
      </c>
      <c r="P5633" t="str">
        <f t="shared" si="351"/>
        <v>Mid-term</v>
      </c>
    </row>
    <row r="5634" spans="1:16" x14ac:dyDescent="0.25">
      <c r="A5634">
        <v>2025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  <c r="M5634" t="str">
        <f t="shared" si="348"/>
        <v>30-45</v>
      </c>
      <c r="N5634" t="str">
        <f t="shared" si="349"/>
        <v>Medium</v>
      </c>
      <c r="O5634" t="str">
        <f t="shared" si="350"/>
        <v>Low Balance</v>
      </c>
      <c r="P5634" t="str">
        <f t="shared" si="351"/>
        <v>Mid-term</v>
      </c>
    </row>
    <row r="5635" spans="1:16" x14ac:dyDescent="0.25">
      <c r="A5635">
        <v>2025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  <c r="M5635" t="str">
        <f t="shared" ref="M5635:M5698" si="352">IF(E5635&lt;30,"&lt;30",IF(E5635&lt;=45,"30-45",IF(E5635&lt;=60,"46-60","60+")))</f>
        <v>&lt;30</v>
      </c>
      <c r="N5635" t="str">
        <f t="shared" ref="N5635:N5698" si="353">IF(B5635&lt;500,"Low",IF(B5635&lt;700,"Medium","High"))</f>
        <v>High</v>
      </c>
      <c r="O5635" t="str">
        <f t="shared" ref="O5635:O5698" si="354">IF(G5635=0,"Zero Balance",IF(G5635&lt;100000,"Low Balance","High Balance"))</f>
        <v>Zero Balance</v>
      </c>
      <c r="P5635" t="str">
        <f t="shared" ref="P5635:P5698" si="355">IF(F5635&lt;=3,"New",IF(F5635&lt;=7,"Mid-term","Long-term"))</f>
        <v>New</v>
      </c>
    </row>
    <row r="5636" spans="1:16" x14ac:dyDescent="0.25">
      <c r="A5636">
        <v>2025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  <c r="M5636" t="str">
        <f t="shared" si="352"/>
        <v>30-45</v>
      </c>
      <c r="N5636" t="str">
        <f t="shared" si="353"/>
        <v>High</v>
      </c>
      <c r="O5636" t="str">
        <f t="shared" si="354"/>
        <v>Zero Balance</v>
      </c>
      <c r="P5636" t="str">
        <f t="shared" si="355"/>
        <v>New</v>
      </c>
    </row>
    <row r="5637" spans="1:16" x14ac:dyDescent="0.25">
      <c r="A5637">
        <v>2025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  <c r="M5637" t="str">
        <f t="shared" si="352"/>
        <v>&lt;30</v>
      </c>
      <c r="N5637" t="str">
        <f t="shared" si="353"/>
        <v>Medium</v>
      </c>
      <c r="O5637" t="str">
        <f t="shared" si="354"/>
        <v>High Balance</v>
      </c>
      <c r="P5637" t="str">
        <f t="shared" si="355"/>
        <v>New</v>
      </c>
    </row>
    <row r="5638" spans="1:16" x14ac:dyDescent="0.25">
      <c r="A5638">
        <v>2025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  <c r="M5638" t="str">
        <f t="shared" si="352"/>
        <v>30-45</v>
      </c>
      <c r="N5638" t="str">
        <f t="shared" si="353"/>
        <v>Medium</v>
      </c>
      <c r="O5638" t="str">
        <f t="shared" si="354"/>
        <v>Zero Balance</v>
      </c>
      <c r="P5638" t="str">
        <f t="shared" si="355"/>
        <v>New</v>
      </c>
    </row>
    <row r="5639" spans="1:16" x14ac:dyDescent="0.25">
      <c r="A5639">
        <v>2025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  <c r="M5639" t="str">
        <f t="shared" si="352"/>
        <v>&lt;30</v>
      </c>
      <c r="N5639" t="str">
        <f t="shared" si="353"/>
        <v>Medium</v>
      </c>
      <c r="O5639" t="str">
        <f t="shared" si="354"/>
        <v>Zero Balance</v>
      </c>
      <c r="P5639" t="str">
        <f t="shared" si="355"/>
        <v>Long-term</v>
      </c>
    </row>
    <row r="5640" spans="1:16" x14ac:dyDescent="0.25">
      <c r="A5640">
        <v>2025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  <c r="M5640" t="str">
        <f t="shared" si="352"/>
        <v>30-45</v>
      </c>
      <c r="N5640" t="str">
        <f t="shared" si="353"/>
        <v>High</v>
      </c>
      <c r="O5640" t="str">
        <f t="shared" si="354"/>
        <v>Zero Balance</v>
      </c>
      <c r="P5640" t="str">
        <f t="shared" si="355"/>
        <v>Mid-term</v>
      </c>
    </row>
    <row r="5641" spans="1:16" x14ac:dyDescent="0.25">
      <c r="A5641">
        <v>2025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  <c r="M5641" t="str">
        <f t="shared" si="352"/>
        <v>60+</v>
      </c>
      <c r="N5641" t="str">
        <f t="shared" si="353"/>
        <v>Medium</v>
      </c>
      <c r="O5641" t="str">
        <f t="shared" si="354"/>
        <v>Low Balance</v>
      </c>
      <c r="P5641" t="str">
        <f t="shared" si="355"/>
        <v>Long-term</v>
      </c>
    </row>
    <row r="5642" spans="1:16" x14ac:dyDescent="0.25">
      <c r="A5642">
        <v>2025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  <c r="M5642" t="str">
        <f t="shared" si="352"/>
        <v>&lt;30</v>
      </c>
      <c r="N5642" t="str">
        <f t="shared" si="353"/>
        <v>Low</v>
      </c>
      <c r="O5642" t="str">
        <f t="shared" si="354"/>
        <v>Low Balance</v>
      </c>
      <c r="P5642" t="str">
        <f t="shared" si="355"/>
        <v>New</v>
      </c>
    </row>
    <row r="5643" spans="1:16" x14ac:dyDescent="0.25">
      <c r="A5643">
        <v>2025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  <c r="M5643" t="str">
        <f t="shared" si="352"/>
        <v>30-45</v>
      </c>
      <c r="N5643" t="str">
        <f t="shared" si="353"/>
        <v>Medium</v>
      </c>
      <c r="O5643" t="str">
        <f t="shared" si="354"/>
        <v>Low Balance</v>
      </c>
      <c r="P5643" t="str">
        <f t="shared" si="355"/>
        <v>New</v>
      </c>
    </row>
    <row r="5644" spans="1:16" x14ac:dyDescent="0.25">
      <c r="A5644">
        <v>2025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  <c r="M5644" t="str">
        <f t="shared" si="352"/>
        <v>30-45</v>
      </c>
      <c r="N5644" t="str">
        <f t="shared" si="353"/>
        <v>High</v>
      </c>
      <c r="O5644" t="str">
        <f t="shared" si="354"/>
        <v>Zero Balance</v>
      </c>
      <c r="P5644" t="str">
        <f t="shared" si="355"/>
        <v>Mid-term</v>
      </c>
    </row>
    <row r="5645" spans="1:16" x14ac:dyDescent="0.25">
      <c r="A5645">
        <v>2025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  <c r="M5645" t="str">
        <f t="shared" si="352"/>
        <v>30-45</v>
      </c>
      <c r="N5645" t="str">
        <f t="shared" si="353"/>
        <v>Medium</v>
      </c>
      <c r="O5645" t="str">
        <f t="shared" si="354"/>
        <v>Zero Balance</v>
      </c>
      <c r="P5645" t="str">
        <f t="shared" si="355"/>
        <v>Mid-term</v>
      </c>
    </row>
    <row r="5646" spans="1:16" x14ac:dyDescent="0.25">
      <c r="A5646">
        <v>2025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  <c r="M5646" t="str">
        <f t="shared" si="352"/>
        <v>30-45</v>
      </c>
      <c r="N5646" t="str">
        <f t="shared" si="353"/>
        <v>High</v>
      </c>
      <c r="O5646" t="str">
        <f t="shared" si="354"/>
        <v>High Balance</v>
      </c>
      <c r="P5646" t="str">
        <f t="shared" si="355"/>
        <v>Long-term</v>
      </c>
    </row>
    <row r="5647" spans="1:16" x14ac:dyDescent="0.25">
      <c r="A5647">
        <v>2025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  <c r="M5647" t="str">
        <f t="shared" si="352"/>
        <v>30-45</v>
      </c>
      <c r="N5647" t="str">
        <f t="shared" si="353"/>
        <v>High</v>
      </c>
      <c r="O5647" t="str">
        <f t="shared" si="354"/>
        <v>High Balance</v>
      </c>
      <c r="P5647" t="str">
        <f t="shared" si="355"/>
        <v>Mid-term</v>
      </c>
    </row>
    <row r="5648" spans="1:16" x14ac:dyDescent="0.25">
      <c r="A5648">
        <v>2025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  <c r="M5648" t="str">
        <f t="shared" si="352"/>
        <v>30-45</v>
      </c>
      <c r="N5648" t="str">
        <f t="shared" si="353"/>
        <v>Medium</v>
      </c>
      <c r="O5648" t="str">
        <f t="shared" si="354"/>
        <v>High Balance</v>
      </c>
      <c r="P5648" t="str">
        <f t="shared" si="355"/>
        <v>Long-term</v>
      </c>
    </row>
    <row r="5649" spans="1:16" x14ac:dyDescent="0.25">
      <c r="A5649">
        <v>2025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  <c r="M5649" t="str">
        <f t="shared" si="352"/>
        <v>&lt;30</v>
      </c>
      <c r="N5649" t="str">
        <f t="shared" si="353"/>
        <v>Medium</v>
      </c>
      <c r="O5649" t="str">
        <f t="shared" si="354"/>
        <v>High Balance</v>
      </c>
      <c r="P5649" t="str">
        <f t="shared" si="355"/>
        <v>Mid-term</v>
      </c>
    </row>
    <row r="5650" spans="1:16" x14ac:dyDescent="0.25">
      <c r="A5650">
        <v>2025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  <c r="M5650" t="str">
        <f t="shared" si="352"/>
        <v>30-45</v>
      </c>
      <c r="N5650" t="str">
        <f t="shared" si="353"/>
        <v>Medium</v>
      </c>
      <c r="O5650" t="str">
        <f t="shared" si="354"/>
        <v>High Balance</v>
      </c>
      <c r="P5650" t="str">
        <f t="shared" si="355"/>
        <v>Mid-term</v>
      </c>
    </row>
    <row r="5651" spans="1:16" x14ac:dyDescent="0.25">
      <c r="A5651">
        <v>2025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  <c r="M5651" t="str">
        <f t="shared" si="352"/>
        <v>&lt;30</v>
      </c>
      <c r="N5651" t="str">
        <f t="shared" si="353"/>
        <v>Medium</v>
      </c>
      <c r="O5651" t="str">
        <f t="shared" si="354"/>
        <v>Zero Balance</v>
      </c>
      <c r="P5651" t="str">
        <f t="shared" si="355"/>
        <v>Mid-term</v>
      </c>
    </row>
    <row r="5652" spans="1:16" x14ac:dyDescent="0.25">
      <c r="A5652">
        <v>2025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  <c r="M5652" t="str">
        <f t="shared" si="352"/>
        <v>30-45</v>
      </c>
      <c r="N5652" t="str">
        <f t="shared" si="353"/>
        <v>Medium</v>
      </c>
      <c r="O5652" t="str">
        <f t="shared" si="354"/>
        <v>Low Balance</v>
      </c>
      <c r="P5652" t="str">
        <f t="shared" si="355"/>
        <v>Long-term</v>
      </c>
    </row>
    <row r="5653" spans="1:16" x14ac:dyDescent="0.25">
      <c r="A5653">
        <v>2025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  <c r="M5653" t="str">
        <f t="shared" si="352"/>
        <v>60+</v>
      </c>
      <c r="N5653" t="str">
        <f t="shared" si="353"/>
        <v>Medium</v>
      </c>
      <c r="O5653" t="str">
        <f t="shared" si="354"/>
        <v>High Balance</v>
      </c>
      <c r="P5653" t="str">
        <f t="shared" si="355"/>
        <v>New</v>
      </c>
    </row>
    <row r="5654" spans="1:16" x14ac:dyDescent="0.25">
      <c r="A5654">
        <v>2025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  <c r="M5654" t="str">
        <f t="shared" si="352"/>
        <v>&lt;30</v>
      </c>
      <c r="N5654" t="str">
        <f t="shared" si="353"/>
        <v>Medium</v>
      </c>
      <c r="O5654" t="str">
        <f t="shared" si="354"/>
        <v>Zero Balance</v>
      </c>
      <c r="P5654" t="str">
        <f t="shared" si="355"/>
        <v>Long-term</v>
      </c>
    </row>
    <row r="5655" spans="1:16" x14ac:dyDescent="0.25">
      <c r="A5655">
        <v>2025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  <c r="M5655" t="str">
        <f t="shared" si="352"/>
        <v>30-45</v>
      </c>
      <c r="N5655" t="str">
        <f t="shared" si="353"/>
        <v>Medium</v>
      </c>
      <c r="O5655" t="str">
        <f t="shared" si="354"/>
        <v>High Balance</v>
      </c>
      <c r="P5655" t="str">
        <f t="shared" si="355"/>
        <v>New</v>
      </c>
    </row>
    <row r="5656" spans="1:16" x14ac:dyDescent="0.25">
      <c r="A5656">
        <v>2025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  <c r="M5656" t="str">
        <f t="shared" si="352"/>
        <v>30-45</v>
      </c>
      <c r="N5656" t="str">
        <f t="shared" si="353"/>
        <v>Medium</v>
      </c>
      <c r="O5656" t="str">
        <f t="shared" si="354"/>
        <v>High Balance</v>
      </c>
      <c r="P5656" t="str">
        <f t="shared" si="355"/>
        <v>New</v>
      </c>
    </row>
    <row r="5657" spans="1:16" x14ac:dyDescent="0.25">
      <c r="A5657">
        <v>2025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  <c r="M5657" t="str">
        <f t="shared" si="352"/>
        <v>60+</v>
      </c>
      <c r="N5657" t="str">
        <f t="shared" si="353"/>
        <v>Medium</v>
      </c>
      <c r="O5657" t="str">
        <f t="shared" si="354"/>
        <v>High Balance</v>
      </c>
      <c r="P5657" t="str">
        <f t="shared" si="355"/>
        <v>New</v>
      </c>
    </row>
    <row r="5658" spans="1:16" x14ac:dyDescent="0.25">
      <c r="A5658">
        <v>2025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  <c r="M5658" t="str">
        <f t="shared" si="352"/>
        <v>&lt;30</v>
      </c>
      <c r="N5658" t="str">
        <f t="shared" si="353"/>
        <v>Medium</v>
      </c>
      <c r="O5658" t="str">
        <f t="shared" si="354"/>
        <v>Zero Balance</v>
      </c>
      <c r="P5658" t="str">
        <f t="shared" si="355"/>
        <v>Long-term</v>
      </c>
    </row>
    <row r="5659" spans="1:16" x14ac:dyDescent="0.25">
      <c r="A5659">
        <v>2025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  <c r="M5659" t="str">
        <f t="shared" si="352"/>
        <v>30-45</v>
      </c>
      <c r="N5659" t="str">
        <f t="shared" si="353"/>
        <v>Low</v>
      </c>
      <c r="O5659" t="str">
        <f t="shared" si="354"/>
        <v>Low Balance</v>
      </c>
      <c r="P5659" t="str">
        <f t="shared" si="355"/>
        <v>New</v>
      </c>
    </row>
    <row r="5660" spans="1:16" x14ac:dyDescent="0.25">
      <c r="A5660">
        <v>2025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  <c r="M5660" t="str">
        <f t="shared" si="352"/>
        <v>30-45</v>
      </c>
      <c r="N5660" t="str">
        <f t="shared" si="353"/>
        <v>High</v>
      </c>
      <c r="O5660" t="str">
        <f t="shared" si="354"/>
        <v>Zero Balance</v>
      </c>
      <c r="P5660" t="str">
        <f t="shared" si="355"/>
        <v>Long-term</v>
      </c>
    </row>
    <row r="5661" spans="1:16" x14ac:dyDescent="0.25">
      <c r="A5661">
        <v>2025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  <c r="M5661" t="str">
        <f t="shared" si="352"/>
        <v>46-60</v>
      </c>
      <c r="N5661" t="str">
        <f t="shared" si="353"/>
        <v>Medium</v>
      </c>
      <c r="O5661" t="str">
        <f t="shared" si="354"/>
        <v>Zero Balance</v>
      </c>
      <c r="P5661" t="str">
        <f t="shared" si="355"/>
        <v>New</v>
      </c>
    </row>
    <row r="5662" spans="1:16" x14ac:dyDescent="0.25">
      <c r="A5662">
        <v>2025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  <c r="M5662" t="str">
        <f t="shared" si="352"/>
        <v>60+</v>
      </c>
      <c r="N5662" t="str">
        <f t="shared" si="353"/>
        <v>High</v>
      </c>
      <c r="O5662" t="str">
        <f t="shared" si="354"/>
        <v>High Balance</v>
      </c>
      <c r="P5662" t="str">
        <f t="shared" si="355"/>
        <v>Mid-term</v>
      </c>
    </row>
    <row r="5663" spans="1:16" x14ac:dyDescent="0.25">
      <c r="A5663">
        <v>2025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  <c r="M5663" t="str">
        <f t="shared" si="352"/>
        <v>&lt;30</v>
      </c>
      <c r="N5663" t="str">
        <f t="shared" si="353"/>
        <v>Low</v>
      </c>
      <c r="O5663" t="str">
        <f t="shared" si="354"/>
        <v>Zero Balance</v>
      </c>
      <c r="P5663" t="str">
        <f t="shared" si="355"/>
        <v>Mid-term</v>
      </c>
    </row>
    <row r="5664" spans="1:16" x14ac:dyDescent="0.25">
      <c r="A5664">
        <v>2025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  <c r="M5664" t="str">
        <f t="shared" si="352"/>
        <v>30-45</v>
      </c>
      <c r="N5664" t="str">
        <f t="shared" si="353"/>
        <v>High</v>
      </c>
      <c r="O5664" t="str">
        <f t="shared" si="354"/>
        <v>Zero Balance</v>
      </c>
      <c r="P5664" t="str">
        <f t="shared" si="355"/>
        <v>Mid-term</v>
      </c>
    </row>
    <row r="5665" spans="1:16" x14ac:dyDescent="0.25">
      <c r="A5665">
        <v>2025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  <c r="M5665" t="str">
        <f t="shared" si="352"/>
        <v>30-45</v>
      </c>
      <c r="N5665" t="str">
        <f t="shared" si="353"/>
        <v>High</v>
      </c>
      <c r="O5665" t="str">
        <f t="shared" si="354"/>
        <v>Zero Balance</v>
      </c>
      <c r="P5665" t="str">
        <f t="shared" si="355"/>
        <v>New</v>
      </c>
    </row>
    <row r="5666" spans="1:16" x14ac:dyDescent="0.25">
      <c r="A5666">
        <v>2025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  <c r="M5666" t="str">
        <f t="shared" si="352"/>
        <v>60+</v>
      </c>
      <c r="N5666" t="str">
        <f t="shared" si="353"/>
        <v>Medium</v>
      </c>
      <c r="O5666" t="str">
        <f t="shared" si="354"/>
        <v>High Balance</v>
      </c>
      <c r="P5666" t="str">
        <f t="shared" si="355"/>
        <v>Mid-term</v>
      </c>
    </row>
    <row r="5667" spans="1:16" x14ac:dyDescent="0.25">
      <c r="A5667">
        <v>2025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  <c r="M5667" t="str">
        <f t="shared" si="352"/>
        <v>30-45</v>
      </c>
      <c r="N5667" t="str">
        <f t="shared" si="353"/>
        <v>Medium</v>
      </c>
      <c r="O5667" t="str">
        <f t="shared" si="354"/>
        <v>High Balance</v>
      </c>
      <c r="P5667" t="str">
        <f t="shared" si="355"/>
        <v>Long-term</v>
      </c>
    </row>
    <row r="5668" spans="1:16" x14ac:dyDescent="0.25">
      <c r="A5668">
        <v>2025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  <c r="M5668" t="str">
        <f t="shared" si="352"/>
        <v>46-60</v>
      </c>
      <c r="N5668" t="str">
        <f t="shared" si="353"/>
        <v>Medium</v>
      </c>
      <c r="O5668" t="str">
        <f t="shared" si="354"/>
        <v>High Balance</v>
      </c>
      <c r="P5668" t="str">
        <f t="shared" si="355"/>
        <v>Mid-term</v>
      </c>
    </row>
    <row r="5669" spans="1:16" x14ac:dyDescent="0.25">
      <c r="A5669">
        <v>2025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  <c r="M5669" t="str">
        <f t="shared" si="352"/>
        <v>30-45</v>
      </c>
      <c r="N5669" t="str">
        <f t="shared" si="353"/>
        <v>Medium</v>
      </c>
      <c r="O5669" t="str">
        <f t="shared" si="354"/>
        <v>Zero Balance</v>
      </c>
      <c r="P5669" t="str">
        <f t="shared" si="355"/>
        <v>Long-term</v>
      </c>
    </row>
    <row r="5670" spans="1:16" x14ac:dyDescent="0.25">
      <c r="A5670">
        <v>2025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  <c r="M5670" t="str">
        <f t="shared" si="352"/>
        <v>30-45</v>
      </c>
      <c r="N5670" t="str">
        <f t="shared" si="353"/>
        <v>Medium</v>
      </c>
      <c r="O5670" t="str">
        <f t="shared" si="354"/>
        <v>Zero Balance</v>
      </c>
      <c r="P5670" t="str">
        <f t="shared" si="355"/>
        <v>Mid-term</v>
      </c>
    </row>
    <row r="5671" spans="1:16" x14ac:dyDescent="0.25">
      <c r="A5671">
        <v>2025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  <c r="M5671" t="str">
        <f t="shared" si="352"/>
        <v>30-45</v>
      </c>
      <c r="N5671" t="str">
        <f t="shared" si="353"/>
        <v>Medium</v>
      </c>
      <c r="O5671" t="str">
        <f t="shared" si="354"/>
        <v>High Balance</v>
      </c>
      <c r="P5671" t="str">
        <f t="shared" si="355"/>
        <v>Mid-term</v>
      </c>
    </row>
    <row r="5672" spans="1:16" x14ac:dyDescent="0.25">
      <c r="A5672">
        <v>2025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  <c r="M5672" t="str">
        <f t="shared" si="352"/>
        <v>30-45</v>
      </c>
      <c r="N5672" t="str">
        <f t="shared" si="353"/>
        <v>Low</v>
      </c>
      <c r="O5672" t="str">
        <f t="shared" si="354"/>
        <v>Zero Balance</v>
      </c>
      <c r="P5672" t="str">
        <f t="shared" si="355"/>
        <v>Long-term</v>
      </c>
    </row>
    <row r="5673" spans="1:16" x14ac:dyDescent="0.25">
      <c r="A5673">
        <v>2025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  <c r="M5673" t="str">
        <f t="shared" si="352"/>
        <v>60+</v>
      </c>
      <c r="N5673" t="str">
        <f t="shared" si="353"/>
        <v>High</v>
      </c>
      <c r="O5673" t="str">
        <f t="shared" si="354"/>
        <v>Zero Balance</v>
      </c>
      <c r="P5673" t="str">
        <f t="shared" si="355"/>
        <v>Mid-term</v>
      </c>
    </row>
    <row r="5674" spans="1:16" x14ac:dyDescent="0.25">
      <c r="A5674">
        <v>2025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  <c r="M5674" t="str">
        <f t="shared" si="352"/>
        <v>&lt;30</v>
      </c>
      <c r="N5674" t="str">
        <f t="shared" si="353"/>
        <v>Medium</v>
      </c>
      <c r="O5674" t="str">
        <f t="shared" si="354"/>
        <v>Zero Balance</v>
      </c>
      <c r="P5674" t="str">
        <f t="shared" si="355"/>
        <v>Mid-term</v>
      </c>
    </row>
    <row r="5675" spans="1:16" x14ac:dyDescent="0.25">
      <c r="A5675">
        <v>2025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  <c r="M5675" t="str">
        <f t="shared" si="352"/>
        <v>30-45</v>
      </c>
      <c r="N5675" t="str">
        <f t="shared" si="353"/>
        <v>Medium</v>
      </c>
      <c r="O5675" t="str">
        <f t="shared" si="354"/>
        <v>High Balance</v>
      </c>
      <c r="P5675" t="str">
        <f t="shared" si="355"/>
        <v>Mid-term</v>
      </c>
    </row>
    <row r="5676" spans="1:16" x14ac:dyDescent="0.25">
      <c r="A5676">
        <v>2025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  <c r="M5676" t="str">
        <f t="shared" si="352"/>
        <v>&lt;30</v>
      </c>
      <c r="N5676" t="str">
        <f t="shared" si="353"/>
        <v>Medium</v>
      </c>
      <c r="O5676" t="str">
        <f t="shared" si="354"/>
        <v>Zero Balance</v>
      </c>
      <c r="P5676" t="str">
        <f t="shared" si="355"/>
        <v>Long-term</v>
      </c>
    </row>
    <row r="5677" spans="1:16" x14ac:dyDescent="0.25">
      <c r="A5677">
        <v>2025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  <c r="M5677" t="str">
        <f t="shared" si="352"/>
        <v>&lt;30</v>
      </c>
      <c r="N5677" t="str">
        <f t="shared" si="353"/>
        <v>High</v>
      </c>
      <c r="O5677" t="str">
        <f t="shared" si="354"/>
        <v>High Balance</v>
      </c>
      <c r="P5677" t="str">
        <f t="shared" si="355"/>
        <v>New</v>
      </c>
    </row>
    <row r="5678" spans="1:16" x14ac:dyDescent="0.25">
      <c r="A5678">
        <v>2025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  <c r="M5678" t="str">
        <f t="shared" si="352"/>
        <v>&lt;30</v>
      </c>
      <c r="N5678" t="str">
        <f t="shared" si="353"/>
        <v>High</v>
      </c>
      <c r="O5678" t="str">
        <f t="shared" si="354"/>
        <v>Zero Balance</v>
      </c>
      <c r="P5678" t="str">
        <f t="shared" si="355"/>
        <v>Mid-term</v>
      </c>
    </row>
    <row r="5679" spans="1:16" x14ac:dyDescent="0.25">
      <c r="A5679">
        <v>2025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  <c r="M5679" t="str">
        <f t="shared" si="352"/>
        <v>30-45</v>
      </c>
      <c r="N5679" t="str">
        <f t="shared" si="353"/>
        <v>Medium</v>
      </c>
      <c r="O5679" t="str">
        <f t="shared" si="354"/>
        <v>High Balance</v>
      </c>
      <c r="P5679" t="str">
        <f t="shared" si="355"/>
        <v>Long-term</v>
      </c>
    </row>
    <row r="5680" spans="1:16" x14ac:dyDescent="0.25">
      <c r="A5680">
        <v>2025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  <c r="M5680" t="str">
        <f t="shared" si="352"/>
        <v>30-45</v>
      </c>
      <c r="N5680" t="str">
        <f t="shared" si="353"/>
        <v>Medium</v>
      </c>
      <c r="O5680" t="str">
        <f t="shared" si="354"/>
        <v>Zero Balance</v>
      </c>
      <c r="P5680" t="str">
        <f t="shared" si="355"/>
        <v>Long-term</v>
      </c>
    </row>
    <row r="5681" spans="1:16" x14ac:dyDescent="0.25">
      <c r="A5681">
        <v>2025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  <c r="M5681" t="str">
        <f t="shared" si="352"/>
        <v>30-45</v>
      </c>
      <c r="N5681" t="str">
        <f t="shared" si="353"/>
        <v>High</v>
      </c>
      <c r="O5681" t="str">
        <f t="shared" si="354"/>
        <v>High Balance</v>
      </c>
      <c r="P5681" t="str">
        <f t="shared" si="355"/>
        <v>Mid-term</v>
      </c>
    </row>
    <row r="5682" spans="1:16" x14ac:dyDescent="0.25">
      <c r="A5682">
        <v>2025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  <c r="M5682" t="str">
        <f t="shared" si="352"/>
        <v>30-45</v>
      </c>
      <c r="N5682" t="str">
        <f t="shared" si="353"/>
        <v>High</v>
      </c>
      <c r="O5682" t="str">
        <f t="shared" si="354"/>
        <v>High Balance</v>
      </c>
      <c r="P5682" t="str">
        <f t="shared" si="355"/>
        <v>Mid-term</v>
      </c>
    </row>
    <row r="5683" spans="1:16" x14ac:dyDescent="0.25">
      <c r="A5683">
        <v>2025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  <c r="M5683" t="str">
        <f t="shared" si="352"/>
        <v>30-45</v>
      </c>
      <c r="N5683" t="str">
        <f t="shared" si="353"/>
        <v>Medium</v>
      </c>
      <c r="O5683" t="str">
        <f t="shared" si="354"/>
        <v>Low Balance</v>
      </c>
      <c r="P5683" t="str">
        <f t="shared" si="355"/>
        <v>New</v>
      </c>
    </row>
    <row r="5684" spans="1:16" x14ac:dyDescent="0.25">
      <c r="A5684">
        <v>2025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  <c r="M5684" t="str">
        <f t="shared" si="352"/>
        <v>&lt;30</v>
      </c>
      <c r="N5684" t="str">
        <f t="shared" si="353"/>
        <v>Medium</v>
      </c>
      <c r="O5684" t="str">
        <f t="shared" si="354"/>
        <v>Zero Balance</v>
      </c>
      <c r="P5684" t="str">
        <f t="shared" si="355"/>
        <v>Long-term</v>
      </c>
    </row>
    <row r="5685" spans="1:16" x14ac:dyDescent="0.25">
      <c r="A5685">
        <v>2025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  <c r="M5685" t="str">
        <f t="shared" si="352"/>
        <v>60+</v>
      </c>
      <c r="N5685" t="str">
        <f t="shared" si="353"/>
        <v>Medium</v>
      </c>
      <c r="O5685" t="str">
        <f t="shared" si="354"/>
        <v>High Balance</v>
      </c>
      <c r="P5685" t="str">
        <f t="shared" si="355"/>
        <v>New</v>
      </c>
    </row>
    <row r="5686" spans="1:16" x14ac:dyDescent="0.25">
      <c r="A5686">
        <v>2025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  <c r="M5686" t="str">
        <f t="shared" si="352"/>
        <v>&lt;30</v>
      </c>
      <c r="N5686" t="str">
        <f t="shared" si="353"/>
        <v>High</v>
      </c>
      <c r="O5686" t="str">
        <f t="shared" si="354"/>
        <v>Low Balance</v>
      </c>
      <c r="P5686" t="str">
        <f t="shared" si="355"/>
        <v>New</v>
      </c>
    </row>
    <row r="5687" spans="1:16" x14ac:dyDescent="0.25">
      <c r="A5687">
        <v>2025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  <c r="M5687" t="str">
        <f t="shared" si="352"/>
        <v>46-60</v>
      </c>
      <c r="N5687" t="str">
        <f t="shared" si="353"/>
        <v>High</v>
      </c>
      <c r="O5687" t="str">
        <f t="shared" si="354"/>
        <v>Low Balance</v>
      </c>
      <c r="P5687" t="str">
        <f t="shared" si="355"/>
        <v>New</v>
      </c>
    </row>
    <row r="5688" spans="1:16" x14ac:dyDescent="0.25">
      <c r="A5688">
        <v>2025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  <c r="M5688" t="str">
        <f t="shared" si="352"/>
        <v>46-60</v>
      </c>
      <c r="N5688" t="str">
        <f t="shared" si="353"/>
        <v>Medium</v>
      </c>
      <c r="O5688" t="str">
        <f t="shared" si="354"/>
        <v>Low Balance</v>
      </c>
      <c r="P5688" t="str">
        <f t="shared" si="355"/>
        <v>Mid-term</v>
      </c>
    </row>
    <row r="5689" spans="1:16" x14ac:dyDescent="0.25">
      <c r="A5689">
        <v>2025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  <c r="M5689" t="str">
        <f t="shared" si="352"/>
        <v>30-45</v>
      </c>
      <c r="N5689" t="str">
        <f t="shared" si="353"/>
        <v>Medium</v>
      </c>
      <c r="O5689" t="str">
        <f t="shared" si="354"/>
        <v>High Balance</v>
      </c>
      <c r="P5689" t="str">
        <f t="shared" si="355"/>
        <v>Mid-term</v>
      </c>
    </row>
    <row r="5690" spans="1:16" x14ac:dyDescent="0.25">
      <c r="A5690">
        <v>2025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  <c r="M5690" t="str">
        <f t="shared" si="352"/>
        <v>&lt;30</v>
      </c>
      <c r="N5690" t="str">
        <f t="shared" si="353"/>
        <v>Low</v>
      </c>
      <c r="O5690" t="str">
        <f t="shared" si="354"/>
        <v>High Balance</v>
      </c>
      <c r="P5690" t="str">
        <f t="shared" si="355"/>
        <v>Mid-term</v>
      </c>
    </row>
    <row r="5691" spans="1:16" x14ac:dyDescent="0.25">
      <c r="A5691">
        <v>2025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  <c r="M5691" t="str">
        <f t="shared" si="352"/>
        <v>46-60</v>
      </c>
      <c r="N5691" t="str">
        <f t="shared" si="353"/>
        <v>High</v>
      </c>
      <c r="O5691" t="str">
        <f t="shared" si="354"/>
        <v>High Balance</v>
      </c>
      <c r="P5691" t="str">
        <f t="shared" si="355"/>
        <v>Mid-term</v>
      </c>
    </row>
    <row r="5692" spans="1:16" x14ac:dyDescent="0.25">
      <c r="A5692">
        <v>2025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  <c r="M5692" t="str">
        <f t="shared" si="352"/>
        <v>30-45</v>
      </c>
      <c r="N5692" t="str">
        <f t="shared" si="353"/>
        <v>Medium</v>
      </c>
      <c r="O5692" t="str">
        <f t="shared" si="354"/>
        <v>Zero Balance</v>
      </c>
      <c r="P5692" t="str">
        <f t="shared" si="355"/>
        <v>Mid-term</v>
      </c>
    </row>
    <row r="5693" spans="1:16" x14ac:dyDescent="0.25">
      <c r="A5693">
        <v>2025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  <c r="M5693" t="str">
        <f t="shared" si="352"/>
        <v>30-45</v>
      </c>
      <c r="N5693" t="str">
        <f t="shared" si="353"/>
        <v>High</v>
      </c>
      <c r="O5693" t="str">
        <f t="shared" si="354"/>
        <v>High Balance</v>
      </c>
      <c r="P5693" t="str">
        <f t="shared" si="355"/>
        <v>Mid-term</v>
      </c>
    </row>
    <row r="5694" spans="1:16" x14ac:dyDescent="0.25">
      <c r="A5694">
        <v>2025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  <c r="M5694" t="str">
        <f t="shared" si="352"/>
        <v>30-45</v>
      </c>
      <c r="N5694" t="str">
        <f t="shared" si="353"/>
        <v>Medium</v>
      </c>
      <c r="O5694" t="str">
        <f t="shared" si="354"/>
        <v>Zero Balance</v>
      </c>
      <c r="P5694" t="str">
        <f t="shared" si="355"/>
        <v>Mid-term</v>
      </c>
    </row>
    <row r="5695" spans="1:16" x14ac:dyDescent="0.25">
      <c r="A5695">
        <v>2025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  <c r="M5695" t="str">
        <f t="shared" si="352"/>
        <v>30-45</v>
      </c>
      <c r="N5695" t="str">
        <f t="shared" si="353"/>
        <v>Medium</v>
      </c>
      <c r="O5695" t="str">
        <f t="shared" si="354"/>
        <v>Low Balance</v>
      </c>
      <c r="P5695" t="str">
        <f t="shared" si="355"/>
        <v>Mid-term</v>
      </c>
    </row>
    <row r="5696" spans="1:16" x14ac:dyDescent="0.25">
      <c r="A5696">
        <v>2025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  <c r="M5696" t="str">
        <f t="shared" si="352"/>
        <v>30-45</v>
      </c>
      <c r="N5696" t="str">
        <f t="shared" si="353"/>
        <v>Medium</v>
      </c>
      <c r="O5696" t="str">
        <f t="shared" si="354"/>
        <v>High Balance</v>
      </c>
      <c r="P5696" t="str">
        <f t="shared" si="355"/>
        <v>Mid-term</v>
      </c>
    </row>
    <row r="5697" spans="1:16" x14ac:dyDescent="0.25">
      <c r="A5697">
        <v>2025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  <c r="M5697" t="str">
        <f t="shared" si="352"/>
        <v>46-60</v>
      </c>
      <c r="N5697" t="str">
        <f t="shared" si="353"/>
        <v>High</v>
      </c>
      <c r="O5697" t="str">
        <f t="shared" si="354"/>
        <v>High Balance</v>
      </c>
      <c r="P5697" t="str">
        <f t="shared" si="355"/>
        <v>Mid-term</v>
      </c>
    </row>
    <row r="5698" spans="1:16" x14ac:dyDescent="0.25">
      <c r="A5698">
        <v>2025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  <c r="M5698" t="str">
        <f t="shared" si="352"/>
        <v>30-45</v>
      </c>
      <c r="N5698" t="str">
        <f t="shared" si="353"/>
        <v>Medium</v>
      </c>
      <c r="O5698" t="str">
        <f t="shared" si="354"/>
        <v>Zero Balance</v>
      </c>
      <c r="P5698" t="str">
        <f t="shared" si="355"/>
        <v>Mid-term</v>
      </c>
    </row>
    <row r="5699" spans="1:16" x14ac:dyDescent="0.25">
      <c r="A5699">
        <v>2025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  <c r="M5699" t="str">
        <f t="shared" ref="M5699:M5762" si="356">IF(E5699&lt;30,"&lt;30",IF(E5699&lt;=45,"30-45",IF(E5699&lt;=60,"46-60","60+")))</f>
        <v>30-45</v>
      </c>
      <c r="N5699" t="str">
        <f t="shared" ref="N5699:N5762" si="357">IF(B5699&lt;500,"Low",IF(B5699&lt;700,"Medium","High"))</f>
        <v>Medium</v>
      </c>
      <c r="O5699" t="str">
        <f t="shared" ref="O5699:O5762" si="358">IF(G5699=0,"Zero Balance",IF(G5699&lt;100000,"Low Balance","High Balance"))</f>
        <v>Zero Balance</v>
      </c>
      <c r="P5699" t="str">
        <f t="shared" ref="P5699:P5762" si="359">IF(F5699&lt;=3,"New",IF(F5699&lt;=7,"Mid-term","Long-term"))</f>
        <v>Mid-term</v>
      </c>
    </row>
    <row r="5700" spans="1:16" x14ac:dyDescent="0.25">
      <c r="A5700">
        <v>2025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  <c r="M5700" t="str">
        <f t="shared" si="356"/>
        <v>60+</v>
      </c>
      <c r="N5700" t="str">
        <f t="shared" si="357"/>
        <v>Medium</v>
      </c>
      <c r="O5700" t="str">
        <f t="shared" si="358"/>
        <v>Zero Balance</v>
      </c>
      <c r="P5700" t="str">
        <f t="shared" si="359"/>
        <v>Long-term</v>
      </c>
    </row>
    <row r="5701" spans="1:16" x14ac:dyDescent="0.25">
      <c r="A5701">
        <v>2025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  <c r="M5701" t="str">
        <f t="shared" si="356"/>
        <v>30-45</v>
      </c>
      <c r="N5701" t="str">
        <f t="shared" si="357"/>
        <v>Medium</v>
      </c>
      <c r="O5701" t="str">
        <f t="shared" si="358"/>
        <v>High Balance</v>
      </c>
      <c r="P5701" t="str">
        <f t="shared" si="359"/>
        <v>Mid-term</v>
      </c>
    </row>
    <row r="5702" spans="1:16" x14ac:dyDescent="0.25">
      <c r="A5702">
        <v>2025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  <c r="M5702" t="str">
        <f t="shared" si="356"/>
        <v>30-45</v>
      </c>
      <c r="N5702" t="str">
        <f t="shared" si="357"/>
        <v>Low</v>
      </c>
      <c r="O5702" t="str">
        <f t="shared" si="358"/>
        <v>Zero Balance</v>
      </c>
      <c r="P5702" t="str">
        <f t="shared" si="359"/>
        <v>New</v>
      </c>
    </row>
    <row r="5703" spans="1:16" x14ac:dyDescent="0.25">
      <c r="A5703">
        <v>2025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  <c r="M5703" t="str">
        <f t="shared" si="356"/>
        <v>46-60</v>
      </c>
      <c r="N5703" t="str">
        <f t="shared" si="357"/>
        <v>Medium</v>
      </c>
      <c r="O5703" t="str">
        <f t="shared" si="358"/>
        <v>High Balance</v>
      </c>
      <c r="P5703" t="str">
        <f t="shared" si="359"/>
        <v>Mid-term</v>
      </c>
    </row>
    <row r="5704" spans="1:16" x14ac:dyDescent="0.25">
      <c r="A5704">
        <v>2025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  <c r="M5704" t="str">
        <f t="shared" si="356"/>
        <v>30-45</v>
      </c>
      <c r="N5704" t="str">
        <f t="shared" si="357"/>
        <v>Medium</v>
      </c>
      <c r="O5704" t="str">
        <f t="shared" si="358"/>
        <v>Zero Balance</v>
      </c>
      <c r="P5704" t="str">
        <f t="shared" si="359"/>
        <v>Mid-term</v>
      </c>
    </row>
    <row r="5705" spans="1:16" x14ac:dyDescent="0.25">
      <c r="A5705">
        <v>2025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  <c r="M5705" t="str">
        <f t="shared" si="356"/>
        <v>30-45</v>
      </c>
      <c r="N5705" t="str">
        <f t="shared" si="357"/>
        <v>Medium</v>
      </c>
      <c r="O5705" t="str">
        <f t="shared" si="358"/>
        <v>Low Balance</v>
      </c>
      <c r="P5705" t="str">
        <f t="shared" si="359"/>
        <v>Long-term</v>
      </c>
    </row>
    <row r="5706" spans="1:16" x14ac:dyDescent="0.25">
      <c r="A5706">
        <v>2025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  <c r="M5706" t="str">
        <f t="shared" si="356"/>
        <v>30-45</v>
      </c>
      <c r="N5706" t="str">
        <f t="shared" si="357"/>
        <v>High</v>
      </c>
      <c r="O5706" t="str">
        <f t="shared" si="358"/>
        <v>Low Balance</v>
      </c>
      <c r="P5706" t="str">
        <f t="shared" si="359"/>
        <v>Mid-term</v>
      </c>
    </row>
    <row r="5707" spans="1:16" x14ac:dyDescent="0.25">
      <c r="A5707">
        <v>2025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  <c r="M5707" t="str">
        <f t="shared" si="356"/>
        <v>30-45</v>
      </c>
      <c r="N5707" t="str">
        <f t="shared" si="357"/>
        <v>Medium</v>
      </c>
      <c r="O5707" t="str">
        <f t="shared" si="358"/>
        <v>High Balance</v>
      </c>
      <c r="P5707" t="str">
        <f t="shared" si="359"/>
        <v>Mid-term</v>
      </c>
    </row>
    <row r="5708" spans="1:16" x14ac:dyDescent="0.25">
      <c r="A5708">
        <v>2025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  <c r="M5708" t="str">
        <f t="shared" si="356"/>
        <v>46-60</v>
      </c>
      <c r="N5708" t="str">
        <f t="shared" si="357"/>
        <v>Medium</v>
      </c>
      <c r="O5708" t="str">
        <f t="shared" si="358"/>
        <v>High Balance</v>
      </c>
      <c r="P5708" t="str">
        <f t="shared" si="359"/>
        <v>Long-term</v>
      </c>
    </row>
    <row r="5709" spans="1:16" x14ac:dyDescent="0.25">
      <c r="A5709">
        <v>2025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  <c r="M5709" t="str">
        <f t="shared" si="356"/>
        <v>&lt;30</v>
      </c>
      <c r="N5709" t="str">
        <f t="shared" si="357"/>
        <v>High</v>
      </c>
      <c r="O5709" t="str">
        <f t="shared" si="358"/>
        <v>Zero Balance</v>
      </c>
      <c r="P5709" t="str">
        <f t="shared" si="359"/>
        <v>Long-term</v>
      </c>
    </row>
    <row r="5710" spans="1:16" x14ac:dyDescent="0.25">
      <c r="A5710">
        <v>2025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  <c r="M5710" t="str">
        <f t="shared" si="356"/>
        <v>46-60</v>
      </c>
      <c r="N5710" t="str">
        <f t="shared" si="357"/>
        <v>Medium</v>
      </c>
      <c r="O5710" t="str">
        <f t="shared" si="358"/>
        <v>Zero Balance</v>
      </c>
      <c r="P5710" t="str">
        <f t="shared" si="359"/>
        <v>New</v>
      </c>
    </row>
    <row r="5711" spans="1:16" x14ac:dyDescent="0.25">
      <c r="A5711">
        <v>2025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  <c r="M5711" t="str">
        <f t="shared" si="356"/>
        <v>30-45</v>
      </c>
      <c r="N5711" t="str">
        <f t="shared" si="357"/>
        <v>Medium</v>
      </c>
      <c r="O5711" t="str">
        <f t="shared" si="358"/>
        <v>Zero Balance</v>
      </c>
      <c r="P5711" t="str">
        <f t="shared" si="359"/>
        <v>Long-term</v>
      </c>
    </row>
    <row r="5712" spans="1:16" x14ac:dyDescent="0.25">
      <c r="A5712">
        <v>2025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  <c r="M5712" t="str">
        <f t="shared" si="356"/>
        <v>30-45</v>
      </c>
      <c r="N5712" t="str">
        <f t="shared" si="357"/>
        <v>High</v>
      </c>
      <c r="O5712" t="str">
        <f t="shared" si="358"/>
        <v>High Balance</v>
      </c>
      <c r="P5712" t="str">
        <f t="shared" si="359"/>
        <v>Mid-term</v>
      </c>
    </row>
    <row r="5713" spans="1:16" x14ac:dyDescent="0.25">
      <c r="A5713">
        <v>2025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  <c r="M5713" t="str">
        <f t="shared" si="356"/>
        <v>30-45</v>
      </c>
      <c r="N5713" t="str">
        <f t="shared" si="357"/>
        <v>Medium</v>
      </c>
      <c r="O5713" t="str">
        <f t="shared" si="358"/>
        <v>High Balance</v>
      </c>
      <c r="P5713" t="str">
        <f t="shared" si="359"/>
        <v>New</v>
      </c>
    </row>
    <row r="5714" spans="1:16" x14ac:dyDescent="0.25">
      <c r="A5714">
        <v>2025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  <c r="M5714" t="str">
        <f t="shared" si="356"/>
        <v>30-45</v>
      </c>
      <c r="N5714" t="str">
        <f t="shared" si="357"/>
        <v>Medium</v>
      </c>
      <c r="O5714" t="str">
        <f t="shared" si="358"/>
        <v>High Balance</v>
      </c>
      <c r="P5714" t="str">
        <f t="shared" si="359"/>
        <v>Long-term</v>
      </c>
    </row>
    <row r="5715" spans="1:16" x14ac:dyDescent="0.25">
      <c r="A5715">
        <v>2025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  <c r="M5715" t="str">
        <f t="shared" si="356"/>
        <v>46-60</v>
      </c>
      <c r="N5715" t="str">
        <f t="shared" si="357"/>
        <v>Medium</v>
      </c>
      <c r="O5715" t="str">
        <f t="shared" si="358"/>
        <v>Zero Balance</v>
      </c>
      <c r="P5715" t="str">
        <f t="shared" si="359"/>
        <v>Long-term</v>
      </c>
    </row>
    <row r="5716" spans="1:16" x14ac:dyDescent="0.25">
      <c r="A5716">
        <v>2025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  <c r="M5716" t="str">
        <f t="shared" si="356"/>
        <v>30-45</v>
      </c>
      <c r="N5716" t="str">
        <f t="shared" si="357"/>
        <v>Medium</v>
      </c>
      <c r="O5716" t="str">
        <f t="shared" si="358"/>
        <v>Zero Balance</v>
      </c>
      <c r="P5716" t="str">
        <f t="shared" si="359"/>
        <v>Long-term</v>
      </c>
    </row>
    <row r="5717" spans="1:16" x14ac:dyDescent="0.25">
      <c r="A5717">
        <v>2025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  <c r="M5717" t="str">
        <f t="shared" si="356"/>
        <v>30-45</v>
      </c>
      <c r="N5717" t="str">
        <f t="shared" si="357"/>
        <v>High</v>
      </c>
      <c r="O5717" t="str">
        <f t="shared" si="358"/>
        <v>Zero Balance</v>
      </c>
      <c r="P5717" t="str">
        <f t="shared" si="359"/>
        <v>Long-term</v>
      </c>
    </row>
    <row r="5718" spans="1:16" x14ac:dyDescent="0.25">
      <c r="A5718">
        <v>2025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  <c r="M5718" t="str">
        <f t="shared" si="356"/>
        <v>30-45</v>
      </c>
      <c r="N5718" t="str">
        <f t="shared" si="357"/>
        <v>Medium</v>
      </c>
      <c r="O5718" t="str">
        <f t="shared" si="358"/>
        <v>High Balance</v>
      </c>
      <c r="P5718" t="str">
        <f t="shared" si="359"/>
        <v>New</v>
      </c>
    </row>
    <row r="5719" spans="1:16" x14ac:dyDescent="0.25">
      <c r="A5719">
        <v>2025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  <c r="M5719" t="str">
        <f t="shared" si="356"/>
        <v>30-45</v>
      </c>
      <c r="N5719" t="str">
        <f t="shared" si="357"/>
        <v>Medium</v>
      </c>
      <c r="O5719" t="str">
        <f t="shared" si="358"/>
        <v>High Balance</v>
      </c>
      <c r="P5719" t="str">
        <f t="shared" si="359"/>
        <v>Mid-term</v>
      </c>
    </row>
    <row r="5720" spans="1:16" x14ac:dyDescent="0.25">
      <c r="A5720">
        <v>2025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  <c r="M5720" t="str">
        <f t="shared" si="356"/>
        <v>30-45</v>
      </c>
      <c r="N5720" t="str">
        <f t="shared" si="357"/>
        <v>Medium</v>
      </c>
      <c r="O5720" t="str">
        <f t="shared" si="358"/>
        <v>Zero Balance</v>
      </c>
      <c r="P5720" t="str">
        <f t="shared" si="359"/>
        <v>Mid-term</v>
      </c>
    </row>
    <row r="5721" spans="1:16" x14ac:dyDescent="0.25">
      <c r="A5721">
        <v>2025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  <c r="M5721" t="str">
        <f t="shared" si="356"/>
        <v>&lt;30</v>
      </c>
      <c r="N5721" t="str">
        <f t="shared" si="357"/>
        <v>Medium</v>
      </c>
      <c r="O5721" t="str">
        <f t="shared" si="358"/>
        <v>High Balance</v>
      </c>
      <c r="P5721" t="str">
        <f t="shared" si="359"/>
        <v>New</v>
      </c>
    </row>
    <row r="5722" spans="1:16" x14ac:dyDescent="0.25">
      <c r="A5722">
        <v>2025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  <c r="M5722" t="str">
        <f t="shared" si="356"/>
        <v>46-60</v>
      </c>
      <c r="N5722" t="str">
        <f t="shared" si="357"/>
        <v>Medium</v>
      </c>
      <c r="O5722" t="str">
        <f t="shared" si="358"/>
        <v>Low Balance</v>
      </c>
      <c r="P5722" t="str">
        <f t="shared" si="359"/>
        <v>Mid-term</v>
      </c>
    </row>
    <row r="5723" spans="1:16" x14ac:dyDescent="0.25">
      <c r="A5723">
        <v>2025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  <c r="M5723" t="str">
        <f t="shared" si="356"/>
        <v>46-60</v>
      </c>
      <c r="N5723" t="str">
        <f t="shared" si="357"/>
        <v>Medium</v>
      </c>
      <c r="O5723" t="str">
        <f t="shared" si="358"/>
        <v>Low Balance</v>
      </c>
      <c r="P5723" t="str">
        <f t="shared" si="359"/>
        <v>Mid-term</v>
      </c>
    </row>
    <row r="5724" spans="1:16" x14ac:dyDescent="0.25">
      <c r="A5724">
        <v>2025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  <c r="M5724" t="str">
        <f t="shared" si="356"/>
        <v>30-45</v>
      </c>
      <c r="N5724" t="str">
        <f t="shared" si="357"/>
        <v>Medium</v>
      </c>
      <c r="O5724" t="str">
        <f t="shared" si="358"/>
        <v>Zero Balance</v>
      </c>
      <c r="P5724" t="str">
        <f t="shared" si="359"/>
        <v>New</v>
      </c>
    </row>
    <row r="5725" spans="1:16" x14ac:dyDescent="0.25">
      <c r="A5725">
        <v>2025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  <c r="M5725" t="str">
        <f t="shared" si="356"/>
        <v>&lt;30</v>
      </c>
      <c r="N5725" t="str">
        <f t="shared" si="357"/>
        <v>Medium</v>
      </c>
      <c r="O5725" t="str">
        <f t="shared" si="358"/>
        <v>Zero Balance</v>
      </c>
      <c r="P5725" t="str">
        <f t="shared" si="359"/>
        <v>Mid-term</v>
      </c>
    </row>
    <row r="5726" spans="1:16" x14ac:dyDescent="0.25">
      <c r="A5726">
        <v>2025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  <c r="M5726" t="str">
        <f t="shared" si="356"/>
        <v>30-45</v>
      </c>
      <c r="N5726" t="str">
        <f t="shared" si="357"/>
        <v>Medium</v>
      </c>
      <c r="O5726" t="str">
        <f t="shared" si="358"/>
        <v>High Balance</v>
      </c>
      <c r="P5726" t="str">
        <f t="shared" si="359"/>
        <v>Mid-term</v>
      </c>
    </row>
    <row r="5727" spans="1:16" x14ac:dyDescent="0.25">
      <c r="A5727">
        <v>2025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  <c r="M5727" t="str">
        <f t="shared" si="356"/>
        <v>30-45</v>
      </c>
      <c r="N5727" t="str">
        <f t="shared" si="357"/>
        <v>Medium</v>
      </c>
      <c r="O5727" t="str">
        <f t="shared" si="358"/>
        <v>High Balance</v>
      </c>
      <c r="P5727" t="str">
        <f t="shared" si="359"/>
        <v>New</v>
      </c>
    </row>
    <row r="5728" spans="1:16" x14ac:dyDescent="0.25">
      <c r="A5728">
        <v>2025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  <c r="M5728" t="str">
        <f t="shared" si="356"/>
        <v>46-60</v>
      </c>
      <c r="N5728" t="str">
        <f t="shared" si="357"/>
        <v>Medium</v>
      </c>
      <c r="O5728" t="str">
        <f t="shared" si="358"/>
        <v>High Balance</v>
      </c>
      <c r="P5728" t="str">
        <f t="shared" si="359"/>
        <v>Long-term</v>
      </c>
    </row>
    <row r="5729" spans="1:16" x14ac:dyDescent="0.25">
      <c r="A5729">
        <v>2025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  <c r="M5729" t="str">
        <f t="shared" si="356"/>
        <v>30-45</v>
      </c>
      <c r="N5729" t="str">
        <f t="shared" si="357"/>
        <v>Medium</v>
      </c>
      <c r="O5729" t="str">
        <f t="shared" si="358"/>
        <v>High Balance</v>
      </c>
      <c r="P5729" t="str">
        <f t="shared" si="359"/>
        <v>Long-term</v>
      </c>
    </row>
    <row r="5730" spans="1:16" x14ac:dyDescent="0.25">
      <c r="A5730">
        <v>2025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  <c r="M5730" t="str">
        <f t="shared" si="356"/>
        <v>30-45</v>
      </c>
      <c r="N5730" t="str">
        <f t="shared" si="357"/>
        <v>High</v>
      </c>
      <c r="O5730" t="str">
        <f t="shared" si="358"/>
        <v>Zero Balance</v>
      </c>
      <c r="P5730" t="str">
        <f t="shared" si="359"/>
        <v>Long-term</v>
      </c>
    </row>
    <row r="5731" spans="1:16" x14ac:dyDescent="0.25">
      <c r="A5731">
        <v>2025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  <c r="M5731" t="str">
        <f t="shared" si="356"/>
        <v>30-45</v>
      </c>
      <c r="N5731" t="str">
        <f t="shared" si="357"/>
        <v>Low</v>
      </c>
      <c r="O5731" t="str">
        <f t="shared" si="358"/>
        <v>High Balance</v>
      </c>
      <c r="P5731" t="str">
        <f t="shared" si="359"/>
        <v>Long-term</v>
      </c>
    </row>
    <row r="5732" spans="1:16" x14ac:dyDescent="0.25">
      <c r="A5732">
        <v>2025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  <c r="M5732" t="str">
        <f t="shared" si="356"/>
        <v>&lt;30</v>
      </c>
      <c r="N5732" t="str">
        <f t="shared" si="357"/>
        <v>Medium</v>
      </c>
      <c r="O5732" t="str">
        <f t="shared" si="358"/>
        <v>Zero Balance</v>
      </c>
      <c r="P5732" t="str">
        <f t="shared" si="359"/>
        <v>Mid-term</v>
      </c>
    </row>
    <row r="5733" spans="1:16" x14ac:dyDescent="0.25">
      <c r="A5733">
        <v>2025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  <c r="M5733" t="str">
        <f t="shared" si="356"/>
        <v>30-45</v>
      </c>
      <c r="N5733" t="str">
        <f t="shared" si="357"/>
        <v>Medium</v>
      </c>
      <c r="O5733" t="str">
        <f t="shared" si="358"/>
        <v>High Balance</v>
      </c>
      <c r="P5733" t="str">
        <f t="shared" si="359"/>
        <v>Mid-term</v>
      </c>
    </row>
    <row r="5734" spans="1:16" x14ac:dyDescent="0.25">
      <c r="A5734">
        <v>2025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  <c r="M5734" t="str">
        <f t="shared" si="356"/>
        <v>30-45</v>
      </c>
      <c r="N5734" t="str">
        <f t="shared" si="357"/>
        <v>Medium</v>
      </c>
      <c r="O5734" t="str">
        <f t="shared" si="358"/>
        <v>Zero Balance</v>
      </c>
      <c r="P5734" t="str">
        <f t="shared" si="359"/>
        <v>Long-term</v>
      </c>
    </row>
    <row r="5735" spans="1:16" x14ac:dyDescent="0.25">
      <c r="A5735">
        <v>2025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  <c r="M5735" t="str">
        <f t="shared" si="356"/>
        <v>&lt;30</v>
      </c>
      <c r="N5735" t="str">
        <f t="shared" si="357"/>
        <v>High</v>
      </c>
      <c r="O5735" t="str">
        <f t="shared" si="358"/>
        <v>High Balance</v>
      </c>
      <c r="P5735" t="str">
        <f t="shared" si="359"/>
        <v>Mid-term</v>
      </c>
    </row>
    <row r="5736" spans="1:16" x14ac:dyDescent="0.25">
      <c r="A5736">
        <v>2025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  <c r="M5736" t="str">
        <f t="shared" si="356"/>
        <v>46-60</v>
      </c>
      <c r="N5736" t="str">
        <f t="shared" si="357"/>
        <v>High</v>
      </c>
      <c r="O5736" t="str">
        <f t="shared" si="358"/>
        <v>Low Balance</v>
      </c>
      <c r="P5736" t="str">
        <f t="shared" si="359"/>
        <v>Long-term</v>
      </c>
    </row>
    <row r="5737" spans="1:16" x14ac:dyDescent="0.25">
      <c r="A5737">
        <v>2025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  <c r="M5737" t="str">
        <f t="shared" si="356"/>
        <v>30-45</v>
      </c>
      <c r="N5737" t="str">
        <f t="shared" si="357"/>
        <v>Medium</v>
      </c>
      <c r="O5737" t="str">
        <f t="shared" si="358"/>
        <v>Zero Balance</v>
      </c>
      <c r="P5737" t="str">
        <f t="shared" si="359"/>
        <v>Mid-term</v>
      </c>
    </row>
    <row r="5738" spans="1:16" x14ac:dyDescent="0.25">
      <c r="A5738">
        <v>2025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  <c r="M5738" t="str">
        <f t="shared" si="356"/>
        <v>30-45</v>
      </c>
      <c r="N5738" t="str">
        <f t="shared" si="357"/>
        <v>Medium</v>
      </c>
      <c r="O5738" t="str">
        <f t="shared" si="358"/>
        <v>Zero Balance</v>
      </c>
      <c r="P5738" t="str">
        <f t="shared" si="359"/>
        <v>New</v>
      </c>
    </row>
    <row r="5739" spans="1:16" x14ac:dyDescent="0.25">
      <c r="A5739">
        <v>2025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  <c r="M5739" t="str">
        <f t="shared" si="356"/>
        <v>30-45</v>
      </c>
      <c r="N5739" t="str">
        <f t="shared" si="357"/>
        <v>Medium</v>
      </c>
      <c r="O5739" t="str">
        <f t="shared" si="358"/>
        <v>High Balance</v>
      </c>
      <c r="P5739" t="str">
        <f t="shared" si="359"/>
        <v>New</v>
      </c>
    </row>
    <row r="5740" spans="1:16" x14ac:dyDescent="0.25">
      <c r="A5740">
        <v>2025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  <c r="M5740" t="str">
        <f t="shared" si="356"/>
        <v>30-45</v>
      </c>
      <c r="N5740" t="str">
        <f t="shared" si="357"/>
        <v>Medium</v>
      </c>
      <c r="O5740" t="str">
        <f t="shared" si="358"/>
        <v>High Balance</v>
      </c>
      <c r="P5740" t="str">
        <f t="shared" si="359"/>
        <v>Long-term</v>
      </c>
    </row>
    <row r="5741" spans="1:16" x14ac:dyDescent="0.25">
      <c r="A5741">
        <v>2025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  <c r="M5741" t="str">
        <f t="shared" si="356"/>
        <v>30-45</v>
      </c>
      <c r="N5741" t="str">
        <f t="shared" si="357"/>
        <v>High</v>
      </c>
      <c r="O5741" t="str">
        <f t="shared" si="358"/>
        <v>Low Balance</v>
      </c>
      <c r="P5741" t="str">
        <f t="shared" si="359"/>
        <v>New</v>
      </c>
    </row>
    <row r="5742" spans="1:16" x14ac:dyDescent="0.25">
      <c r="A5742">
        <v>2025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  <c r="M5742" t="str">
        <f t="shared" si="356"/>
        <v>30-45</v>
      </c>
      <c r="N5742" t="str">
        <f t="shared" si="357"/>
        <v>Medium</v>
      </c>
      <c r="O5742" t="str">
        <f t="shared" si="358"/>
        <v>High Balance</v>
      </c>
      <c r="P5742" t="str">
        <f t="shared" si="359"/>
        <v>Long-term</v>
      </c>
    </row>
    <row r="5743" spans="1:16" x14ac:dyDescent="0.25">
      <c r="A5743">
        <v>2025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  <c r="M5743" t="str">
        <f t="shared" si="356"/>
        <v>30-45</v>
      </c>
      <c r="N5743" t="str">
        <f t="shared" si="357"/>
        <v>High</v>
      </c>
      <c r="O5743" t="str">
        <f t="shared" si="358"/>
        <v>High Balance</v>
      </c>
      <c r="P5743" t="str">
        <f t="shared" si="359"/>
        <v>Long-term</v>
      </c>
    </row>
    <row r="5744" spans="1:16" x14ac:dyDescent="0.25">
      <c r="A5744">
        <v>2025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  <c r="M5744" t="str">
        <f t="shared" si="356"/>
        <v>60+</v>
      </c>
      <c r="N5744" t="str">
        <f t="shared" si="357"/>
        <v>High</v>
      </c>
      <c r="O5744" t="str">
        <f t="shared" si="358"/>
        <v>Zero Balance</v>
      </c>
      <c r="P5744" t="str">
        <f t="shared" si="359"/>
        <v>New</v>
      </c>
    </row>
    <row r="5745" spans="1:16" x14ac:dyDescent="0.25">
      <c r="A5745">
        <v>2025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  <c r="M5745" t="str">
        <f t="shared" si="356"/>
        <v>30-45</v>
      </c>
      <c r="N5745" t="str">
        <f t="shared" si="357"/>
        <v>Medium</v>
      </c>
      <c r="O5745" t="str">
        <f t="shared" si="358"/>
        <v>High Balance</v>
      </c>
      <c r="P5745" t="str">
        <f t="shared" si="359"/>
        <v>New</v>
      </c>
    </row>
    <row r="5746" spans="1:16" x14ac:dyDescent="0.25">
      <c r="A5746">
        <v>2025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  <c r="M5746" t="str">
        <f t="shared" si="356"/>
        <v>30-45</v>
      </c>
      <c r="N5746" t="str">
        <f t="shared" si="357"/>
        <v>High</v>
      </c>
      <c r="O5746" t="str">
        <f t="shared" si="358"/>
        <v>High Balance</v>
      </c>
      <c r="P5746" t="str">
        <f t="shared" si="359"/>
        <v>New</v>
      </c>
    </row>
    <row r="5747" spans="1:16" x14ac:dyDescent="0.25">
      <c r="A5747">
        <v>2025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  <c r="M5747" t="str">
        <f t="shared" si="356"/>
        <v>30-45</v>
      </c>
      <c r="N5747" t="str">
        <f t="shared" si="357"/>
        <v>Medium</v>
      </c>
      <c r="O5747" t="str">
        <f t="shared" si="358"/>
        <v>Zero Balance</v>
      </c>
      <c r="P5747" t="str">
        <f t="shared" si="359"/>
        <v>New</v>
      </c>
    </row>
    <row r="5748" spans="1:16" x14ac:dyDescent="0.25">
      <c r="A5748">
        <v>2025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  <c r="M5748" t="str">
        <f t="shared" si="356"/>
        <v>30-45</v>
      </c>
      <c r="N5748" t="str">
        <f t="shared" si="357"/>
        <v>High</v>
      </c>
      <c r="O5748" t="str">
        <f t="shared" si="358"/>
        <v>High Balance</v>
      </c>
      <c r="P5748" t="str">
        <f t="shared" si="359"/>
        <v>Mid-term</v>
      </c>
    </row>
    <row r="5749" spans="1:16" x14ac:dyDescent="0.25">
      <c r="A5749">
        <v>2025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  <c r="M5749" t="str">
        <f t="shared" si="356"/>
        <v>30-45</v>
      </c>
      <c r="N5749" t="str">
        <f t="shared" si="357"/>
        <v>Medium</v>
      </c>
      <c r="O5749" t="str">
        <f t="shared" si="358"/>
        <v>High Balance</v>
      </c>
      <c r="P5749" t="str">
        <f t="shared" si="359"/>
        <v>Long-term</v>
      </c>
    </row>
    <row r="5750" spans="1:16" x14ac:dyDescent="0.25">
      <c r="A5750">
        <v>2025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  <c r="M5750" t="str">
        <f t="shared" si="356"/>
        <v>30-45</v>
      </c>
      <c r="N5750" t="str">
        <f t="shared" si="357"/>
        <v>Medium</v>
      </c>
      <c r="O5750" t="str">
        <f t="shared" si="358"/>
        <v>Low Balance</v>
      </c>
      <c r="P5750" t="str">
        <f t="shared" si="359"/>
        <v>Long-term</v>
      </c>
    </row>
    <row r="5751" spans="1:16" x14ac:dyDescent="0.25">
      <c r="A5751">
        <v>2025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  <c r="M5751" t="str">
        <f t="shared" si="356"/>
        <v>&lt;30</v>
      </c>
      <c r="N5751" t="str">
        <f t="shared" si="357"/>
        <v>High</v>
      </c>
      <c r="O5751" t="str">
        <f t="shared" si="358"/>
        <v>Zero Balance</v>
      </c>
      <c r="P5751" t="str">
        <f t="shared" si="359"/>
        <v>Long-term</v>
      </c>
    </row>
    <row r="5752" spans="1:16" x14ac:dyDescent="0.25">
      <c r="A5752">
        <v>2025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  <c r="M5752" t="str">
        <f t="shared" si="356"/>
        <v>30-45</v>
      </c>
      <c r="N5752" t="str">
        <f t="shared" si="357"/>
        <v>High</v>
      </c>
      <c r="O5752" t="str">
        <f t="shared" si="358"/>
        <v>High Balance</v>
      </c>
      <c r="P5752" t="str">
        <f t="shared" si="359"/>
        <v>Long-term</v>
      </c>
    </row>
    <row r="5753" spans="1:16" x14ac:dyDescent="0.25">
      <c r="A5753">
        <v>2025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  <c r="M5753" t="str">
        <f t="shared" si="356"/>
        <v>30-45</v>
      </c>
      <c r="N5753" t="str">
        <f t="shared" si="357"/>
        <v>Medium</v>
      </c>
      <c r="O5753" t="str">
        <f t="shared" si="358"/>
        <v>High Balance</v>
      </c>
      <c r="P5753" t="str">
        <f t="shared" si="359"/>
        <v>Mid-term</v>
      </c>
    </row>
    <row r="5754" spans="1:16" x14ac:dyDescent="0.25">
      <c r="A5754">
        <v>2025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  <c r="M5754" t="str">
        <f t="shared" si="356"/>
        <v>30-45</v>
      </c>
      <c r="N5754" t="str">
        <f t="shared" si="357"/>
        <v>High</v>
      </c>
      <c r="O5754" t="str">
        <f t="shared" si="358"/>
        <v>Zero Balance</v>
      </c>
      <c r="P5754" t="str">
        <f t="shared" si="359"/>
        <v>New</v>
      </c>
    </row>
    <row r="5755" spans="1:16" x14ac:dyDescent="0.25">
      <c r="A5755">
        <v>2025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  <c r="M5755" t="str">
        <f t="shared" si="356"/>
        <v>30-45</v>
      </c>
      <c r="N5755" t="str">
        <f t="shared" si="357"/>
        <v>High</v>
      </c>
      <c r="O5755" t="str">
        <f t="shared" si="358"/>
        <v>Zero Balance</v>
      </c>
      <c r="P5755" t="str">
        <f t="shared" si="359"/>
        <v>Mid-term</v>
      </c>
    </row>
    <row r="5756" spans="1:16" x14ac:dyDescent="0.25">
      <c r="A5756">
        <v>2025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  <c r="M5756" t="str">
        <f t="shared" si="356"/>
        <v>30-45</v>
      </c>
      <c r="N5756" t="str">
        <f t="shared" si="357"/>
        <v>High</v>
      </c>
      <c r="O5756" t="str">
        <f t="shared" si="358"/>
        <v>High Balance</v>
      </c>
      <c r="P5756" t="str">
        <f t="shared" si="359"/>
        <v>Long-term</v>
      </c>
    </row>
    <row r="5757" spans="1:16" x14ac:dyDescent="0.25">
      <c r="A5757">
        <v>2025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  <c r="M5757" t="str">
        <f t="shared" si="356"/>
        <v>46-60</v>
      </c>
      <c r="N5757" t="str">
        <f t="shared" si="357"/>
        <v>High</v>
      </c>
      <c r="O5757" t="str">
        <f t="shared" si="358"/>
        <v>Low Balance</v>
      </c>
      <c r="P5757" t="str">
        <f t="shared" si="359"/>
        <v>Long-term</v>
      </c>
    </row>
    <row r="5758" spans="1:16" x14ac:dyDescent="0.25">
      <c r="A5758">
        <v>2025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  <c r="M5758" t="str">
        <f t="shared" si="356"/>
        <v>&lt;30</v>
      </c>
      <c r="N5758" t="str">
        <f t="shared" si="357"/>
        <v>Medium</v>
      </c>
      <c r="O5758" t="str">
        <f t="shared" si="358"/>
        <v>High Balance</v>
      </c>
      <c r="P5758" t="str">
        <f t="shared" si="359"/>
        <v>Mid-term</v>
      </c>
    </row>
    <row r="5759" spans="1:16" x14ac:dyDescent="0.25">
      <c r="A5759">
        <v>2025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  <c r="M5759" t="str">
        <f t="shared" si="356"/>
        <v>30-45</v>
      </c>
      <c r="N5759" t="str">
        <f t="shared" si="357"/>
        <v>Medium</v>
      </c>
      <c r="O5759" t="str">
        <f t="shared" si="358"/>
        <v>High Balance</v>
      </c>
      <c r="P5759" t="str">
        <f t="shared" si="359"/>
        <v>New</v>
      </c>
    </row>
    <row r="5760" spans="1:16" x14ac:dyDescent="0.25">
      <c r="A5760">
        <v>2025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  <c r="M5760" t="str">
        <f t="shared" si="356"/>
        <v>30-45</v>
      </c>
      <c r="N5760" t="str">
        <f t="shared" si="357"/>
        <v>Medium</v>
      </c>
      <c r="O5760" t="str">
        <f t="shared" si="358"/>
        <v>Low Balance</v>
      </c>
      <c r="P5760" t="str">
        <f t="shared" si="359"/>
        <v>Mid-term</v>
      </c>
    </row>
    <row r="5761" spans="1:16" x14ac:dyDescent="0.25">
      <c r="A5761">
        <v>2025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  <c r="M5761" t="str">
        <f t="shared" si="356"/>
        <v>30-45</v>
      </c>
      <c r="N5761" t="str">
        <f t="shared" si="357"/>
        <v>Medium</v>
      </c>
      <c r="O5761" t="str">
        <f t="shared" si="358"/>
        <v>Low Balance</v>
      </c>
      <c r="P5761" t="str">
        <f t="shared" si="359"/>
        <v>Long-term</v>
      </c>
    </row>
    <row r="5762" spans="1:16" x14ac:dyDescent="0.25">
      <c r="A5762">
        <v>2025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  <c r="M5762" t="str">
        <f t="shared" si="356"/>
        <v>&lt;30</v>
      </c>
      <c r="N5762" t="str">
        <f t="shared" si="357"/>
        <v>Medium</v>
      </c>
      <c r="O5762" t="str">
        <f t="shared" si="358"/>
        <v>High Balance</v>
      </c>
      <c r="P5762" t="str">
        <f t="shared" si="359"/>
        <v>Mid-term</v>
      </c>
    </row>
    <row r="5763" spans="1:16" x14ac:dyDescent="0.25">
      <c r="A5763">
        <v>2025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  <c r="M5763" t="str">
        <f t="shared" ref="M5763:M5826" si="360">IF(E5763&lt;30,"&lt;30",IF(E5763&lt;=45,"30-45",IF(E5763&lt;=60,"46-60","60+")))</f>
        <v>30-45</v>
      </c>
      <c r="N5763" t="str">
        <f t="shared" ref="N5763:N5826" si="361">IF(B5763&lt;500,"Low",IF(B5763&lt;700,"Medium","High"))</f>
        <v>High</v>
      </c>
      <c r="O5763" t="str">
        <f t="shared" ref="O5763:O5826" si="362">IF(G5763=0,"Zero Balance",IF(G5763&lt;100000,"Low Balance","High Balance"))</f>
        <v>Zero Balance</v>
      </c>
      <c r="P5763" t="str">
        <f t="shared" ref="P5763:P5826" si="363">IF(F5763&lt;=3,"New",IF(F5763&lt;=7,"Mid-term","Long-term"))</f>
        <v>New</v>
      </c>
    </row>
    <row r="5764" spans="1:16" x14ac:dyDescent="0.25">
      <c r="A5764">
        <v>2025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  <c r="M5764" t="str">
        <f t="shared" si="360"/>
        <v>30-45</v>
      </c>
      <c r="N5764" t="str">
        <f t="shared" si="361"/>
        <v>High</v>
      </c>
      <c r="O5764" t="str">
        <f t="shared" si="362"/>
        <v>Low Balance</v>
      </c>
      <c r="P5764" t="str">
        <f t="shared" si="363"/>
        <v>Mid-term</v>
      </c>
    </row>
    <row r="5765" spans="1:16" x14ac:dyDescent="0.25">
      <c r="A5765">
        <v>2025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  <c r="M5765" t="str">
        <f t="shared" si="360"/>
        <v>30-45</v>
      </c>
      <c r="N5765" t="str">
        <f t="shared" si="361"/>
        <v>High</v>
      </c>
      <c r="O5765" t="str">
        <f t="shared" si="362"/>
        <v>Zero Balance</v>
      </c>
      <c r="P5765" t="str">
        <f t="shared" si="363"/>
        <v>Mid-term</v>
      </c>
    </row>
    <row r="5766" spans="1:16" x14ac:dyDescent="0.25">
      <c r="A5766">
        <v>2025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  <c r="M5766" t="str">
        <f t="shared" si="360"/>
        <v>30-45</v>
      </c>
      <c r="N5766" t="str">
        <f t="shared" si="361"/>
        <v>High</v>
      </c>
      <c r="O5766" t="str">
        <f t="shared" si="362"/>
        <v>High Balance</v>
      </c>
      <c r="P5766" t="str">
        <f t="shared" si="363"/>
        <v>New</v>
      </c>
    </row>
    <row r="5767" spans="1:16" x14ac:dyDescent="0.25">
      <c r="A5767">
        <v>2025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  <c r="M5767" t="str">
        <f t="shared" si="360"/>
        <v>30-45</v>
      </c>
      <c r="N5767" t="str">
        <f t="shared" si="361"/>
        <v>Medium</v>
      </c>
      <c r="O5767" t="str">
        <f t="shared" si="362"/>
        <v>High Balance</v>
      </c>
      <c r="P5767" t="str">
        <f t="shared" si="363"/>
        <v>New</v>
      </c>
    </row>
    <row r="5768" spans="1:16" x14ac:dyDescent="0.25">
      <c r="A5768">
        <v>2025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  <c r="M5768" t="str">
        <f t="shared" si="360"/>
        <v>30-45</v>
      </c>
      <c r="N5768" t="str">
        <f t="shared" si="361"/>
        <v>Medium</v>
      </c>
      <c r="O5768" t="str">
        <f t="shared" si="362"/>
        <v>High Balance</v>
      </c>
      <c r="P5768" t="str">
        <f t="shared" si="363"/>
        <v>Mid-term</v>
      </c>
    </row>
    <row r="5769" spans="1:16" x14ac:dyDescent="0.25">
      <c r="A5769">
        <v>2025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  <c r="M5769" t="str">
        <f t="shared" si="360"/>
        <v>30-45</v>
      </c>
      <c r="N5769" t="str">
        <f t="shared" si="361"/>
        <v>Medium</v>
      </c>
      <c r="O5769" t="str">
        <f t="shared" si="362"/>
        <v>Zero Balance</v>
      </c>
      <c r="P5769" t="str">
        <f t="shared" si="363"/>
        <v>New</v>
      </c>
    </row>
    <row r="5770" spans="1:16" x14ac:dyDescent="0.25">
      <c r="A5770">
        <v>2025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  <c r="M5770" t="str">
        <f t="shared" si="360"/>
        <v>30-45</v>
      </c>
      <c r="N5770" t="str">
        <f t="shared" si="361"/>
        <v>Medium</v>
      </c>
      <c r="O5770" t="str">
        <f t="shared" si="362"/>
        <v>High Balance</v>
      </c>
      <c r="P5770" t="str">
        <f t="shared" si="363"/>
        <v>New</v>
      </c>
    </row>
    <row r="5771" spans="1:16" x14ac:dyDescent="0.25">
      <c r="A5771">
        <v>2025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  <c r="M5771" t="str">
        <f t="shared" si="360"/>
        <v>&lt;30</v>
      </c>
      <c r="N5771" t="str">
        <f t="shared" si="361"/>
        <v>Medium</v>
      </c>
      <c r="O5771" t="str">
        <f t="shared" si="362"/>
        <v>Zero Balance</v>
      </c>
      <c r="P5771" t="str">
        <f t="shared" si="363"/>
        <v>New</v>
      </c>
    </row>
    <row r="5772" spans="1:16" x14ac:dyDescent="0.25">
      <c r="A5772">
        <v>2025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  <c r="M5772" t="str">
        <f t="shared" si="360"/>
        <v>46-60</v>
      </c>
      <c r="N5772" t="str">
        <f t="shared" si="361"/>
        <v>Medium</v>
      </c>
      <c r="O5772" t="str">
        <f t="shared" si="362"/>
        <v>High Balance</v>
      </c>
      <c r="P5772" t="str">
        <f t="shared" si="363"/>
        <v>Long-term</v>
      </c>
    </row>
    <row r="5773" spans="1:16" x14ac:dyDescent="0.25">
      <c r="A5773">
        <v>2025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  <c r="M5773" t="str">
        <f t="shared" si="360"/>
        <v>30-45</v>
      </c>
      <c r="N5773" t="str">
        <f t="shared" si="361"/>
        <v>Medium</v>
      </c>
      <c r="O5773" t="str">
        <f t="shared" si="362"/>
        <v>Low Balance</v>
      </c>
      <c r="P5773" t="str">
        <f t="shared" si="363"/>
        <v>New</v>
      </c>
    </row>
    <row r="5774" spans="1:16" x14ac:dyDescent="0.25">
      <c r="A5774">
        <v>2025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  <c r="M5774" t="str">
        <f t="shared" si="360"/>
        <v>30-45</v>
      </c>
      <c r="N5774" t="str">
        <f t="shared" si="361"/>
        <v>Medium</v>
      </c>
      <c r="O5774" t="str">
        <f t="shared" si="362"/>
        <v>High Balance</v>
      </c>
      <c r="P5774" t="str">
        <f t="shared" si="363"/>
        <v>Long-term</v>
      </c>
    </row>
    <row r="5775" spans="1:16" x14ac:dyDescent="0.25">
      <c r="A5775">
        <v>2025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  <c r="M5775" t="str">
        <f t="shared" si="360"/>
        <v>30-45</v>
      </c>
      <c r="N5775" t="str">
        <f t="shared" si="361"/>
        <v>Medium</v>
      </c>
      <c r="O5775" t="str">
        <f t="shared" si="362"/>
        <v>High Balance</v>
      </c>
      <c r="P5775" t="str">
        <f t="shared" si="363"/>
        <v>Long-term</v>
      </c>
    </row>
    <row r="5776" spans="1:16" x14ac:dyDescent="0.25">
      <c r="A5776">
        <v>2025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  <c r="M5776" t="str">
        <f t="shared" si="360"/>
        <v>30-45</v>
      </c>
      <c r="N5776" t="str">
        <f t="shared" si="361"/>
        <v>High</v>
      </c>
      <c r="O5776" t="str">
        <f t="shared" si="362"/>
        <v>High Balance</v>
      </c>
      <c r="P5776" t="str">
        <f t="shared" si="363"/>
        <v>New</v>
      </c>
    </row>
    <row r="5777" spans="1:16" x14ac:dyDescent="0.25">
      <c r="A5777">
        <v>2025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  <c r="M5777" t="str">
        <f t="shared" si="360"/>
        <v>46-60</v>
      </c>
      <c r="N5777" t="str">
        <f t="shared" si="361"/>
        <v>Medium</v>
      </c>
      <c r="O5777" t="str">
        <f t="shared" si="362"/>
        <v>High Balance</v>
      </c>
      <c r="P5777" t="str">
        <f t="shared" si="363"/>
        <v>Long-term</v>
      </c>
    </row>
    <row r="5778" spans="1:16" x14ac:dyDescent="0.25">
      <c r="A5778">
        <v>2025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  <c r="M5778" t="str">
        <f t="shared" si="360"/>
        <v>30-45</v>
      </c>
      <c r="N5778" t="str">
        <f t="shared" si="361"/>
        <v>Medium</v>
      </c>
      <c r="O5778" t="str">
        <f t="shared" si="362"/>
        <v>High Balance</v>
      </c>
      <c r="P5778" t="str">
        <f t="shared" si="363"/>
        <v>Long-term</v>
      </c>
    </row>
    <row r="5779" spans="1:16" x14ac:dyDescent="0.25">
      <c r="A5779">
        <v>2025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  <c r="M5779" t="str">
        <f t="shared" si="360"/>
        <v>60+</v>
      </c>
      <c r="N5779" t="str">
        <f t="shared" si="361"/>
        <v>Medium</v>
      </c>
      <c r="O5779" t="str">
        <f t="shared" si="362"/>
        <v>High Balance</v>
      </c>
      <c r="P5779" t="str">
        <f t="shared" si="363"/>
        <v>Long-term</v>
      </c>
    </row>
    <row r="5780" spans="1:16" x14ac:dyDescent="0.25">
      <c r="A5780">
        <v>2025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  <c r="M5780" t="str">
        <f t="shared" si="360"/>
        <v>30-45</v>
      </c>
      <c r="N5780" t="str">
        <f t="shared" si="361"/>
        <v>Medium</v>
      </c>
      <c r="O5780" t="str">
        <f t="shared" si="362"/>
        <v>Zero Balance</v>
      </c>
      <c r="P5780" t="str">
        <f t="shared" si="363"/>
        <v>New</v>
      </c>
    </row>
    <row r="5781" spans="1:16" x14ac:dyDescent="0.25">
      <c r="A5781">
        <v>2025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  <c r="M5781" t="str">
        <f t="shared" si="360"/>
        <v>30-45</v>
      </c>
      <c r="N5781" t="str">
        <f t="shared" si="361"/>
        <v>Medium</v>
      </c>
      <c r="O5781" t="str">
        <f t="shared" si="362"/>
        <v>Low Balance</v>
      </c>
      <c r="P5781" t="str">
        <f t="shared" si="363"/>
        <v>New</v>
      </c>
    </row>
    <row r="5782" spans="1:16" x14ac:dyDescent="0.25">
      <c r="A5782">
        <v>2025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  <c r="M5782" t="str">
        <f t="shared" si="360"/>
        <v>30-45</v>
      </c>
      <c r="N5782" t="str">
        <f t="shared" si="361"/>
        <v>Medium</v>
      </c>
      <c r="O5782" t="str">
        <f t="shared" si="362"/>
        <v>High Balance</v>
      </c>
      <c r="P5782" t="str">
        <f t="shared" si="363"/>
        <v>Long-term</v>
      </c>
    </row>
    <row r="5783" spans="1:16" x14ac:dyDescent="0.25">
      <c r="A5783">
        <v>2025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  <c r="M5783" t="str">
        <f t="shared" si="360"/>
        <v>30-45</v>
      </c>
      <c r="N5783" t="str">
        <f t="shared" si="361"/>
        <v>Medium</v>
      </c>
      <c r="O5783" t="str">
        <f t="shared" si="362"/>
        <v>Low Balance</v>
      </c>
      <c r="P5783" t="str">
        <f t="shared" si="363"/>
        <v>Mid-term</v>
      </c>
    </row>
    <row r="5784" spans="1:16" x14ac:dyDescent="0.25">
      <c r="A5784">
        <v>2025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  <c r="M5784" t="str">
        <f t="shared" si="360"/>
        <v>30-45</v>
      </c>
      <c r="N5784" t="str">
        <f t="shared" si="361"/>
        <v>Medium</v>
      </c>
      <c r="O5784" t="str">
        <f t="shared" si="362"/>
        <v>Zero Balance</v>
      </c>
      <c r="P5784" t="str">
        <f t="shared" si="363"/>
        <v>Long-term</v>
      </c>
    </row>
    <row r="5785" spans="1:16" x14ac:dyDescent="0.25">
      <c r="A5785">
        <v>2025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  <c r="M5785" t="str">
        <f t="shared" si="360"/>
        <v>60+</v>
      </c>
      <c r="N5785" t="str">
        <f t="shared" si="361"/>
        <v>Medium</v>
      </c>
      <c r="O5785" t="str">
        <f t="shared" si="362"/>
        <v>Zero Balance</v>
      </c>
      <c r="P5785" t="str">
        <f t="shared" si="363"/>
        <v>Mid-term</v>
      </c>
    </row>
    <row r="5786" spans="1:16" x14ac:dyDescent="0.25">
      <c r="A5786">
        <v>2025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  <c r="M5786" t="str">
        <f t="shared" si="360"/>
        <v>&lt;30</v>
      </c>
      <c r="N5786" t="str">
        <f t="shared" si="361"/>
        <v>Medium</v>
      </c>
      <c r="O5786" t="str">
        <f t="shared" si="362"/>
        <v>Zero Balance</v>
      </c>
      <c r="P5786" t="str">
        <f t="shared" si="363"/>
        <v>New</v>
      </c>
    </row>
    <row r="5787" spans="1:16" x14ac:dyDescent="0.25">
      <c r="A5787">
        <v>2025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  <c r="M5787" t="str">
        <f t="shared" si="360"/>
        <v>46-60</v>
      </c>
      <c r="N5787" t="str">
        <f t="shared" si="361"/>
        <v>High</v>
      </c>
      <c r="O5787" t="str">
        <f t="shared" si="362"/>
        <v>Zero Balance</v>
      </c>
      <c r="P5787" t="str">
        <f t="shared" si="363"/>
        <v>Mid-term</v>
      </c>
    </row>
    <row r="5788" spans="1:16" x14ac:dyDescent="0.25">
      <c r="A5788">
        <v>2025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  <c r="M5788" t="str">
        <f t="shared" si="360"/>
        <v>30-45</v>
      </c>
      <c r="N5788" t="str">
        <f t="shared" si="361"/>
        <v>Medium</v>
      </c>
      <c r="O5788" t="str">
        <f t="shared" si="362"/>
        <v>Zero Balance</v>
      </c>
      <c r="P5788" t="str">
        <f t="shared" si="363"/>
        <v>Mid-term</v>
      </c>
    </row>
    <row r="5789" spans="1:16" x14ac:dyDescent="0.25">
      <c r="A5789">
        <v>2025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  <c r="M5789" t="str">
        <f t="shared" si="360"/>
        <v>&lt;30</v>
      </c>
      <c r="N5789" t="str">
        <f t="shared" si="361"/>
        <v>High</v>
      </c>
      <c r="O5789" t="str">
        <f t="shared" si="362"/>
        <v>Low Balance</v>
      </c>
      <c r="P5789" t="str">
        <f t="shared" si="363"/>
        <v>Mid-term</v>
      </c>
    </row>
    <row r="5790" spans="1:16" x14ac:dyDescent="0.25">
      <c r="A5790">
        <v>2025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  <c r="M5790" t="str">
        <f t="shared" si="360"/>
        <v>30-45</v>
      </c>
      <c r="N5790" t="str">
        <f t="shared" si="361"/>
        <v>Medium</v>
      </c>
      <c r="O5790" t="str">
        <f t="shared" si="362"/>
        <v>Zero Balance</v>
      </c>
      <c r="P5790" t="str">
        <f t="shared" si="363"/>
        <v>Long-term</v>
      </c>
    </row>
    <row r="5791" spans="1:16" x14ac:dyDescent="0.25">
      <c r="A5791">
        <v>2025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  <c r="M5791" t="str">
        <f t="shared" si="360"/>
        <v>46-60</v>
      </c>
      <c r="N5791" t="str">
        <f t="shared" si="361"/>
        <v>Medium</v>
      </c>
      <c r="O5791" t="str">
        <f t="shared" si="362"/>
        <v>Low Balance</v>
      </c>
      <c r="P5791" t="str">
        <f t="shared" si="363"/>
        <v>New</v>
      </c>
    </row>
    <row r="5792" spans="1:16" x14ac:dyDescent="0.25">
      <c r="A5792">
        <v>2025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  <c r="M5792" t="str">
        <f t="shared" si="360"/>
        <v>&lt;30</v>
      </c>
      <c r="N5792" t="str">
        <f t="shared" si="361"/>
        <v>Low</v>
      </c>
      <c r="O5792" t="str">
        <f t="shared" si="362"/>
        <v>Zero Balance</v>
      </c>
      <c r="P5792" t="str">
        <f t="shared" si="363"/>
        <v>Mid-term</v>
      </c>
    </row>
    <row r="5793" spans="1:16" x14ac:dyDescent="0.25">
      <c r="A5793">
        <v>2025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  <c r="M5793" t="str">
        <f t="shared" si="360"/>
        <v>30-45</v>
      </c>
      <c r="N5793" t="str">
        <f t="shared" si="361"/>
        <v>High</v>
      </c>
      <c r="O5793" t="str">
        <f t="shared" si="362"/>
        <v>Low Balance</v>
      </c>
      <c r="P5793" t="str">
        <f t="shared" si="363"/>
        <v>Mid-term</v>
      </c>
    </row>
    <row r="5794" spans="1:16" x14ac:dyDescent="0.25">
      <c r="A5794">
        <v>2025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  <c r="M5794" t="str">
        <f t="shared" si="360"/>
        <v>30-45</v>
      </c>
      <c r="N5794" t="str">
        <f t="shared" si="361"/>
        <v>Medium</v>
      </c>
      <c r="O5794" t="str">
        <f t="shared" si="362"/>
        <v>Zero Balance</v>
      </c>
      <c r="P5794" t="str">
        <f t="shared" si="363"/>
        <v>Mid-term</v>
      </c>
    </row>
    <row r="5795" spans="1:16" x14ac:dyDescent="0.25">
      <c r="A5795">
        <v>2025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  <c r="M5795" t="str">
        <f t="shared" si="360"/>
        <v>30-45</v>
      </c>
      <c r="N5795" t="str">
        <f t="shared" si="361"/>
        <v>High</v>
      </c>
      <c r="O5795" t="str">
        <f t="shared" si="362"/>
        <v>Zero Balance</v>
      </c>
      <c r="P5795" t="str">
        <f t="shared" si="363"/>
        <v>Long-term</v>
      </c>
    </row>
    <row r="5796" spans="1:16" x14ac:dyDescent="0.25">
      <c r="A5796">
        <v>2025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  <c r="M5796" t="str">
        <f t="shared" si="360"/>
        <v>46-60</v>
      </c>
      <c r="N5796" t="str">
        <f t="shared" si="361"/>
        <v>Medium</v>
      </c>
      <c r="O5796" t="str">
        <f t="shared" si="362"/>
        <v>Zero Balance</v>
      </c>
      <c r="P5796" t="str">
        <f t="shared" si="363"/>
        <v>Mid-term</v>
      </c>
    </row>
    <row r="5797" spans="1:16" x14ac:dyDescent="0.25">
      <c r="A5797">
        <v>2025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  <c r="M5797" t="str">
        <f t="shared" si="360"/>
        <v>30-45</v>
      </c>
      <c r="N5797" t="str">
        <f t="shared" si="361"/>
        <v>High</v>
      </c>
      <c r="O5797" t="str">
        <f t="shared" si="362"/>
        <v>Zero Balance</v>
      </c>
      <c r="P5797" t="str">
        <f t="shared" si="363"/>
        <v>Long-term</v>
      </c>
    </row>
    <row r="5798" spans="1:16" x14ac:dyDescent="0.25">
      <c r="A5798">
        <v>2025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  <c r="M5798" t="str">
        <f t="shared" si="360"/>
        <v>30-45</v>
      </c>
      <c r="N5798" t="str">
        <f t="shared" si="361"/>
        <v>Medium</v>
      </c>
      <c r="O5798" t="str">
        <f t="shared" si="362"/>
        <v>Zero Balance</v>
      </c>
      <c r="P5798" t="str">
        <f t="shared" si="363"/>
        <v>Mid-term</v>
      </c>
    </row>
    <row r="5799" spans="1:16" x14ac:dyDescent="0.25">
      <c r="A5799">
        <v>2025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  <c r="M5799" t="str">
        <f t="shared" si="360"/>
        <v>30-45</v>
      </c>
      <c r="N5799" t="str">
        <f t="shared" si="361"/>
        <v>Medium</v>
      </c>
      <c r="O5799" t="str">
        <f t="shared" si="362"/>
        <v>Zero Balance</v>
      </c>
      <c r="P5799" t="str">
        <f t="shared" si="363"/>
        <v>Long-term</v>
      </c>
    </row>
    <row r="5800" spans="1:16" x14ac:dyDescent="0.25">
      <c r="A5800">
        <v>2025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  <c r="M5800" t="str">
        <f t="shared" si="360"/>
        <v>46-60</v>
      </c>
      <c r="N5800" t="str">
        <f t="shared" si="361"/>
        <v>High</v>
      </c>
      <c r="O5800" t="str">
        <f t="shared" si="362"/>
        <v>High Balance</v>
      </c>
      <c r="P5800" t="str">
        <f t="shared" si="363"/>
        <v>New</v>
      </c>
    </row>
    <row r="5801" spans="1:16" x14ac:dyDescent="0.25">
      <c r="A5801">
        <v>2025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  <c r="M5801" t="str">
        <f t="shared" si="360"/>
        <v>30-45</v>
      </c>
      <c r="N5801" t="str">
        <f t="shared" si="361"/>
        <v>Medium</v>
      </c>
      <c r="O5801" t="str">
        <f t="shared" si="362"/>
        <v>Zero Balance</v>
      </c>
      <c r="P5801" t="str">
        <f t="shared" si="363"/>
        <v>New</v>
      </c>
    </row>
    <row r="5802" spans="1:16" x14ac:dyDescent="0.25">
      <c r="A5802">
        <v>2025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  <c r="M5802" t="str">
        <f t="shared" si="360"/>
        <v>30-45</v>
      </c>
      <c r="N5802" t="str">
        <f t="shared" si="361"/>
        <v>Medium</v>
      </c>
      <c r="O5802" t="str">
        <f t="shared" si="362"/>
        <v>High Balance</v>
      </c>
      <c r="P5802" t="str">
        <f t="shared" si="363"/>
        <v>Long-term</v>
      </c>
    </row>
    <row r="5803" spans="1:16" x14ac:dyDescent="0.25">
      <c r="A5803">
        <v>2025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  <c r="M5803" t="str">
        <f t="shared" si="360"/>
        <v>46-60</v>
      </c>
      <c r="N5803" t="str">
        <f t="shared" si="361"/>
        <v>Medium</v>
      </c>
      <c r="O5803" t="str">
        <f t="shared" si="362"/>
        <v>Zero Balance</v>
      </c>
      <c r="P5803" t="str">
        <f t="shared" si="363"/>
        <v>New</v>
      </c>
    </row>
    <row r="5804" spans="1:16" x14ac:dyDescent="0.25">
      <c r="A5804">
        <v>2025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  <c r="M5804" t="str">
        <f t="shared" si="360"/>
        <v>30-45</v>
      </c>
      <c r="N5804" t="str">
        <f t="shared" si="361"/>
        <v>Low</v>
      </c>
      <c r="O5804" t="str">
        <f t="shared" si="362"/>
        <v>Zero Balance</v>
      </c>
      <c r="P5804" t="str">
        <f t="shared" si="363"/>
        <v>Long-term</v>
      </c>
    </row>
    <row r="5805" spans="1:16" x14ac:dyDescent="0.25">
      <c r="A5805">
        <v>2025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  <c r="M5805" t="str">
        <f t="shared" si="360"/>
        <v>30-45</v>
      </c>
      <c r="N5805" t="str">
        <f t="shared" si="361"/>
        <v>Medium</v>
      </c>
      <c r="O5805" t="str">
        <f t="shared" si="362"/>
        <v>Zero Balance</v>
      </c>
      <c r="P5805" t="str">
        <f t="shared" si="363"/>
        <v>New</v>
      </c>
    </row>
    <row r="5806" spans="1:16" x14ac:dyDescent="0.25">
      <c r="A5806">
        <v>2025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  <c r="M5806" t="str">
        <f t="shared" si="360"/>
        <v>30-45</v>
      </c>
      <c r="N5806" t="str">
        <f t="shared" si="361"/>
        <v>Medium</v>
      </c>
      <c r="O5806" t="str">
        <f t="shared" si="362"/>
        <v>Low Balance</v>
      </c>
      <c r="P5806" t="str">
        <f t="shared" si="363"/>
        <v>Mid-term</v>
      </c>
    </row>
    <row r="5807" spans="1:16" x14ac:dyDescent="0.25">
      <c r="A5807">
        <v>2025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  <c r="M5807" t="str">
        <f t="shared" si="360"/>
        <v>30-45</v>
      </c>
      <c r="N5807" t="str">
        <f t="shared" si="361"/>
        <v>Medium</v>
      </c>
      <c r="O5807" t="str">
        <f t="shared" si="362"/>
        <v>Low Balance</v>
      </c>
      <c r="P5807" t="str">
        <f t="shared" si="363"/>
        <v>New</v>
      </c>
    </row>
    <row r="5808" spans="1:16" x14ac:dyDescent="0.25">
      <c r="A5808">
        <v>2025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  <c r="M5808" t="str">
        <f t="shared" si="360"/>
        <v>46-60</v>
      </c>
      <c r="N5808" t="str">
        <f t="shared" si="361"/>
        <v>Medium</v>
      </c>
      <c r="O5808" t="str">
        <f t="shared" si="362"/>
        <v>High Balance</v>
      </c>
      <c r="P5808" t="str">
        <f t="shared" si="363"/>
        <v>New</v>
      </c>
    </row>
    <row r="5809" spans="1:16" x14ac:dyDescent="0.25">
      <c r="A5809">
        <v>2025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  <c r="M5809" t="str">
        <f t="shared" si="360"/>
        <v>30-45</v>
      </c>
      <c r="N5809" t="str">
        <f t="shared" si="361"/>
        <v>Medium</v>
      </c>
      <c r="O5809" t="str">
        <f t="shared" si="362"/>
        <v>High Balance</v>
      </c>
      <c r="P5809" t="str">
        <f t="shared" si="363"/>
        <v>Long-term</v>
      </c>
    </row>
    <row r="5810" spans="1:16" x14ac:dyDescent="0.25">
      <c r="A5810">
        <v>2025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  <c r="M5810" t="str">
        <f t="shared" si="360"/>
        <v>46-60</v>
      </c>
      <c r="N5810" t="str">
        <f t="shared" si="361"/>
        <v>Medium</v>
      </c>
      <c r="O5810" t="str">
        <f t="shared" si="362"/>
        <v>High Balance</v>
      </c>
      <c r="P5810" t="str">
        <f t="shared" si="363"/>
        <v>New</v>
      </c>
    </row>
    <row r="5811" spans="1:16" x14ac:dyDescent="0.25">
      <c r="A5811">
        <v>2025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  <c r="M5811" t="str">
        <f t="shared" si="360"/>
        <v>30-45</v>
      </c>
      <c r="N5811" t="str">
        <f t="shared" si="361"/>
        <v>High</v>
      </c>
      <c r="O5811" t="str">
        <f t="shared" si="362"/>
        <v>Zero Balance</v>
      </c>
      <c r="P5811" t="str">
        <f t="shared" si="363"/>
        <v>Mid-term</v>
      </c>
    </row>
    <row r="5812" spans="1:16" x14ac:dyDescent="0.25">
      <c r="A5812">
        <v>2025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  <c r="M5812" t="str">
        <f t="shared" si="360"/>
        <v>30-45</v>
      </c>
      <c r="N5812" t="str">
        <f t="shared" si="361"/>
        <v>Low</v>
      </c>
      <c r="O5812" t="str">
        <f t="shared" si="362"/>
        <v>Zero Balance</v>
      </c>
      <c r="P5812" t="str">
        <f t="shared" si="363"/>
        <v>Mid-term</v>
      </c>
    </row>
    <row r="5813" spans="1:16" x14ac:dyDescent="0.25">
      <c r="A5813">
        <v>2025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  <c r="M5813" t="str">
        <f t="shared" si="360"/>
        <v>30-45</v>
      </c>
      <c r="N5813" t="str">
        <f t="shared" si="361"/>
        <v>Medium</v>
      </c>
      <c r="O5813" t="str">
        <f t="shared" si="362"/>
        <v>High Balance</v>
      </c>
      <c r="P5813" t="str">
        <f t="shared" si="363"/>
        <v>Mid-term</v>
      </c>
    </row>
    <row r="5814" spans="1:16" x14ac:dyDescent="0.25">
      <c r="A5814">
        <v>2025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  <c r="M5814" t="str">
        <f t="shared" si="360"/>
        <v>30-45</v>
      </c>
      <c r="N5814" t="str">
        <f t="shared" si="361"/>
        <v>High</v>
      </c>
      <c r="O5814" t="str">
        <f t="shared" si="362"/>
        <v>High Balance</v>
      </c>
      <c r="P5814" t="str">
        <f t="shared" si="363"/>
        <v>New</v>
      </c>
    </row>
    <row r="5815" spans="1:16" x14ac:dyDescent="0.25">
      <c r="A5815">
        <v>2025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  <c r="M5815" t="str">
        <f t="shared" si="360"/>
        <v>30-45</v>
      </c>
      <c r="N5815" t="str">
        <f t="shared" si="361"/>
        <v>Medium</v>
      </c>
      <c r="O5815" t="str">
        <f t="shared" si="362"/>
        <v>Zero Balance</v>
      </c>
      <c r="P5815" t="str">
        <f t="shared" si="363"/>
        <v>Mid-term</v>
      </c>
    </row>
    <row r="5816" spans="1:16" x14ac:dyDescent="0.25">
      <c r="A5816">
        <v>2025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  <c r="M5816" t="str">
        <f t="shared" si="360"/>
        <v>30-45</v>
      </c>
      <c r="N5816" t="str">
        <f t="shared" si="361"/>
        <v>Medium</v>
      </c>
      <c r="O5816" t="str">
        <f t="shared" si="362"/>
        <v>High Balance</v>
      </c>
      <c r="P5816" t="str">
        <f t="shared" si="363"/>
        <v>New</v>
      </c>
    </row>
    <row r="5817" spans="1:16" x14ac:dyDescent="0.25">
      <c r="A5817">
        <v>2025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  <c r="M5817" t="str">
        <f t="shared" si="360"/>
        <v>30-45</v>
      </c>
      <c r="N5817" t="str">
        <f t="shared" si="361"/>
        <v>High</v>
      </c>
      <c r="O5817" t="str">
        <f t="shared" si="362"/>
        <v>Low Balance</v>
      </c>
      <c r="P5817" t="str">
        <f t="shared" si="363"/>
        <v>Mid-term</v>
      </c>
    </row>
    <row r="5818" spans="1:16" x14ac:dyDescent="0.25">
      <c r="A5818">
        <v>2025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  <c r="M5818" t="str">
        <f t="shared" si="360"/>
        <v>30-45</v>
      </c>
      <c r="N5818" t="str">
        <f t="shared" si="361"/>
        <v>Medium</v>
      </c>
      <c r="O5818" t="str">
        <f t="shared" si="362"/>
        <v>Low Balance</v>
      </c>
      <c r="P5818" t="str">
        <f t="shared" si="363"/>
        <v>New</v>
      </c>
    </row>
    <row r="5819" spans="1:16" x14ac:dyDescent="0.25">
      <c r="A5819">
        <v>2025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  <c r="M5819" t="str">
        <f t="shared" si="360"/>
        <v>60+</v>
      </c>
      <c r="N5819" t="str">
        <f t="shared" si="361"/>
        <v>Medium</v>
      </c>
      <c r="O5819" t="str">
        <f t="shared" si="362"/>
        <v>Low Balance</v>
      </c>
      <c r="P5819" t="str">
        <f t="shared" si="363"/>
        <v>Long-term</v>
      </c>
    </row>
    <row r="5820" spans="1:16" x14ac:dyDescent="0.25">
      <c r="A5820">
        <v>2025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  <c r="M5820" t="str">
        <f t="shared" si="360"/>
        <v>30-45</v>
      </c>
      <c r="N5820" t="str">
        <f t="shared" si="361"/>
        <v>Medium</v>
      </c>
      <c r="O5820" t="str">
        <f t="shared" si="362"/>
        <v>High Balance</v>
      </c>
      <c r="P5820" t="str">
        <f t="shared" si="363"/>
        <v>Mid-term</v>
      </c>
    </row>
    <row r="5821" spans="1:16" x14ac:dyDescent="0.25">
      <c r="A5821">
        <v>2025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  <c r="M5821" t="str">
        <f t="shared" si="360"/>
        <v>&lt;30</v>
      </c>
      <c r="N5821" t="str">
        <f t="shared" si="361"/>
        <v>Medium</v>
      </c>
      <c r="O5821" t="str">
        <f t="shared" si="362"/>
        <v>Zero Balance</v>
      </c>
      <c r="P5821" t="str">
        <f t="shared" si="363"/>
        <v>Mid-term</v>
      </c>
    </row>
    <row r="5822" spans="1:16" x14ac:dyDescent="0.25">
      <c r="A5822">
        <v>2025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  <c r="M5822" t="str">
        <f t="shared" si="360"/>
        <v>30-45</v>
      </c>
      <c r="N5822" t="str">
        <f t="shared" si="361"/>
        <v>High</v>
      </c>
      <c r="O5822" t="str">
        <f t="shared" si="362"/>
        <v>Low Balance</v>
      </c>
      <c r="P5822" t="str">
        <f t="shared" si="363"/>
        <v>Mid-term</v>
      </c>
    </row>
    <row r="5823" spans="1:16" x14ac:dyDescent="0.25">
      <c r="A5823">
        <v>2025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  <c r="M5823" t="str">
        <f t="shared" si="360"/>
        <v>46-60</v>
      </c>
      <c r="N5823" t="str">
        <f t="shared" si="361"/>
        <v>Medium</v>
      </c>
      <c r="O5823" t="str">
        <f t="shared" si="362"/>
        <v>High Balance</v>
      </c>
      <c r="P5823" t="str">
        <f t="shared" si="363"/>
        <v>Mid-term</v>
      </c>
    </row>
    <row r="5824" spans="1:16" x14ac:dyDescent="0.25">
      <c r="A5824">
        <v>2025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  <c r="M5824" t="str">
        <f t="shared" si="360"/>
        <v>30-45</v>
      </c>
      <c r="N5824" t="str">
        <f t="shared" si="361"/>
        <v>Medium</v>
      </c>
      <c r="O5824" t="str">
        <f t="shared" si="362"/>
        <v>Zero Balance</v>
      </c>
      <c r="P5824" t="str">
        <f t="shared" si="363"/>
        <v>New</v>
      </c>
    </row>
    <row r="5825" spans="1:16" x14ac:dyDescent="0.25">
      <c r="A5825">
        <v>2025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  <c r="M5825" t="str">
        <f t="shared" si="360"/>
        <v>46-60</v>
      </c>
      <c r="N5825" t="str">
        <f t="shared" si="361"/>
        <v>High</v>
      </c>
      <c r="O5825" t="str">
        <f t="shared" si="362"/>
        <v>High Balance</v>
      </c>
      <c r="P5825" t="str">
        <f t="shared" si="363"/>
        <v>Mid-term</v>
      </c>
    </row>
    <row r="5826" spans="1:16" x14ac:dyDescent="0.25">
      <c r="A5826">
        <v>2025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  <c r="M5826" t="str">
        <f t="shared" si="360"/>
        <v>30-45</v>
      </c>
      <c r="N5826" t="str">
        <f t="shared" si="361"/>
        <v>Medium</v>
      </c>
      <c r="O5826" t="str">
        <f t="shared" si="362"/>
        <v>Zero Balance</v>
      </c>
      <c r="P5826" t="str">
        <f t="shared" si="363"/>
        <v>New</v>
      </c>
    </row>
    <row r="5827" spans="1:16" x14ac:dyDescent="0.25">
      <c r="A5827">
        <v>2025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  <c r="M5827" t="str">
        <f t="shared" ref="M5827:M5890" si="364">IF(E5827&lt;30,"&lt;30",IF(E5827&lt;=45,"30-45",IF(E5827&lt;=60,"46-60","60+")))</f>
        <v>60+</v>
      </c>
      <c r="N5827" t="str">
        <f t="shared" ref="N5827:N5890" si="365">IF(B5827&lt;500,"Low",IF(B5827&lt;700,"Medium","High"))</f>
        <v>Medium</v>
      </c>
      <c r="O5827" t="str">
        <f t="shared" ref="O5827:O5890" si="366">IF(G5827=0,"Zero Balance",IF(G5827&lt;100000,"Low Balance","High Balance"))</f>
        <v>High Balance</v>
      </c>
      <c r="P5827" t="str">
        <f t="shared" ref="P5827:P5890" si="367">IF(F5827&lt;=3,"New",IF(F5827&lt;=7,"Mid-term","Long-term"))</f>
        <v>Long-term</v>
      </c>
    </row>
    <row r="5828" spans="1:16" x14ac:dyDescent="0.25">
      <c r="A5828">
        <v>2025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  <c r="M5828" t="str">
        <f t="shared" si="364"/>
        <v>&lt;30</v>
      </c>
      <c r="N5828" t="str">
        <f t="shared" si="365"/>
        <v>Medium</v>
      </c>
      <c r="O5828" t="str">
        <f t="shared" si="366"/>
        <v>High Balance</v>
      </c>
      <c r="P5828" t="str">
        <f t="shared" si="367"/>
        <v>New</v>
      </c>
    </row>
    <row r="5829" spans="1:16" x14ac:dyDescent="0.25">
      <c r="A5829">
        <v>2025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  <c r="M5829" t="str">
        <f t="shared" si="364"/>
        <v>30-45</v>
      </c>
      <c r="N5829" t="str">
        <f t="shared" si="365"/>
        <v>Medium</v>
      </c>
      <c r="O5829" t="str">
        <f t="shared" si="366"/>
        <v>Zero Balance</v>
      </c>
      <c r="P5829" t="str">
        <f t="shared" si="367"/>
        <v>Long-term</v>
      </c>
    </row>
    <row r="5830" spans="1:16" x14ac:dyDescent="0.25">
      <c r="A5830">
        <v>2025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  <c r="M5830" t="str">
        <f t="shared" si="364"/>
        <v>30-45</v>
      </c>
      <c r="N5830" t="str">
        <f t="shared" si="365"/>
        <v>High</v>
      </c>
      <c r="O5830" t="str">
        <f t="shared" si="366"/>
        <v>Zero Balance</v>
      </c>
      <c r="P5830" t="str">
        <f t="shared" si="367"/>
        <v>Long-term</v>
      </c>
    </row>
    <row r="5831" spans="1:16" x14ac:dyDescent="0.25">
      <c r="A5831">
        <v>2025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  <c r="M5831" t="str">
        <f t="shared" si="364"/>
        <v>30-45</v>
      </c>
      <c r="N5831" t="str">
        <f t="shared" si="365"/>
        <v>Medium</v>
      </c>
      <c r="O5831" t="str">
        <f t="shared" si="366"/>
        <v>High Balance</v>
      </c>
      <c r="P5831" t="str">
        <f t="shared" si="367"/>
        <v>Long-term</v>
      </c>
    </row>
    <row r="5832" spans="1:16" x14ac:dyDescent="0.25">
      <c r="A5832">
        <v>2025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  <c r="M5832" t="str">
        <f t="shared" si="364"/>
        <v>30-45</v>
      </c>
      <c r="N5832" t="str">
        <f t="shared" si="365"/>
        <v>Medium</v>
      </c>
      <c r="O5832" t="str">
        <f t="shared" si="366"/>
        <v>High Balance</v>
      </c>
      <c r="P5832" t="str">
        <f t="shared" si="367"/>
        <v>Mid-term</v>
      </c>
    </row>
    <row r="5833" spans="1:16" x14ac:dyDescent="0.25">
      <c r="A5833">
        <v>2025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  <c r="M5833" t="str">
        <f t="shared" si="364"/>
        <v>&lt;30</v>
      </c>
      <c r="N5833" t="str">
        <f t="shared" si="365"/>
        <v>Medium</v>
      </c>
      <c r="O5833" t="str">
        <f t="shared" si="366"/>
        <v>High Balance</v>
      </c>
      <c r="P5833" t="str">
        <f t="shared" si="367"/>
        <v>Long-term</v>
      </c>
    </row>
    <row r="5834" spans="1:16" x14ac:dyDescent="0.25">
      <c r="A5834">
        <v>2025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  <c r="M5834" t="str">
        <f t="shared" si="364"/>
        <v>&lt;30</v>
      </c>
      <c r="N5834" t="str">
        <f t="shared" si="365"/>
        <v>High</v>
      </c>
      <c r="O5834" t="str">
        <f t="shared" si="366"/>
        <v>High Balance</v>
      </c>
      <c r="P5834" t="str">
        <f t="shared" si="367"/>
        <v>Mid-term</v>
      </c>
    </row>
    <row r="5835" spans="1:16" x14ac:dyDescent="0.25">
      <c r="A5835">
        <v>2025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  <c r="M5835" t="str">
        <f t="shared" si="364"/>
        <v>46-60</v>
      </c>
      <c r="N5835" t="str">
        <f t="shared" si="365"/>
        <v>Medium</v>
      </c>
      <c r="O5835" t="str">
        <f t="shared" si="366"/>
        <v>Low Balance</v>
      </c>
      <c r="P5835" t="str">
        <f t="shared" si="367"/>
        <v>Long-term</v>
      </c>
    </row>
    <row r="5836" spans="1:16" x14ac:dyDescent="0.25">
      <c r="A5836">
        <v>2025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  <c r="M5836" t="str">
        <f t="shared" si="364"/>
        <v>30-45</v>
      </c>
      <c r="N5836" t="str">
        <f t="shared" si="365"/>
        <v>High</v>
      </c>
      <c r="O5836" t="str">
        <f t="shared" si="366"/>
        <v>Zero Balance</v>
      </c>
      <c r="P5836" t="str">
        <f t="shared" si="367"/>
        <v>New</v>
      </c>
    </row>
    <row r="5837" spans="1:16" x14ac:dyDescent="0.25">
      <c r="A5837">
        <v>2025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  <c r="M5837" t="str">
        <f t="shared" si="364"/>
        <v>30-45</v>
      </c>
      <c r="N5837" t="str">
        <f t="shared" si="365"/>
        <v>Medium</v>
      </c>
      <c r="O5837" t="str">
        <f t="shared" si="366"/>
        <v>High Balance</v>
      </c>
      <c r="P5837" t="str">
        <f t="shared" si="367"/>
        <v>Mid-term</v>
      </c>
    </row>
    <row r="5838" spans="1:16" x14ac:dyDescent="0.25">
      <c r="A5838">
        <v>2025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  <c r="M5838" t="str">
        <f t="shared" si="364"/>
        <v>&lt;30</v>
      </c>
      <c r="N5838" t="str">
        <f t="shared" si="365"/>
        <v>Medium</v>
      </c>
      <c r="O5838" t="str">
        <f t="shared" si="366"/>
        <v>High Balance</v>
      </c>
      <c r="P5838" t="str">
        <f t="shared" si="367"/>
        <v>Long-term</v>
      </c>
    </row>
    <row r="5839" spans="1:16" x14ac:dyDescent="0.25">
      <c r="A5839">
        <v>2025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  <c r="M5839" t="str">
        <f t="shared" si="364"/>
        <v>30-45</v>
      </c>
      <c r="N5839" t="str">
        <f t="shared" si="365"/>
        <v>High</v>
      </c>
      <c r="O5839" t="str">
        <f t="shared" si="366"/>
        <v>Low Balance</v>
      </c>
      <c r="P5839" t="str">
        <f t="shared" si="367"/>
        <v>Mid-term</v>
      </c>
    </row>
    <row r="5840" spans="1:16" x14ac:dyDescent="0.25">
      <c r="A5840">
        <v>2025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  <c r="M5840" t="str">
        <f t="shared" si="364"/>
        <v>46-60</v>
      </c>
      <c r="N5840" t="str">
        <f t="shared" si="365"/>
        <v>Medium</v>
      </c>
      <c r="O5840" t="str">
        <f t="shared" si="366"/>
        <v>Low Balance</v>
      </c>
      <c r="P5840" t="str">
        <f t="shared" si="367"/>
        <v>New</v>
      </c>
    </row>
    <row r="5841" spans="1:16" x14ac:dyDescent="0.25">
      <c r="A5841">
        <v>2025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  <c r="M5841" t="str">
        <f t="shared" si="364"/>
        <v>30-45</v>
      </c>
      <c r="N5841" t="str">
        <f t="shared" si="365"/>
        <v>Medium</v>
      </c>
      <c r="O5841" t="str">
        <f t="shared" si="366"/>
        <v>High Balance</v>
      </c>
      <c r="P5841" t="str">
        <f t="shared" si="367"/>
        <v>New</v>
      </c>
    </row>
    <row r="5842" spans="1:16" x14ac:dyDescent="0.25">
      <c r="A5842">
        <v>2025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  <c r="M5842" t="str">
        <f t="shared" si="364"/>
        <v>60+</v>
      </c>
      <c r="N5842" t="str">
        <f t="shared" si="365"/>
        <v>Medium</v>
      </c>
      <c r="O5842" t="str">
        <f t="shared" si="366"/>
        <v>Zero Balance</v>
      </c>
      <c r="P5842" t="str">
        <f t="shared" si="367"/>
        <v>Mid-term</v>
      </c>
    </row>
    <row r="5843" spans="1:16" x14ac:dyDescent="0.25">
      <c r="A5843">
        <v>2025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  <c r="M5843" t="str">
        <f t="shared" si="364"/>
        <v>46-60</v>
      </c>
      <c r="N5843" t="str">
        <f t="shared" si="365"/>
        <v>Medium</v>
      </c>
      <c r="O5843" t="str">
        <f t="shared" si="366"/>
        <v>Zero Balance</v>
      </c>
      <c r="P5843" t="str">
        <f t="shared" si="367"/>
        <v>New</v>
      </c>
    </row>
    <row r="5844" spans="1:16" x14ac:dyDescent="0.25">
      <c r="A5844">
        <v>2025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  <c r="M5844" t="str">
        <f t="shared" si="364"/>
        <v>30-45</v>
      </c>
      <c r="N5844" t="str">
        <f t="shared" si="365"/>
        <v>Medium</v>
      </c>
      <c r="O5844" t="str">
        <f t="shared" si="366"/>
        <v>High Balance</v>
      </c>
      <c r="P5844" t="str">
        <f t="shared" si="367"/>
        <v>Long-term</v>
      </c>
    </row>
    <row r="5845" spans="1:16" x14ac:dyDescent="0.25">
      <c r="A5845">
        <v>2025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  <c r="M5845" t="str">
        <f t="shared" si="364"/>
        <v>&lt;30</v>
      </c>
      <c r="N5845" t="str">
        <f t="shared" si="365"/>
        <v>High</v>
      </c>
      <c r="O5845" t="str">
        <f t="shared" si="366"/>
        <v>High Balance</v>
      </c>
      <c r="P5845" t="str">
        <f t="shared" si="367"/>
        <v>Mid-term</v>
      </c>
    </row>
    <row r="5846" spans="1:16" x14ac:dyDescent="0.25">
      <c r="A5846">
        <v>2025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  <c r="M5846" t="str">
        <f t="shared" si="364"/>
        <v>&lt;30</v>
      </c>
      <c r="N5846" t="str">
        <f t="shared" si="365"/>
        <v>Medium</v>
      </c>
      <c r="O5846" t="str">
        <f t="shared" si="366"/>
        <v>Zero Balance</v>
      </c>
      <c r="P5846" t="str">
        <f t="shared" si="367"/>
        <v>Mid-term</v>
      </c>
    </row>
    <row r="5847" spans="1:16" x14ac:dyDescent="0.25">
      <c r="A5847">
        <v>2025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  <c r="M5847" t="str">
        <f t="shared" si="364"/>
        <v>30-45</v>
      </c>
      <c r="N5847" t="str">
        <f t="shared" si="365"/>
        <v>Medium</v>
      </c>
      <c r="O5847" t="str">
        <f t="shared" si="366"/>
        <v>Low Balance</v>
      </c>
      <c r="P5847" t="str">
        <f t="shared" si="367"/>
        <v>Long-term</v>
      </c>
    </row>
    <row r="5848" spans="1:16" x14ac:dyDescent="0.25">
      <c r="A5848">
        <v>2025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  <c r="M5848" t="str">
        <f t="shared" si="364"/>
        <v>&lt;30</v>
      </c>
      <c r="N5848" t="str">
        <f t="shared" si="365"/>
        <v>Medium</v>
      </c>
      <c r="O5848" t="str">
        <f t="shared" si="366"/>
        <v>Zero Balance</v>
      </c>
      <c r="P5848" t="str">
        <f t="shared" si="367"/>
        <v>New</v>
      </c>
    </row>
    <row r="5849" spans="1:16" x14ac:dyDescent="0.25">
      <c r="A5849">
        <v>2025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  <c r="M5849" t="str">
        <f t="shared" si="364"/>
        <v>30-45</v>
      </c>
      <c r="N5849" t="str">
        <f t="shared" si="365"/>
        <v>Medium</v>
      </c>
      <c r="O5849" t="str">
        <f t="shared" si="366"/>
        <v>Zero Balance</v>
      </c>
      <c r="P5849" t="str">
        <f t="shared" si="367"/>
        <v>Mid-term</v>
      </c>
    </row>
    <row r="5850" spans="1:16" x14ac:dyDescent="0.25">
      <c r="A5850">
        <v>2025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  <c r="M5850" t="str">
        <f t="shared" si="364"/>
        <v>30-45</v>
      </c>
      <c r="N5850" t="str">
        <f t="shared" si="365"/>
        <v>High</v>
      </c>
      <c r="O5850" t="str">
        <f t="shared" si="366"/>
        <v>High Balance</v>
      </c>
      <c r="P5850" t="str">
        <f t="shared" si="367"/>
        <v>New</v>
      </c>
    </row>
    <row r="5851" spans="1:16" x14ac:dyDescent="0.25">
      <c r="A5851">
        <v>2025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  <c r="M5851" t="str">
        <f t="shared" si="364"/>
        <v>46-60</v>
      </c>
      <c r="N5851" t="str">
        <f t="shared" si="365"/>
        <v>Medium</v>
      </c>
      <c r="O5851" t="str">
        <f t="shared" si="366"/>
        <v>Zero Balance</v>
      </c>
      <c r="P5851" t="str">
        <f t="shared" si="367"/>
        <v>New</v>
      </c>
    </row>
    <row r="5852" spans="1:16" x14ac:dyDescent="0.25">
      <c r="A5852">
        <v>2025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  <c r="M5852" t="str">
        <f t="shared" si="364"/>
        <v>&lt;30</v>
      </c>
      <c r="N5852" t="str">
        <f t="shared" si="365"/>
        <v>Medium</v>
      </c>
      <c r="O5852" t="str">
        <f t="shared" si="366"/>
        <v>High Balance</v>
      </c>
      <c r="P5852" t="str">
        <f t="shared" si="367"/>
        <v>Mid-term</v>
      </c>
    </row>
    <row r="5853" spans="1:16" x14ac:dyDescent="0.25">
      <c r="A5853">
        <v>2025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  <c r="M5853" t="str">
        <f t="shared" si="364"/>
        <v>30-45</v>
      </c>
      <c r="N5853" t="str">
        <f t="shared" si="365"/>
        <v>Medium</v>
      </c>
      <c r="O5853" t="str">
        <f t="shared" si="366"/>
        <v>Zero Balance</v>
      </c>
      <c r="P5853" t="str">
        <f t="shared" si="367"/>
        <v>New</v>
      </c>
    </row>
    <row r="5854" spans="1:16" x14ac:dyDescent="0.25">
      <c r="A5854">
        <v>2025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  <c r="M5854" t="str">
        <f t="shared" si="364"/>
        <v>&lt;30</v>
      </c>
      <c r="N5854" t="str">
        <f t="shared" si="365"/>
        <v>Medium</v>
      </c>
      <c r="O5854" t="str">
        <f t="shared" si="366"/>
        <v>Low Balance</v>
      </c>
      <c r="P5854" t="str">
        <f t="shared" si="367"/>
        <v>New</v>
      </c>
    </row>
    <row r="5855" spans="1:16" x14ac:dyDescent="0.25">
      <c r="A5855">
        <v>2025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  <c r="M5855" t="str">
        <f t="shared" si="364"/>
        <v>30-45</v>
      </c>
      <c r="N5855" t="str">
        <f t="shared" si="365"/>
        <v>Medium</v>
      </c>
      <c r="O5855" t="str">
        <f t="shared" si="366"/>
        <v>Low Balance</v>
      </c>
      <c r="P5855" t="str">
        <f t="shared" si="367"/>
        <v>Mid-term</v>
      </c>
    </row>
    <row r="5856" spans="1:16" x14ac:dyDescent="0.25">
      <c r="A5856">
        <v>2025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  <c r="M5856" t="str">
        <f t="shared" si="364"/>
        <v>30-45</v>
      </c>
      <c r="N5856" t="str">
        <f t="shared" si="365"/>
        <v>Low</v>
      </c>
      <c r="O5856" t="str">
        <f t="shared" si="366"/>
        <v>Zero Balance</v>
      </c>
      <c r="P5856" t="str">
        <f t="shared" si="367"/>
        <v>Mid-term</v>
      </c>
    </row>
    <row r="5857" spans="1:16" x14ac:dyDescent="0.25">
      <c r="A5857">
        <v>2025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  <c r="M5857" t="str">
        <f t="shared" si="364"/>
        <v>46-60</v>
      </c>
      <c r="N5857" t="str">
        <f t="shared" si="365"/>
        <v>Low</v>
      </c>
      <c r="O5857" t="str">
        <f t="shared" si="366"/>
        <v>Low Balance</v>
      </c>
      <c r="P5857" t="str">
        <f t="shared" si="367"/>
        <v>New</v>
      </c>
    </row>
    <row r="5858" spans="1:16" x14ac:dyDescent="0.25">
      <c r="A5858">
        <v>2025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  <c r="M5858" t="str">
        <f t="shared" si="364"/>
        <v>30-45</v>
      </c>
      <c r="N5858" t="str">
        <f t="shared" si="365"/>
        <v>Medium</v>
      </c>
      <c r="O5858" t="str">
        <f t="shared" si="366"/>
        <v>Zero Balance</v>
      </c>
      <c r="P5858" t="str">
        <f t="shared" si="367"/>
        <v>Mid-term</v>
      </c>
    </row>
    <row r="5859" spans="1:16" x14ac:dyDescent="0.25">
      <c r="A5859">
        <v>2025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  <c r="M5859" t="str">
        <f t="shared" si="364"/>
        <v>46-60</v>
      </c>
      <c r="N5859" t="str">
        <f t="shared" si="365"/>
        <v>Medium</v>
      </c>
      <c r="O5859" t="str">
        <f t="shared" si="366"/>
        <v>Zero Balance</v>
      </c>
      <c r="P5859" t="str">
        <f t="shared" si="367"/>
        <v>Mid-term</v>
      </c>
    </row>
    <row r="5860" spans="1:16" x14ac:dyDescent="0.25">
      <c r="A5860">
        <v>2025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  <c r="M5860" t="str">
        <f t="shared" si="364"/>
        <v>30-45</v>
      </c>
      <c r="N5860" t="str">
        <f t="shared" si="365"/>
        <v>Medium</v>
      </c>
      <c r="O5860" t="str">
        <f t="shared" si="366"/>
        <v>High Balance</v>
      </c>
      <c r="P5860" t="str">
        <f t="shared" si="367"/>
        <v>Long-term</v>
      </c>
    </row>
    <row r="5861" spans="1:16" x14ac:dyDescent="0.25">
      <c r="A5861">
        <v>2025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  <c r="M5861" t="str">
        <f t="shared" si="364"/>
        <v>30-45</v>
      </c>
      <c r="N5861" t="str">
        <f t="shared" si="365"/>
        <v>High</v>
      </c>
      <c r="O5861" t="str">
        <f t="shared" si="366"/>
        <v>Zero Balance</v>
      </c>
      <c r="P5861" t="str">
        <f t="shared" si="367"/>
        <v>Mid-term</v>
      </c>
    </row>
    <row r="5862" spans="1:16" x14ac:dyDescent="0.25">
      <c r="A5862">
        <v>2025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  <c r="M5862" t="str">
        <f t="shared" si="364"/>
        <v>30-45</v>
      </c>
      <c r="N5862" t="str">
        <f t="shared" si="365"/>
        <v>Low</v>
      </c>
      <c r="O5862" t="str">
        <f t="shared" si="366"/>
        <v>High Balance</v>
      </c>
      <c r="P5862" t="str">
        <f t="shared" si="367"/>
        <v>Mid-term</v>
      </c>
    </row>
    <row r="5863" spans="1:16" x14ac:dyDescent="0.25">
      <c r="A5863">
        <v>2025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  <c r="M5863" t="str">
        <f t="shared" si="364"/>
        <v>46-60</v>
      </c>
      <c r="N5863" t="str">
        <f t="shared" si="365"/>
        <v>Medium</v>
      </c>
      <c r="O5863" t="str">
        <f t="shared" si="366"/>
        <v>Low Balance</v>
      </c>
      <c r="P5863" t="str">
        <f t="shared" si="367"/>
        <v>New</v>
      </c>
    </row>
    <row r="5864" spans="1:16" x14ac:dyDescent="0.25">
      <c r="A5864">
        <v>2025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  <c r="M5864" t="str">
        <f t="shared" si="364"/>
        <v>30-45</v>
      </c>
      <c r="N5864" t="str">
        <f t="shared" si="365"/>
        <v>Medium</v>
      </c>
      <c r="O5864" t="str">
        <f t="shared" si="366"/>
        <v>Zero Balance</v>
      </c>
      <c r="P5864" t="str">
        <f t="shared" si="367"/>
        <v>Mid-term</v>
      </c>
    </row>
    <row r="5865" spans="1:16" x14ac:dyDescent="0.25">
      <c r="A5865">
        <v>2025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  <c r="M5865" t="str">
        <f t="shared" si="364"/>
        <v>30-45</v>
      </c>
      <c r="N5865" t="str">
        <f t="shared" si="365"/>
        <v>High</v>
      </c>
      <c r="O5865" t="str">
        <f t="shared" si="366"/>
        <v>Low Balance</v>
      </c>
      <c r="P5865" t="str">
        <f t="shared" si="367"/>
        <v>New</v>
      </c>
    </row>
    <row r="5866" spans="1:16" x14ac:dyDescent="0.25">
      <c r="A5866">
        <v>2025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  <c r="M5866" t="str">
        <f t="shared" si="364"/>
        <v>30-45</v>
      </c>
      <c r="N5866" t="str">
        <f t="shared" si="365"/>
        <v>High</v>
      </c>
      <c r="O5866" t="str">
        <f t="shared" si="366"/>
        <v>Zero Balance</v>
      </c>
      <c r="P5866" t="str">
        <f t="shared" si="367"/>
        <v>Long-term</v>
      </c>
    </row>
    <row r="5867" spans="1:16" x14ac:dyDescent="0.25">
      <c r="A5867">
        <v>2025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  <c r="M5867" t="str">
        <f t="shared" si="364"/>
        <v>30-45</v>
      </c>
      <c r="N5867" t="str">
        <f t="shared" si="365"/>
        <v>Medium</v>
      </c>
      <c r="O5867" t="str">
        <f t="shared" si="366"/>
        <v>Zero Balance</v>
      </c>
      <c r="P5867" t="str">
        <f t="shared" si="367"/>
        <v>Mid-term</v>
      </c>
    </row>
    <row r="5868" spans="1:16" x14ac:dyDescent="0.25">
      <c r="A5868">
        <v>2025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  <c r="M5868" t="str">
        <f t="shared" si="364"/>
        <v>46-60</v>
      </c>
      <c r="N5868" t="str">
        <f t="shared" si="365"/>
        <v>High</v>
      </c>
      <c r="O5868" t="str">
        <f t="shared" si="366"/>
        <v>High Balance</v>
      </c>
      <c r="P5868" t="str">
        <f t="shared" si="367"/>
        <v>Long-term</v>
      </c>
    </row>
    <row r="5869" spans="1:16" x14ac:dyDescent="0.25">
      <c r="A5869">
        <v>2025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  <c r="M5869" t="str">
        <f t="shared" si="364"/>
        <v>60+</v>
      </c>
      <c r="N5869" t="str">
        <f t="shared" si="365"/>
        <v>Medium</v>
      </c>
      <c r="O5869" t="str">
        <f t="shared" si="366"/>
        <v>High Balance</v>
      </c>
      <c r="P5869" t="str">
        <f t="shared" si="367"/>
        <v>New</v>
      </c>
    </row>
    <row r="5870" spans="1:16" x14ac:dyDescent="0.25">
      <c r="A5870">
        <v>2025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  <c r="M5870" t="str">
        <f t="shared" si="364"/>
        <v>46-60</v>
      </c>
      <c r="N5870" t="str">
        <f t="shared" si="365"/>
        <v>High</v>
      </c>
      <c r="O5870" t="str">
        <f t="shared" si="366"/>
        <v>Zero Balance</v>
      </c>
      <c r="P5870" t="str">
        <f t="shared" si="367"/>
        <v>Mid-term</v>
      </c>
    </row>
    <row r="5871" spans="1:16" x14ac:dyDescent="0.25">
      <c r="A5871">
        <v>2025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  <c r="M5871" t="str">
        <f t="shared" si="364"/>
        <v>30-45</v>
      </c>
      <c r="N5871" t="str">
        <f t="shared" si="365"/>
        <v>Medium</v>
      </c>
      <c r="O5871" t="str">
        <f t="shared" si="366"/>
        <v>High Balance</v>
      </c>
      <c r="P5871" t="str">
        <f t="shared" si="367"/>
        <v>New</v>
      </c>
    </row>
    <row r="5872" spans="1:16" x14ac:dyDescent="0.25">
      <c r="A5872">
        <v>2025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  <c r="M5872" t="str">
        <f t="shared" si="364"/>
        <v>30-45</v>
      </c>
      <c r="N5872" t="str">
        <f t="shared" si="365"/>
        <v>Medium</v>
      </c>
      <c r="O5872" t="str">
        <f t="shared" si="366"/>
        <v>High Balance</v>
      </c>
      <c r="P5872" t="str">
        <f t="shared" si="367"/>
        <v>New</v>
      </c>
    </row>
    <row r="5873" spans="1:16" x14ac:dyDescent="0.25">
      <c r="A5873">
        <v>2025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  <c r="M5873" t="str">
        <f t="shared" si="364"/>
        <v>30-45</v>
      </c>
      <c r="N5873" t="str">
        <f t="shared" si="365"/>
        <v>Low</v>
      </c>
      <c r="O5873" t="str">
        <f t="shared" si="366"/>
        <v>High Balance</v>
      </c>
      <c r="P5873" t="str">
        <f t="shared" si="367"/>
        <v>New</v>
      </c>
    </row>
    <row r="5874" spans="1:16" x14ac:dyDescent="0.25">
      <c r="A5874">
        <v>2025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  <c r="M5874" t="str">
        <f t="shared" si="364"/>
        <v>&lt;30</v>
      </c>
      <c r="N5874" t="str">
        <f t="shared" si="365"/>
        <v>Medium</v>
      </c>
      <c r="O5874" t="str">
        <f t="shared" si="366"/>
        <v>Zero Balance</v>
      </c>
      <c r="P5874" t="str">
        <f t="shared" si="367"/>
        <v>Mid-term</v>
      </c>
    </row>
    <row r="5875" spans="1:16" x14ac:dyDescent="0.25">
      <c r="A5875">
        <v>2025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  <c r="M5875" t="str">
        <f t="shared" si="364"/>
        <v>30-45</v>
      </c>
      <c r="N5875" t="str">
        <f t="shared" si="365"/>
        <v>Medium</v>
      </c>
      <c r="O5875" t="str">
        <f t="shared" si="366"/>
        <v>Zero Balance</v>
      </c>
      <c r="P5875" t="str">
        <f t="shared" si="367"/>
        <v>Long-term</v>
      </c>
    </row>
    <row r="5876" spans="1:16" x14ac:dyDescent="0.25">
      <c r="A5876">
        <v>2025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  <c r="M5876" t="str">
        <f t="shared" si="364"/>
        <v>&lt;30</v>
      </c>
      <c r="N5876" t="str">
        <f t="shared" si="365"/>
        <v>Medium</v>
      </c>
      <c r="O5876" t="str">
        <f t="shared" si="366"/>
        <v>Zero Balance</v>
      </c>
      <c r="P5876" t="str">
        <f t="shared" si="367"/>
        <v>New</v>
      </c>
    </row>
    <row r="5877" spans="1:16" x14ac:dyDescent="0.25">
      <c r="A5877">
        <v>2025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  <c r="M5877" t="str">
        <f t="shared" si="364"/>
        <v>30-45</v>
      </c>
      <c r="N5877" t="str">
        <f t="shared" si="365"/>
        <v>Medium</v>
      </c>
      <c r="O5877" t="str">
        <f t="shared" si="366"/>
        <v>High Balance</v>
      </c>
      <c r="P5877" t="str">
        <f t="shared" si="367"/>
        <v>Mid-term</v>
      </c>
    </row>
    <row r="5878" spans="1:16" x14ac:dyDescent="0.25">
      <c r="A5878">
        <v>2025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  <c r="M5878" t="str">
        <f t="shared" si="364"/>
        <v>30-45</v>
      </c>
      <c r="N5878" t="str">
        <f t="shared" si="365"/>
        <v>High</v>
      </c>
      <c r="O5878" t="str">
        <f t="shared" si="366"/>
        <v>High Balance</v>
      </c>
      <c r="P5878" t="str">
        <f t="shared" si="367"/>
        <v>New</v>
      </c>
    </row>
    <row r="5879" spans="1:16" x14ac:dyDescent="0.25">
      <c r="A5879">
        <v>2025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  <c r="M5879" t="str">
        <f t="shared" si="364"/>
        <v>&lt;30</v>
      </c>
      <c r="N5879" t="str">
        <f t="shared" si="365"/>
        <v>Low</v>
      </c>
      <c r="O5879" t="str">
        <f t="shared" si="366"/>
        <v>Zero Balance</v>
      </c>
      <c r="P5879" t="str">
        <f t="shared" si="367"/>
        <v>Mid-term</v>
      </c>
    </row>
    <row r="5880" spans="1:16" x14ac:dyDescent="0.25">
      <c r="A5880">
        <v>2025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  <c r="M5880" t="str">
        <f t="shared" si="364"/>
        <v>30-45</v>
      </c>
      <c r="N5880" t="str">
        <f t="shared" si="365"/>
        <v>Medium</v>
      </c>
      <c r="O5880" t="str">
        <f t="shared" si="366"/>
        <v>High Balance</v>
      </c>
      <c r="P5880" t="str">
        <f t="shared" si="367"/>
        <v>Long-term</v>
      </c>
    </row>
    <row r="5881" spans="1:16" x14ac:dyDescent="0.25">
      <c r="A5881">
        <v>2025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  <c r="M5881" t="str">
        <f t="shared" si="364"/>
        <v>30-45</v>
      </c>
      <c r="N5881" t="str">
        <f t="shared" si="365"/>
        <v>Medium</v>
      </c>
      <c r="O5881" t="str">
        <f t="shared" si="366"/>
        <v>Low Balance</v>
      </c>
      <c r="P5881" t="str">
        <f t="shared" si="367"/>
        <v>Mid-term</v>
      </c>
    </row>
    <row r="5882" spans="1:16" x14ac:dyDescent="0.25">
      <c r="A5882">
        <v>2025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  <c r="M5882" t="str">
        <f t="shared" si="364"/>
        <v>&lt;30</v>
      </c>
      <c r="N5882" t="str">
        <f t="shared" si="365"/>
        <v>Medium</v>
      </c>
      <c r="O5882" t="str">
        <f t="shared" si="366"/>
        <v>Low Balance</v>
      </c>
      <c r="P5882" t="str">
        <f t="shared" si="367"/>
        <v>New</v>
      </c>
    </row>
    <row r="5883" spans="1:16" x14ac:dyDescent="0.25">
      <c r="A5883">
        <v>2025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  <c r="M5883" t="str">
        <f t="shared" si="364"/>
        <v>30-45</v>
      </c>
      <c r="N5883" t="str">
        <f t="shared" si="365"/>
        <v>High</v>
      </c>
      <c r="O5883" t="str">
        <f t="shared" si="366"/>
        <v>High Balance</v>
      </c>
      <c r="P5883" t="str">
        <f t="shared" si="367"/>
        <v>New</v>
      </c>
    </row>
    <row r="5884" spans="1:16" x14ac:dyDescent="0.25">
      <c r="A5884">
        <v>2025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  <c r="M5884" t="str">
        <f t="shared" si="364"/>
        <v>46-60</v>
      </c>
      <c r="N5884" t="str">
        <f t="shared" si="365"/>
        <v>High</v>
      </c>
      <c r="O5884" t="str">
        <f t="shared" si="366"/>
        <v>High Balance</v>
      </c>
      <c r="P5884" t="str">
        <f t="shared" si="367"/>
        <v>Long-term</v>
      </c>
    </row>
    <row r="5885" spans="1:16" x14ac:dyDescent="0.25">
      <c r="A5885">
        <v>2025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  <c r="M5885" t="str">
        <f t="shared" si="364"/>
        <v>30-45</v>
      </c>
      <c r="N5885" t="str">
        <f t="shared" si="365"/>
        <v>Low</v>
      </c>
      <c r="O5885" t="str">
        <f t="shared" si="366"/>
        <v>Low Balance</v>
      </c>
      <c r="P5885" t="str">
        <f t="shared" si="367"/>
        <v>New</v>
      </c>
    </row>
    <row r="5886" spans="1:16" x14ac:dyDescent="0.25">
      <c r="A5886">
        <v>2025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  <c r="M5886" t="str">
        <f t="shared" si="364"/>
        <v>30-45</v>
      </c>
      <c r="N5886" t="str">
        <f t="shared" si="365"/>
        <v>Medium</v>
      </c>
      <c r="O5886" t="str">
        <f t="shared" si="366"/>
        <v>High Balance</v>
      </c>
      <c r="P5886" t="str">
        <f t="shared" si="367"/>
        <v>Long-term</v>
      </c>
    </row>
    <row r="5887" spans="1:16" x14ac:dyDescent="0.25">
      <c r="A5887">
        <v>2025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  <c r="M5887" t="str">
        <f t="shared" si="364"/>
        <v>&lt;30</v>
      </c>
      <c r="N5887" t="str">
        <f t="shared" si="365"/>
        <v>Medium</v>
      </c>
      <c r="O5887" t="str">
        <f t="shared" si="366"/>
        <v>Low Balance</v>
      </c>
      <c r="P5887" t="str">
        <f t="shared" si="367"/>
        <v>New</v>
      </c>
    </row>
    <row r="5888" spans="1:16" x14ac:dyDescent="0.25">
      <c r="A5888">
        <v>2025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  <c r="M5888" t="str">
        <f t="shared" si="364"/>
        <v>30-45</v>
      </c>
      <c r="N5888" t="str">
        <f t="shared" si="365"/>
        <v>Medium</v>
      </c>
      <c r="O5888" t="str">
        <f t="shared" si="366"/>
        <v>Low Balance</v>
      </c>
      <c r="P5888" t="str">
        <f t="shared" si="367"/>
        <v>Mid-term</v>
      </c>
    </row>
    <row r="5889" spans="1:16" x14ac:dyDescent="0.25">
      <c r="A5889">
        <v>2025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  <c r="M5889" t="str">
        <f t="shared" si="364"/>
        <v>30-45</v>
      </c>
      <c r="N5889" t="str">
        <f t="shared" si="365"/>
        <v>Medium</v>
      </c>
      <c r="O5889" t="str">
        <f t="shared" si="366"/>
        <v>High Balance</v>
      </c>
      <c r="P5889" t="str">
        <f t="shared" si="367"/>
        <v>New</v>
      </c>
    </row>
    <row r="5890" spans="1:16" x14ac:dyDescent="0.25">
      <c r="A5890">
        <v>2025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  <c r="M5890" t="str">
        <f t="shared" si="364"/>
        <v>46-60</v>
      </c>
      <c r="N5890" t="str">
        <f t="shared" si="365"/>
        <v>Low</v>
      </c>
      <c r="O5890" t="str">
        <f t="shared" si="366"/>
        <v>High Balance</v>
      </c>
      <c r="P5890" t="str">
        <f t="shared" si="367"/>
        <v>New</v>
      </c>
    </row>
    <row r="5891" spans="1:16" x14ac:dyDescent="0.25">
      <c r="A5891">
        <v>2025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  <c r="M5891" t="str">
        <f t="shared" ref="M5891:M5954" si="368">IF(E5891&lt;30,"&lt;30",IF(E5891&lt;=45,"30-45",IF(E5891&lt;=60,"46-60","60+")))</f>
        <v>30-45</v>
      </c>
      <c r="N5891" t="str">
        <f t="shared" ref="N5891:N5954" si="369">IF(B5891&lt;500,"Low",IF(B5891&lt;700,"Medium","High"))</f>
        <v>High</v>
      </c>
      <c r="O5891" t="str">
        <f t="shared" ref="O5891:O5954" si="370">IF(G5891=0,"Zero Balance",IF(G5891&lt;100000,"Low Balance","High Balance"))</f>
        <v>Low Balance</v>
      </c>
      <c r="P5891" t="str">
        <f t="shared" ref="P5891:P5954" si="371">IF(F5891&lt;=3,"New",IF(F5891&lt;=7,"Mid-term","Long-term"))</f>
        <v>New</v>
      </c>
    </row>
    <row r="5892" spans="1:16" x14ac:dyDescent="0.25">
      <c r="A5892">
        <v>2025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  <c r="M5892" t="str">
        <f t="shared" si="368"/>
        <v>30-45</v>
      </c>
      <c r="N5892" t="str">
        <f t="shared" si="369"/>
        <v>Low</v>
      </c>
      <c r="O5892" t="str">
        <f t="shared" si="370"/>
        <v>High Balance</v>
      </c>
      <c r="P5892" t="str">
        <f t="shared" si="371"/>
        <v>Mid-term</v>
      </c>
    </row>
    <row r="5893" spans="1:16" x14ac:dyDescent="0.25">
      <c r="A5893">
        <v>2025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  <c r="M5893" t="str">
        <f t="shared" si="368"/>
        <v>30-45</v>
      </c>
      <c r="N5893" t="str">
        <f t="shared" si="369"/>
        <v>Medium</v>
      </c>
      <c r="O5893" t="str">
        <f t="shared" si="370"/>
        <v>Zero Balance</v>
      </c>
      <c r="P5893" t="str">
        <f t="shared" si="371"/>
        <v>New</v>
      </c>
    </row>
    <row r="5894" spans="1:16" x14ac:dyDescent="0.25">
      <c r="A5894">
        <v>2025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  <c r="M5894" t="str">
        <f t="shared" si="368"/>
        <v>30-45</v>
      </c>
      <c r="N5894" t="str">
        <f t="shared" si="369"/>
        <v>Medium</v>
      </c>
      <c r="O5894" t="str">
        <f t="shared" si="370"/>
        <v>High Balance</v>
      </c>
      <c r="P5894" t="str">
        <f t="shared" si="371"/>
        <v>New</v>
      </c>
    </row>
    <row r="5895" spans="1:16" x14ac:dyDescent="0.25">
      <c r="A5895">
        <v>2025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  <c r="M5895" t="str">
        <f t="shared" si="368"/>
        <v>46-60</v>
      </c>
      <c r="N5895" t="str">
        <f t="shared" si="369"/>
        <v>Medium</v>
      </c>
      <c r="O5895" t="str">
        <f t="shared" si="370"/>
        <v>High Balance</v>
      </c>
      <c r="P5895" t="str">
        <f t="shared" si="371"/>
        <v>Long-term</v>
      </c>
    </row>
    <row r="5896" spans="1:16" x14ac:dyDescent="0.25">
      <c r="A5896">
        <v>2025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  <c r="M5896" t="str">
        <f t="shared" si="368"/>
        <v>30-45</v>
      </c>
      <c r="N5896" t="str">
        <f t="shared" si="369"/>
        <v>Medium</v>
      </c>
      <c r="O5896" t="str">
        <f t="shared" si="370"/>
        <v>High Balance</v>
      </c>
      <c r="P5896" t="str">
        <f t="shared" si="371"/>
        <v>New</v>
      </c>
    </row>
    <row r="5897" spans="1:16" x14ac:dyDescent="0.25">
      <c r="A5897">
        <v>2025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  <c r="M5897" t="str">
        <f t="shared" si="368"/>
        <v>30-45</v>
      </c>
      <c r="N5897" t="str">
        <f t="shared" si="369"/>
        <v>High</v>
      </c>
      <c r="O5897" t="str">
        <f t="shared" si="370"/>
        <v>High Balance</v>
      </c>
      <c r="P5897" t="str">
        <f t="shared" si="371"/>
        <v>Mid-term</v>
      </c>
    </row>
    <row r="5898" spans="1:16" x14ac:dyDescent="0.25">
      <c r="A5898">
        <v>2025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  <c r="M5898" t="str">
        <f t="shared" si="368"/>
        <v>30-45</v>
      </c>
      <c r="N5898" t="str">
        <f t="shared" si="369"/>
        <v>High</v>
      </c>
      <c r="O5898" t="str">
        <f t="shared" si="370"/>
        <v>High Balance</v>
      </c>
      <c r="P5898" t="str">
        <f t="shared" si="371"/>
        <v>New</v>
      </c>
    </row>
    <row r="5899" spans="1:16" x14ac:dyDescent="0.25">
      <c r="A5899">
        <v>2025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  <c r="M5899" t="str">
        <f t="shared" si="368"/>
        <v>&lt;30</v>
      </c>
      <c r="N5899" t="str">
        <f t="shared" si="369"/>
        <v>High</v>
      </c>
      <c r="O5899" t="str">
        <f t="shared" si="370"/>
        <v>High Balance</v>
      </c>
      <c r="P5899" t="str">
        <f t="shared" si="371"/>
        <v>New</v>
      </c>
    </row>
    <row r="5900" spans="1:16" x14ac:dyDescent="0.25">
      <c r="A5900">
        <v>2025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  <c r="M5900" t="str">
        <f t="shared" si="368"/>
        <v>30-45</v>
      </c>
      <c r="N5900" t="str">
        <f t="shared" si="369"/>
        <v>Medium</v>
      </c>
      <c r="O5900" t="str">
        <f t="shared" si="370"/>
        <v>High Balance</v>
      </c>
      <c r="P5900" t="str">
        <f t="shared" si="371"/>
        <v>New</v>
      </c>
    </row>
    <row r="5901" spans="1:16" x14ac:dyDescent="0.25">
      <c r="A5901">
        <v>2025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  <c r="M5901" t="str">
        <f t="shared" si="368"/>
        <v>&lt;30</v>
      </c>
      <c r="N5901" t="str">
        <f t="shared" si="369"/>
        <v>Medium</v>
      </c>
      <c r="O5901" t="str">
        <f t="shared" si="370"/>
        <v>Zero Balance</v>
      </c>
      <c r="P5901" t="str">
        <f t="shared" si="371"/>
        <v>New</v>
      </c>
    </row>
    <row r="5902" spans="1:16" x14ac:dyDescent="0.25">
      <c r="A5902">
        <v>2025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  <c r="M5902" t="str">
        <f t="shared" si="368"/>
        <v>&lt;30</v>
      </c>
      <c r="N5902" t="str">
        <f t="shared" si="369"/>
        <v>Medium</v>
      </c>
      <c r="O5902" t="str">
        <f t="shared" si="370"/>
        <v>Zero Balance</v>
      </c>
      <c r="P5902" t="str">
        <f t="shared" si="371"/>
        <v>Mid-term</v>
      </c>
    </row>
    <row r="5903" spans="1:16" x14ac:dyDescent="0.25">
      <c r="A5903">
        <v>2025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  <c r="M5903" t="str">
        <f t="shared" si="368"/>
        <v>30-45</v>
      </c>
      <c r="N5903" t="str">
        <f t="shared" si="369"/>
        <v>Medium</v>
      </c>
      <c r="O5903" t="str">
        <f t="shared" si="370"/>
        <v>Zero Balance</v>
      </c>
      <c r="P5903" t="str">
        <f t="shared" si="371"/>
        <v>New</v>
      </c>
    </row>
    <row r="5904" spans="1:16" x14ac:dyDescent="0.25">
      <c r="A5904">
        <v>2025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  <c r="M5904" t="str">
        <f t="shared" si="368"/>
        <v>30-45</v>
      </c>
      <c r="N5904" t="str">
        <f t="shared" si="369"/>
        <v>Medium</v>
      </c>
      <c r="O5904" t="str">
        <f t="shared" si="370"/>
        <v>Zero Balance</v>
      </c>
      <c r="P5904" t="str">
        <f t="shared" si="371"/>
        <v>Long-term</v>
      </c>
    </row>
    <row r="5905" spans="1:16" x14ac:dyDescent="0.25">
      <c r="A5905">
        <v>2025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  <c r="M5905" t="str">
        <f t="shared" si="368"/>
        <v>&lt;30</v>
      </c>
      <c r="N5905" t="str">
        <f t="shared" si="369"/>
        <v>Medium</v>
      </c>
      <c r="O5905" t="str">
        <f t="shared" si="370"/>
        <v>High Balance</v>
      </c>
      <c r="P5905" t="str">
        <f t="shared" si="371"/>
        <v>Mid-term</v>
      </c>
    </row>
    <row r="5906" spans="1:16" x14ac:dyDescent="0.25">
      <c r="A5906">
        <v>2025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  <c r="M5906" t="str">
        <f t="shared" si="368"/>
        <v>30-45</v>
      </c>
      <c r="N5906" t="str">
        <f t="shared" si="369"/>
        <v>Medium</v>
      </c>
      <c r="O5906" t="str">
        <f t="shared" si="370"/>
        <v>High Balance</v>
      </c>
      <c r="P5906" t="str">
        <f t="shared" si="371"/>
        <v>Mid-term</v>
      </c>
    </row>
    <row r="5907" spans="1:16" x14ac:dyDescent="0.25">
      <c r="A5907">
        <v>2025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  <c r="M5907" t="str">
        <f t="shared" si="368"/>
        <v>30-45</v>
      </c>
      <c r="N5907" t="str">
        <f t="shared" si="369"/>
        <v>Medium</v>
      </c>
      <c r="O5907" t="str">
        <f t="shared" si="370"/>
        <v>Zero Balance</v>
      </c>
      <c r="P5907" t="str">
        <f t="shared" si="371"/>
        <v>Mid-term</v>
      </c>
    </row>
    <row r="5908" spans="1:16" x14ac:dyDescent="0.25">
      <c r="A5908">
        <v>2025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  <c r="M5908" t="str">
        <f t="shared" si="368"/>
        <v>30-45</v>
      </c>
      <c r="N5908" t="str">
        <f t="shared" si="369"/>
        <v>High</v>
      </c>
      <c r="O5908" t="str">
        <f t="shared" si="370"/>
        <v>High Balance</v>
      </c>
      <c r="P5908" t="str">
        <f t="shared" si="371"/>
        <v>Mid-term</v>
      </c>
    </row>
    <row r="5909" spans="1:16" x14ac:dyDescent="0.25">
      <c r="A5909">
        <v>2025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  <c r="M5909" t="str">
        <f t="shared" si="368"/>
        <v>60+</v>
      </c>
      <c r="N5909" t="str">
        <f t="shared" si="369"/>
        <v>Medium</v>
      </c>
      <c r="O5909" t="str">
        <f t="shared" si="370"/>
        <v>High Balance</v>
      </c>
      <c r="P5909" t="str">
        <f t="shared" si="371"/>
        <v>Mid-term</v>
      </c>
    </row>
    <row r="5910" spans="1:16" x14ac:dyDescent="0.25">
      <c r="A5910">
        <v>2025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  <c r="M5910" t="str">
        <f t="shared" si="368"/>
        <v>46-60</v>
      </c>
      <c r="N5910" t="str">
        <f t="shared" si="369"/>
        <v>High</v>
      </c>
      <c r="O5910" t="str">
        <f t="shared" si="370"/>
        <v>Low Balance</v>
      </c>
      <c r="P5910" t="str">
        <f t="shared" si="371"/>
        <v>Long-term</v>
      </c>
    </row>
    <row r="5911" spans="1:16" x14ac:dyDescent="0.25">
      <c r="A5911">
        <v>2025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  <c r="M5911" t="str">
        <f t="shared" si="368"/>
        <v>30-45</v>
      </c>
      <c r="N5911" t="str">
        <f t="shared" si="369"/>
        <v>Medium</v>
      </c>
      <c r="O5911" t="str">
        <f t="shared" si="370"/>
        <v>Zero Balance</v>
      </c>
      <c r="P5911" t="str">
        <f t="shared" si="371"/>
        <v>Mid-term</v>
      </c>
    </row>
    <row r="5912" spans="1:16" x14ac:dyDescent="0.25">
      <c r="A5912">
        <v>2025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  <c r="M5912" t="str">
        <f t="shared" si="368"/>
        <v>30-45</v>
      </c>
      <c r="N5912" t="str">
        <f t="shared" si="369"/>
        <v>Low</v>
      </c>
      <c r="O5912" t="str">
        <f t="shared" si="370"/>
        <v>Zero Balance</v>
      </c>
      <c r="P5912" t="str">
        <f t="shared" si="371"/>
        <v>Mid-term</v>
      </c>
    </row>
    <row r="5913" spans="1:16" x14ac:dyDescent="0.25">
      <c r="A5913">
        <v>2025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  <c r="M5913" t="str">
        <f t="shared" si="368"/>
        <v>30-45</v>
      </c>
      <c r="N5913" t="str">
        <f t="shared" si="369"/>
        <v>High</v>
      </c>
      <c r="O5913" t="str">
        <f t="shared" si="370"/>
        <v>Zero Balance</v>
      </c>
      <c r="P5913" t="str">
        <f t="shared" si="371"/>
        <v>Mid-term</v>
      </c>
    </row>
    <row r="5914" spans="1:16" x14ac:dyDescent="0.25">
      <c r="A5914">
        <v>2025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  <c r="M5914" t="str">
        <f t="shared" si="368"/>
        <v>30-45</v>
      </c>
      <c r="N5914" t="str">
        <f t="shared" si="369"/>
        <v>Medium</v>
      </c>
      <c r="O5914" t="str">
        <f t="shared" si="370"/>
        <v>High Balance</v>
      </c>
      <c r="P5914" t="str">
        <f t="shared" si="371"/>
        <v>Mid-term</v>
      </c>
    </row>
    <row r="5915" spans="1:16" x14ac:dyDescent="0.25">
      <c r="A5915">
        <v>2025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  <c r="M5915" t="str">
        <f t="shared" si="368"/>
        <v>30-45</v>
      </c>
      <c r="N5915" t="str">
        <f t="shared" si="369"/>
        <v>Medium</v>
      </c>
      <c r="O5915" t="str">
        <f t="shared" si="370"/>
        <v>Zero Balance</v>
      </c>
      <c r="P5915" t="str">
        <f t="shared" si="371"/>
        <v>New</v>
      </c>
    </row>
    <row r="5916" spans="1:16" x14ac:dyDescent="0.25">
      <c r="A5916">
        <v>2025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  <c r="M5916" t="str">
        <f t="shared" si="368"/>
        <v>&lt;30</v>
      </c>
      <c r="N5916" t="str">
        <f t="shared" si="369"/>
        <v>High</v>
      </c>
      <c r="O5916" t="str">
        <f t="shared" si="370"/>
        <v>High Balance</v>
      </c>
      <c r="P5916" t="str">
        <f t="shared" si="371"/>
        <v>Mid-term</v>
      </c>
    </row>
    <row r="5917" spans="1:16" x14ac:dyDescent="0.25">
      <c r="A5917">
        <v>2025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  <c r="M5917" t="str">
        <f t="shared" si="368"/>
        <v>46-60</v>
      </c>
      <c r="N5917" t="str">
        <f t="shared" si="369"/>
        <v>Medium</v>
      </c>
      <c r="O5917" t="str">
        <f t="shared" si="370"/>
        <v>High Balance</v>
      </c>
      <c r="P5917" t="str">
        <f t="shared" si="371"/>
        <v>Long-term</v>
      </c>
    </row>
    <row r="5918" spans="1:16" x14ac:dyDescent="0.25">
      <c r="A5918">
        <v>2025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  <c r="M5918" t="str">
        <f t="shared" si="368"/>
        <v>30-45</v>
      </c>
      <c r="N5918" t="str">
        <f t="shared" si="369"/>
        <v>Medium</v>
      </c>
      <c r="O5918" t="str">
        <f t="shared" si="370"/>
        <v>Zero Balance</v>
      </c>
      <c r="P5918" t="str">
        <f t="shared" si="371"/>
        <v>New</v>
      </c>
    </row>
    <row r="5919" spans="1:16" x14ac:dyDescent="0.25">
      <c r="A5919">
        <v>2025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  <c r="M5919" t="str">
        <f t="shared" si="368"/>
        <v>30-45</v>
      </c>
      <c r="N5919" t="str">
        <f t="shared" si="369"/>
        <v>Medium</v>
      </c>
      <c r="O5919" t="str">
        <f t="shared" si="370"/>
        <v>Zero Balance</v>
      </c>
      <c r="P5919" t="str">
        <f t="shared" si="371"/>
        <v>New</v>
      </c>
    </row>
    <row r="5920" spans="1:16" x14ac:dyDescent="0.25">
      <c r="A5920">
        <v>2025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  <c r="M5920" t="str">
        <f t="shared" si="368"/>
        <v>&lt;30</v>
      </c>
      <c r="N5920" t="str">
        <f t="shared" si="369"/>
        <v>Medium</v>
      </c>
      <c r="O5920" t="str">
        <f t="shared" si="370"/>
        <v>High Balance</v>
      </c>
      <c r="P5920" t="str">
        <f t="shared" si="371"/>
        <v>New</v>
      </c>
    </row>
    <row r="5921" spans="1:16" x14ac:dyDescent="0.25">
      <c r="A5921">
        <v>2025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  <c r="M5921" t="str">
        <f t="shared" si="368"/>
        <v>46-60</v>
      </c>
      <c r="N5921" t="str">
        <f t="shared" si="369"/>
        <v>Medium</v>
      </c>
      <c r="O5921" t="str">
        <f t="shared" si="370"/>
        <v>Zero Balance</v>
      </c>
      <c r="P5921" t="str">
        <f t="shared" si="371"/>
        <v>Long-term</v>
      </c>
    </row>
    <row r="5922" spans="1:16" x14ac:dyDescent="0.25">
      <c r="A5922">
        <v>2025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  <c r="M5922" t="str">
        <f t="shared" si="368"/>
        <v>30-45</v>
      </c>
      <c r="N5922" t="str">
        <f t="shared" si="369"/>
        <v>Medium</v>
      </c>
      <c r="O5922" t="str">
        <f t="shared" si="370"/>
        <v>Zero Balance</v>
      </c>
      <c r="P5922" t="str">
        <f t="shared" si="371"/>
        <v>Mid-term</v>
      </c>
    </row>
    <row r="5923" spans="1:16" x14ac:dyDescent="0.25">
      <c r="A5923">
        <v>2025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  <c r="M5923" t="str">
        <f t="shared" si="368"/>
        <v>46-60</v>
      </c>
      <c r="N5923" t="str">
        <f t="shared" si="369"/>
        <v>Medium</v>
      </c>
      <c r="O5923" t="str">
        <f t="shared" si="370"/>
        <v>Zero Balance</v>
      </c>
      <c r="P5923" t="str">
        <f t="shared" si="371"/>
        <v>Long-term</v>
      </c>
    </row>
    <row r="5924" spans="1:16" x14ac:dyDescent="0.25">
      <c r="A5924">
        <v>2025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  <c r="M5924" t="str">
        <f t="shared" si="368"/>
        <v>30-45</v>
      </c>
      <c r="N5924" t="str">
        <f t="shared" si="369"/>
        <v>Medium</v>
      </c>
      <c r="O5924" t="str">
        <f t="shared" si="370"/>
        <v>High Balance</v>
      </c>
      <c r="P5924" t="str">
        <f t="shared" si="371"/>
        <v>New</v>
      </c>
    </row>
    <row r="5925" spans="1:16" x14ac:dyDescent="0.25">
      <c r="A5925">
        <v>2025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  <c r="M5925" t="str">
        <f t="shared" si="368"/>
        <v>46-60</v>
      </c>
      <c r="N5925" t="str">
        <f t="shared" si="369"/>
        <v>High</v>
      </c>
      <c r="O5925" t="str">
        <f t="shared" si="370"/>
        <v>Zero Balance</v>
      </c>
      <c r="P5925" t="str">
        <f t="shared" si="371"/>
        <v>Long-term</v>
      </c>
    </row>
    <row r="5926" spans="1:16" x14ac:dyDescent="0.25">
      <c r="A5926">
        <v>2025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  <c r="M5926" t="str">
        <f t="shared" si="368"/>
        <v>30-45</v>
      </c>
      <c r="N5926" t="str">
        <f t="shared" si="369"/>
        <v>High</v>
      </c>
      <c r="O5926" t="str">
        <f t="shared" si="370"/>
        <v>Low Balance</v>
      </c>
      <c r="P5926" t="str">
        <f t="shared" si="371"/>
        <v>New</v>
      </c>
    </row>
    <row r="5927" spans="1:16" x14ac:dyDescent="0.25">
      <c r="A5927">
        <v>2025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  <c r="M5927" t="str">
        <f t="shared" si="368"/>
        <v>30-45</v>
      </c>
      <c r="N5927" t="str">
        <f t="shared" si="369"/>
        <v>High</v>
      </c>
      <c r="O5927" t="str">
        <f t="shared" si="370"/>
        <v>High Balance</v>
      </c>
      <c r="P5927" t="str">
        <f t="shared" si="371"/>
        <v>Long-term</v>
      </c>
    </row>
    <row r="5928" spans="1:16" x14ac:dyDescent="0.25">
      <c r="A5928">
        <v>2025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  <c r="M5928" t="str">
        <f t="shared" si="368"/>
        <v>46-60</v>
      </c>
      <c r="N5928" t="str">
        <f t="shared" si="369"/>
        <v>Medium</v>
      </c>
      <c r="O5928" t="str">
        <f t="shared" si="370"/>
        <v>Zero Balance</v>
      </c>
      <c r="P5928" t="str">
        <f t="shared" si="371"/>
        <v>Mid-term</v>
      </c>
    </row>
    <row r="5929" spans="1:16" x14ac:dyDescent="0.25">
      <c r="A5929">
        <v>2025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  <c r="M5929" t="str">
        <f t="shared" si="368"/>
        <v>30-45</v>
      </c>
      <c r="N5929" t="str">
        <f t="shared" si="369"/>
        <v>Medium</v>
      </c>
      <c r="O5929" t="str">
        <f t="shared" si="370"/>
        <v>High Balance</v>
      </c>
      <c r="P5929" t="str">
        <f t="shared" si="371"/>
        <v>New</v>
      </c>
    </row>
    <row r="5930" spans="1:16" x14ac:dyDescent="0.25">
      <c r="A5930">
        <v>2025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  <c r="M5930" t="str">
        <f t="shared" si="368"/>
        <v>30-45</v>
      </c>
      <c r="N5930" t="str">
        <f t="shared" si="369"/>
        <v>Medium</v>
      </c>
      <c r="O5930" t="str">
        <f t="shared" si="370"/>
        <v>High Balance</v>
      </c>
      <c r="P5930" t="str">
        <f t="shared" si="371"/>
        <v>Long-term</v>
      </c>
    </row>
    <row r="5931" spans="1:16" x14ac:dyDescent="0.25">
      <c r="A5931">
        <v>2025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  <c r="M5931" t="str">
        <f t="shared" si="368"/>
        <v>30-45</v>
      </c>
      <c r="N5931" t="str">
        <f t="shared" si="369"/>
        <v>Medium</v>
      </c>
      <c r="O5931" t="str">
        <f t="shared" si="370"/>
        <v>Zero Balance</v>
      </c>
      <c r="P5931" t="str">
        <f t="shared" si="371"/>
        <v>New</v>
      </c>
    </row>
    <row r="5932" spans="1:16" x14ac:dyDescent="0.25">
      <c r="A5932">
        <v>2025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  <c r="M5932" t="str">
        <f t="shared" si="368"/>
        <v>30-45</v>
      </c>
      <c r="N5932" t="str">
        <f t="shared" si="369"/>
        <v>High</v>
      </c>
      <c r="O5932" t="str">
        <f t="shared" si="370"/>
        <v>Zero Balance</v>
      </c>
      <c r="P5932" t="str">
        <f t="shared" si="371"/>
        <v>Mid-term</v>
      </c>
    </row>
    <row r="5933" spans="1:16" x14ac:dyDescent="0.25">
      <c r="A5933">
        <v>2025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  <c r="M5933" t="str">
        <f t="shared" si="368"/>
        <v>46-60</v>
      </c>
      <c r="N5933" t="str">
        <f t="shared" si="369"/>
        <v>Medium</v>
      </c>
      <c r="O5933" t="str">
        <f t="shared" si="370"/>
        <v>High Balance</v>
      </c>
      <c r="P5933" t="str">
        <f t="shared" si="371"/>
        <v>Mid-term</v>
      </c>
    </row>
    <row r="5934" spans="1:16" x14ac:dyDescent="0.25">
      <c r="A5934">
        <v>2025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  <c r="M5934" t="str">
        <f t="shared" si="368"/>
        <v>46-60</v>
      </c>
      <c r="N5934" t="str">
        <f t="shared" si="369"/>
        <v>Medium</v>
      </c>
      <c r="O5934" t="str">
        <f t="shared" si="370"/>
        <v>High Balance</v>
      </c>
      <c r="P5934" t="str">
        <f t="shared" si="371"/>
        <v>New</v>
      </c>
    </row>
    <row r="5935" spans="1:16" x14ac:dyDescent="0.25">
      <c r="A5935">
        <v>2025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  <c r="M5935" t="str">
        <f t="shared" si="368"/>
        <v>30-45</v>
      </c>
      <c r="N5935" t="str">
        <f t="shared" si="369"/>
        <v>Medium</v>
      </c>
      <c r="O5935" t="str">
        <f t="shared" si="370"/>
        <v>High Balance</v>
      </c>
      <c r="P5935" t="str">
        <f t="shared" si="371"/>
        <v>Mid-term</v>
      </c>
    </row>
    <row r="5936" spans="1:16" x14ac:dyDescent="0.25">
      <c r="A5936">
        <v>2025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  <c r="M5936" t="str">
        <f t="shared" si="368"/>
        <v>30-45</v>
      </c>
      <c r="N5936" t="str">
        <f t="shared" si="369"/>
        <v>High</v>
      </c>
      <c r="O5936" t="str">
        <f t="shared" si="370"/>
        <v>Low Balance</v>
      </c>
      <c r="P5936" t="str">
        <f t="shared" si="371"/>
        <v>Long-term</v>
      </c>
    </row>
    <row r="5937" spans="1:16" x14ac:dyDescent="0.25">
      <c r="A5937">
        <v>2025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  <c r="M5937" t="str">
        <f t="shared" si="368"/>
        <v>30-45</v>
      </c>
      <c r="N5937" t="str">
        <f t="shared" si="369"/>
        <v>Medium</v>
      </c>
      <c r="O5937" t="str">
        <f t="shared" si="370"/>
        <v>Zero Balance</v>
      </c>
      <c r="P5937" t="str">
        <f t="shared" si="371"/>
        <v>New</v>
      </c>
    </row>
    <row r="5938" spans="1:16" x14ac:dyDescent="0.25">
      <c r="A5938">
        <v>2025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  <c r="M5938" t="str">
        <f t="shared" si="368"/>
        <v>&lt;30</v>
      </c>
      <c r="N5938" t="str">
        <f t="shared" si="369"/>
        <v>Medium</v>
      </c>
      <c r="O5938" t="str">
        <f t="shared" si="370"/>
        <v>Low Balance</v>
      </c>
      <c r="P5938" t="str">
        <f t="shared" si="371"/>
        <v>Long-term</v>
      </c>
    </row>
    <row r="5939" spans="1:16" x14ac:dyDescent="0.25">
      <c r="A5939">
        <v>2025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  <c r="M5939" t="str">
        <f t="shared" si="368"/>
        <v>30-45</v>
      </c>
      <c r="N5939" t="str">
        <f t="shared" si="369"/>
        <v>High</v>
      </c>
      <c r="O5939" t="str">
        <f t="shared" si="370"/>
        <v>Zero Balance</v>
      </c>
      <c r="P5939" t="str">
        <f t="shared" si="371"/>
        <v>Long-term</v>
      </c>
    </row>
    <row r="5940" spans="1:16" x14ac:dyDescent="0.25">
      <c r="A5940">
        <v>2025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  <c r="M5940" t="str">
        <f t="shared" si="368"/>
        <v>30-45</v>
      </c>
      <c r="N5940" t="str">
        <f t="shared" si="369"/>
        <v>High</v>
      </c>
      <c r="O5940" t="str">
        <f t="shared" si="370"/>
        <v>High Balance</v>
      </c>
      <c r="P5940" t="str">
        <f t="shared" si="371"/>
        <v>Mid-term</v>
      </c>
    </row>
    <row r="5941" spans="1:16" x14ac:dyDescent="0.25">
      <c r="A5941">
        <v>2025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  <c r="M5941" t="str">
        <f t="shared" si="368"/>
        <v>30-45</v>
      </c>
      <c r="N5941" t="str">
        <f t="shared" si="369"/>
        <v>High</v>
      </c>
      <c r="O5941" t="str">
        <f t="shared" si="370"/>
        <v>High Balance</v>
      </c>
      <c r="P5941" t="str">
        <f t="shared" si="371"/>
        <v>Mid-term</v>
      </c>
    </row>
    <row r="5942" spans="1:16" x14ac:dyDescent="0.25">
      <c r="A5942">
        <v>2025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  <c r="M5942" t="str">
        <f t="shared" si="368"/>
        <v>30-45</v>
      </c>
      <c r="N5942" t="str">
        <f t="shared" si="369"/>
        <v>High</v>
      </c>
      <c r="O5942" t="str">
        <f t="shared" si="370"/>
        <v>Zero Balance</v>
      </c>
      <c r="P5942" t="str">
        <f t="shared" si="371"/>
        <v>Mid-term</v>
      </c>
    </row>
    <row r="5943" spans="1:16" x14ac:dyDescent="0.25">
      <c r="A5943">
        <v>2025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  <c r="M5943" t="str">
        <f t="shared" si="368"/>
        <v>30-45</v>
      </c>
      <c r="N5943" t="str">
        <f t="shared" si="369"/>
        <v>Medium</v>
      </c>
      <c r="O5943" t="str">
        <f t="shared" si="370"/>
        <v>Low Balance</v>
      </c>
      <c r="P5943" t="str">
        <f t="shared" si="371"/>
        <v>New</v>
      </c>
    </row>
    <row r="5944" spans="1:16" x14ac:dyDescent="0.25">
      <c r="A5944">
        <v>2025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  <c r="M5944" t="str">
        <f t="shared" si="368"/>
        <v>46-60</v>
      </c>
      <c r="N5944" t="str">
        <f t="shared" si="369"/>
        <v>Medium</v>
      </c>
      <c r="O5944" t="str">
        <f t="shared" si="370"/>
        <v>High Balance</v>
      </c>
      <c r="P5944" t="str">
        <f t="shared" si="371"/>
        <v>New</v>
      </c>
    </row>
    <row r="5945" spans="1:16" x14ac:dyDescent="0.25">
      <c r="A5945">
        <v>2025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  <c r="M5945" t="str">
        <f t="shared" si="368"/>
        <v>46-60</v>
      </c>
      <c r="N5945" t="str">
        <f t="shared" si="369"/>
        <v>Medium</v>
      </c>
      <c r="O5945" t="str">
        <f t="shared" si="370"/>
        <v>Zero Balance</v>
      </c>
      <c r="P5945" t="str">
        <f t="shared" si="371"/>
        <v>Mid-term</v>
      </c>
    </row>
    <row r="5946" spans="1:16" x14ac:dyDescent="0.25">
      <c r="A5946">
        <v>2025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  <c r="M5946" t="str">
        <f t="shared" si="368"/>
        <v>30-45</v>
      </c>
      <c r="N5946" t="str">
        <f t="shared" si="369"/>
        <v>Medium</v>
      </c>
      <c r="O5946" t="str">
        <f t="shared" si="370"/>
        <v>High Balance</v>
      </c>
      <c r="P5946" t="str">
        <f t="shared" si="371"/>
        <v>Mid-term</v>
      </c>
    </row>
    <row r="5947" spans="1:16" x14ac:dyDescent="0.25">
      <c r="A5947">
        <v>2025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  <c r="M5947" t="str">
        <f t="shared" si="368"/>
        <v>30-45</v>
      </c>
      <c r="N5947" t="str">
        <f t="shared" si="369"/>
        <v>High</v>
      </c>
      <c r="O5947" t="str">
        <f t="shared" si="370"/>
        <v>Zero Balance</v>
      </c>
      <c r="P5947" t="str">
        <f t="shared" si="371"/>
        <v>New</v>
      </c>
    </row>
    <row r="5948" spans="1:16" x14ac:dyDescent="0.25">
      <c r="A5948">
        <v>2025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  <c r="M5948" t="str">
        <f t="shared" si="368"/>
        <v>30-45</v>
      </c>
      <c r="N5948" t="str">
        <f t="shared" si="369"/>
        <v>Medium</v>
      </c>
      <c r="O5948" t="str">
        <f t="shared" si="370"/>
        <v>Zero Balance</v>
      </c>
      <c r="P5948" t="str">
        <f t="shared" si="371"/>
        <v>Long-term</v>
      </c>
    </row>
    <row r="5949" spans="1:16" x14ac:dyDescent="0.25">
      <c r="A5949">
        <v>2025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  <c r="M5949" t="str">
        <f t="shared" si="368"/>
        <v>30-45</v>
      </c>
      <c r="N5949" t="str">
        <f t="shared" si="369"/>
        <v>Medium</v>
      </c>
      <c r="O5949" t="str">
        <f t="shared" si="370"/>
        <v>High Balance</v>
      </c>
      <c r="P5949" t="str">
        <f t="shared" si="371"/>
        <v>Mid-term</v>
      </c>
    </row>
    <row r="5950" spans="1:16" x14ac:dyDescent="0.25">
      <c r="A5950">
        <v>2025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  <c r="M5950" t="str">
        <f t="shared" si="368"/>
        <v>30-45</v>
      </c>
      <c r="N5950" t="str">
        <f t="shared" si="369"/>
        <v>Low</v>
      </c>
      <c r="O5950" t="str">
        <f t="shared" si="370"/>
        <v>High Balance</v>
      </c>
      <c r="P5950" t="str">
        <f t="shared" si="371"/>
        <v>Mid-term</v>
      </c>
    </row>
    <row r="5951" spans="1:16" x14ac:dyDescent="0.25">
      <c r="A5951">
        <v>2025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  <c r="M5951" t="str">
        <f t="shared" si="368"/>
        <v>30-45</v>
      </c>
      <c r="N5951" t="str">
        <f t="shared" si="369"/>
        <v>High</v>
      </c>
      <c r="O5951" t="str">
        <f t="shared" si="370"/>
        <v>High Balance</v>
      </c>
      <c r="P5951" t="str">
        <f t="shared" si="371"/>
        <v>Long-term</v>
      </c>
    </row>
    <row r="5952" spans="1:16" x14ac:dyDescent="0.25">
      <c r="A5952">
        <v>2025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  <c r="M5952" t="str">
        <f t="shared" si="368"/>
        <v>46-60</v>
      </c>
      <c r="N5952" t="str">
        <f t="shared" si="369"/>
        <v>High</v>
      </c>
      <c r="O5952" t="str">
        <f t="shared" si="370"/>
        <v>High Balance</v>
      </c>
      <c r="P5952" t="str">
        <f t="shared" si="371"/>
        <v>Long-term</v>
      </c>
    </row>
    <row r="5953" spans="1:16" x14ac:dyDescent="0.25">
      <c r="A5953">
        <v>2025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  <c r="M5953" t="str">
        <f t="shared" si="368"/>
        <v>30-45</v>
      </c>
      <c r="N5953" t="str">
        <f t="shared" si="369"/>
        <v>High</v>
      </c>
      <c r="O5953" t="str">
        <f t="shared" si="370"/>
        <v>Zero Balance</v>
      </c>
      <c r="P5953" t="str">
        <f t="shared" si="371"/>
        <v>Mid-term</v>
      </c>
    </row>
    <row r="5954" spans="1:16" x14ac:dyDescent="0.25">
      <c r="A5954">
        <v>2025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  <c r="M5954" t="str">
        <f t="shared" si="368"/>
        <v>&lt;30</v>
      </c>
      <c r="N5954" t="str">
        <f t="shared" si="369"/>
        <v>Medium</v>
      </c>
      <c r="O5954" t="str">
        <f t="shared" si="370"/>
        <v>Zero Balance</v>
      </c>
      <c r="P5954" t="str">
        <f t="shared" si="371"/>
        <v>Long-term</v>
      </c>
    </row>
    <row r="5955" spans="1:16" x14ac:dyDescent="0.25">
      <c r="A5955">
        <v>2025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  <c r="M5955" t="str">
        <f t="shared" ref="M5955:M6018" si="372">IF(E5955&lt;30,"&lt;30",IF(E5955&lt;=45,"30-45",IF(E5955&lt;=60,"46-60","60+")))</f>
        <v>30-45</v>
      </c>
      <c r="N5955" t="str">
        <f t="shared" ref="N5955:N6018" si="373">IF(B5955&lt;500,"Low",IF(B5955&lt;700,"Medium","High"))</f>
        <v>Medium</v>
      </c>
      <c r="O5955" t="str">
        <f t="shared" ref="O5955:O6018" si="374">IF(G5955=0,"Zero Balance",IF(G5955&lt;100000,"Low Balance","High Balance"))</f>
        <v>Zero Balance</v>
      </c>
      <c r="P5955" t="str">
        <f t="shared" ref="P5955:P6018" si="375">IF(F5955&lt;=3,"New",IF(F5955&lt;=7,"Mid-term","Long-term"))</f>
        <v>Mid-term</v>
      </c>
    </row>
    <row r="5956" spans="1:16" x14ac:dyDescent="0.25">
      <c r="A5956">
        <v>2025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  <c r="M5956" t="str">
        <f t="shared" si="372"/>
        <v>30-45</v>
      </c>
      <c r="N5956" t="str">
        <f t="shared" si="373"/>
        <v>High</v>
      </c>
      <c r="O5956" t="str">
        <f t="shared" si="374"/>
        <v>High Balance</v>
      </c>
      <c r="P5956" t="str">
        <f t="shared" si="375"/>
        <v>New</v>
      </c>
    </row>
    <row r="5957" spans="1:16" x14ac:dyDescent="0.25">
      <c r="A5957">
        <v>2025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  <c r="M5957" t="str">
        <f t="shared" si="372"/>
        <v>30-45</v>
      </c>
      <c r="N5957" t="str">
        <f t="shared" si="373"/>
        <v>High</v>
      </c>
      <c r="O5957" t="str">
        <f t="shared" si="374"/>
        <v>High Balance</v>
      </c>
      <c r="P5957" t="str">
        <f t="shared" si="375"/>
        <v>Long-term</v>
      </c>
    </row>
    <row r="5958" spans="1:16" x14ac:dyDescent="0.25">
      <c r="A5958">
        <v>2025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  <c r="M5958" t="str">
        <f t="shared" si="372"/>
        <v>30-45</v>
      </c>
      <c r="N5958" t="str">
        <f t="shared" si="373"/>
        <v>High</v>
      </c>
      <c r="O5958" t="str">
        <f t="shared" si="374"/>
        <v>High Balance</v>
      </c>
      <c r="P5958" t="str">
        <f t="shared" si="375"/>
        <v>Mid-term</v>
      </c>
    </row>
    <row r="5959" spans="1:16" x14ac:dyDescent="0.25">
      <c r="A5959">
        <v>2025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  <c r="M5959" t="str">
        <f t="shared" si="372"/>
        <v>60+</v>
      </c>
      <c r="N5959" t="str">
        <f t="shared" si="373"/>
        <v>Medium</v>
      </c>
      <c r="O5959" t="str">
        <f t="shared" si="374"/>
        <v>Low Balance</v>
      </c>
      <c r="P5959" t="str">
        <f t="shared" si="375"/>
        <v>Mid-term</v>
      </c>
    </row>
    <row r="5960" spans="1:16" x14ac:dyDescent="0.25">
      <c r="A5960">
        <v>2025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  <c r="M5960" t="str">
        <f t="shared" si="372"/>
        <v>30-45</v>
      </c>
      <c r="N5960" t="str">
        <f t="shared" si="373"/>
        <v>Medium</v>
      </c>
      <c r="O5960" t="str">
        <f t="shared" si="374"/>
        <v>High Balance</v>
      </c>
      <c r="P5960" t="str">
        <f t="shared" si="375"/>
        <v>New</v>
      </c>
    </row>
    <row r="5961" spans="1:16" x14ac:dyDescent="0.25">
      <c r="A5961">
        <v>2025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  <c r="M5961" t="str">
        <f t="shared" si="372"/>
        <v>30-45</v>
      </c>
      <c r="N5961" t="str">
        <f t="shared" si="373"/>
        <v>High</v>
      </c>
      <c r="O5961" t="str">
        <f t="shared" si="374"/>
        <v>Zero Balance</v>
      </c>
      <c r="P5961" t="str">
        <f t="shared" si="375"/>
        <v>Mid-term</v>
      </c>
    </row>
    <row r="5962" spans="1:16" x14ac:dyDescent="0.25">
      <c r="A5962">
        <v>2025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  <c r="M5962" t="str">
        <f t="shared" si="372"/>
        <v>46-60</v>
      </c>
      <c r="N5962" t="str">
        <f t="shared" si="373"/>
        <v>Medium</v>
      </c>
      <c r="O5962" t="str">
        <f t="shared" si="374"/>
        <v>High Balance</v>
      </c>
      <c r="P5962" t="str">
        <f t="shared" si="375"/>
        <v>Mid-term</v>
      </c>
    </row>
    <row r="5963" spans="1:16" x14ac:dyDescent="0.25">
      <c r="A5963">
        <v>2025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  <c r="M5963" t="str">
        <f t="shared" si="372"/>
        <v>30-45</v>
      </c>
      <c r="N5963" t="str">
        <f t="shared" si="373"/>
        <v>High</v>
      </c>
      <c r="O5963" t="str">
        <f t="shared" si="374"/>
        <v>High Balance</v>
      </c>
      <c r="P5963" t="str">
        <f t="shared" si="375"/>
        <v>Mid-term</v>
      </c>
    </row>
    <row r="5964" spans="1:16" x14ac:dyDescent="0.25">
      <c r="A5964">
        <v>2025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  <c r="M5964" t="str">
        <f t="shared" si="372"/>
        <v>30-45</v>
      </c>
      <c r="N5964" t="str">
        <f t="shared" si="373"/>
        <v>Medium</v>
      </c>
      <c r="O5964" t="str">
        <f t="shared" si="374"/>
        <v>High Balance</v>
      </c>
      <c r="P5964" t="str">
        <f t="shared" si="375"/>
        <v>New</v>
      </c>
    </row>
    <row r="5965" spans="1:16" x14ac:dyDescent="0.25">
      <c r="A5965">
        <v>2025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  <c r="M5965" t="str">
        <f t="shared" si="372"/>
        <v>30-45</v>
      </c>
      <c r="N5965" t="str">
        <f t="shared" si="373"/>
        <v>High</v>
      </c>
      <c r="O5965" t="str">
        <f t="shared" si="374"/>
        <v>High Balance</v>
      </c>
      <c r="P5965" t="str">
        <f t="shared" si="375"/>
        <v>Mid-term</v>
      </c>
    </row>
    <row r="5966" spans="1:16" x14ac:dyDescent="0.25">
      <c r="A5966">
        <v>2025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  <c r="M5966" t="str">
        <f t="shared" si="372"/>
        <v>30-45</v>
      </c>
      <c r="N5966" t="str">
        <f t="shared" si="373"/>
        <v>Medium</v>
      </c>
      <c r="O5966" t="str">
        <f t="shared" si="374"/>
        <v>High Balance</v>
      </c>
      <c r="P5966" t="str">
        <f t="shared" si="375"/>
        <v>Mid-term</v>
      </c>
    </row>
    <row r="5967" spans="1:16" x14ac:dyDescent="0.25">
      <c r="A5967">
        <v>2025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  <c r="M5967" t="str">
        <f t="shared" si="372"/>
        <v>30-45</v>
      </c>
      <c r="N5967" t="str">
        <f t="shared" si="373"/>
        <v>High</v>
      </c>
      <c r="O5967" t="str">
        <f t="shared" si="374"/>
        <v>High Balance</v>
      </c>
      <c r="P5967" t="str">
        <f t="shared" si="375"/>
        <v>Long-term</v>
      </c>
    </row>
    <row r="5968" spans="1:16" x14ac:dyDescent="0.25">
      <c r="A5968">
        <v>2025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  <c r="M5968" t="str">
        <f t="shared" si="372"/>
        <v>30-45</v>
      </c>
      <c r="N5968" t="str">
        <f t="shared" si="373"/>
        <v>Medium</v>
      </c>
      <c r="O5968" t="str">
        <f t="shared" si="374"/>
        <v>Zero Balance</v>
      </c>
      <c r="P5968" t="str">
        <f t="shared" si="375"/>
        <v>Long-term</v>
      </c>
    </row>
    <row r="5969" spans="1:16" x14ac:dyDescent="0.25">
      <c r="A5969">
        <v>2025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  <c r="M5969" t="str">
        <f t="shared" si="372"/>
        <v>30-45</v>
      </c>
      <c r="N5969" t="str">
        <f t="shared" si="373"/>
        <v>High</v>
      </c>
      <c r="O5969" t="str">
        <f t="shared" si="374"/>
        <v>High Balance</v>
      </c>
      <c r="P5969" t="str">
        <f t="shared" si="375"/>
        <v>New</v>
      </c>
    </row>
    <row r="5970" spans="1:16" x14ac:dyDescent="0.25">
      <c r="A5970">
        <v>2025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  <c r="M5970" t="str">
        <f t="shared" si="372"/>
        <v>&lt;30</v>
      </c>
      <c r="N5970" t="str">
        <f t="shared" si="373"/>
        <v>Medium</v>
      </c>
      <c r="O5970" t="str">
        <f t="shared" si="374"/>
        <v>High Balance</v>
      </c>
      <c r="P5970" t="str">
        <f t="shared" si="375"/>
        <v>New</v>
      </c>
    </row>
    <row r="5971" spans="1:16" x14ac:dyDescent="0.25">
      <c r="A5971">
        <v>2025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  <c r="M5971" t="str">
        <f t="shared" si="372"/>
        <v>&lt;30</v>
      </c>
      <c r="N5971" t="str">
        <f t="shared" si="373"/>
        <v>Medium</v>
      </c>
      <c r="O5971" t="str">
        <f t="shared" si="374"/>
        <v>Zero Balance</v>
      </c>
      <c r="P5971" t="str">
        <f t="shared" si="375"/>
        <v>Mid-term</v>
      </c>
    </row>
    <row r="5972" spans="1:16" x14ac:dyDescent="0.25">
      <c r="A5972">
        <v>2025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  <c r="M5972" t="str">
        <f t="shared" si="372"/>
        <v>30-45</v>
      </c>
      <c r="N5972" t="str">
        <f t="shared" si="373"/>
        <v>Low</v>
      </c>
      <c r="O5972" t="str">
        <f t="shared" si="374"/>
        <v>Low Balance</v>
      </c>
      <c r="P5972" t="str">
        <f t="shared" si="375"/>
        <v>New</v>
      </c>
    </row>
    <row r="5973" spans="1:16" x14ac:dyDescent="0.25">
      <c r="A5973">
        <v>2025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  <c r="M5973" t="str">
        <f t="shared" si="372"/>
        <v>30-45</v>
      </c>
      <c r="N5973" t="str">
        <f t="shared" si="373"/>
        <v>High</v>
      </c>
      <c r="O5973" t="str">
        <f t="shared" si="374"/>
        <v>Zero Balance</v>
      </c>
      <c r="P5973" t="str">
        <f t="shared" si="375"/>
        <v>Mid-term</v>
      </c>
    </row>
    <row r="5974" spans="1:16" x14ac:dyDescent="0.25">
      <c r="A5974">
        <v>2025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  <c r="M5974" t="str">
        <f t="shared" si="372"/>
        <v>46-60</v>
      </c>
      <c r="N5974" t="str">
        <f t="shared" si="373"/>
        <v>Medium</v>
      </c>
      <c r="O5974" t="str">
        <f t="shared" si="374"/>
        <v>High Balance</v>
      </c>
      <c r="P5974" t="str">
        <f t="shared" si="375"/>
        <v>Long-term</v>
      </c>
    </row>
    <row r="5975" spans="1:16" x14ac:dyDescent="0.25">
      <c r="A5975">
        <v>2025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  <c r="M5975" t="str">
        <f t="shared" si="372"/>
        <v>30-45</v>
      </c>
      <c r="N5975" t="str">
        <f t="shared" si="373"/>
        <v>Medium</v>
      </c>
      <c r="O5975" t="str">
        <f t="shared" si="374"/>
        <v>High Balance</v>
      </c>
      <c r="P5975" t="str">
        <f t="shared" si="375"/>
        <v>Mid-term</v>
      </c>
    </row>
    <row r="5976" spans="1:16" x14ac:dyDescent="0.25">
      <c r="A5976">
        <v>2025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  <c r="M5976" t="str">
        <f t="shared" si="372"/>
        <v>30-45</v>
      </c>
      <c r="N5976" t="str">
        <f t="shared" si="373"/>
        <v>High</v>
      </c>
      <c r="O5976" t="str">
        <f t="shared" si="374"/>
        <v>Low Balance</v>
      </c>
      <c r="P5976" t="str">
        <f t="shared" si="375"/>
        <v>Long-term</v>
      </c>
    </row>
    <row r="5977" spans="1:16" x14ac:dyDescent="0.25">
      <c r="A5977">
        <v>2025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  <c r="M5977" t="str">
        <f t="shared" si="372"/>
        <v>30-45</v>
      </c>
      <c r="N5977" t="str">
        <f t="shared" si="373"/>
        <v>Medium</v>
      </c>
      <c r="O5977" t="str">
        <f t="shared" si="374"/>
        <v>Zero Balance</v>
      </c>
      <c r="P5977" t="str">
        <f t="shared" si="375"/>
        <v>Mid-term</v>
      </c>
    </row>
    <row r="5978" spans="1:16" x14ac:dyDescent="0.25">
      <c r="A5978">
        <v>2025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  <c r="M5978" t="str">
        <f t="shared" si="372"/>
        <v>30-45</v>
      </c>
      <c r="N5978" t="str">
        <f t="shared" si="373"/>
        <v>Medium</v>
      </c>
      <c r="O5978" t="str">
        <f t="shared" si="374"/>
        <v>Zero Balance</v>
      </c>
      <c r="P5978" t="str">
        <f t="shared" si="375"/>
        <v>Long-term</v>
      </c>
    </row>
    <row r="5979" spans="1:16" x14ac:dyDescent="0.25">
      <c r="A5979">
        <v>2025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  <c r="M5979" t="str">
        <f t="shared" si="372"/>
        <v>30-45</v>
      </c>
      <c r="N5979" t="str">
        <f t="shared" si="373"/>
        <v>High</v>
      </c>
      <c r="O5979" t="str">
        <f t="shared" si="374"/>
        <v>Low Balance</v>
      </c>
      <c r="P5979" t="str">
        <f t="shared" si="375"/>
        <v>Mid-term</v>
      </c>
    </row>
    <row r="5980" spans="1:16" x14ac:dyDescent="0.25">
      <c r="A5980">
        <v>2025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  <c r="M5980" t="str">
        <f t="shared" si="372"/>
        <v>30-45</v>
      </c>
      <c r="N5980" t="str">
        <f t="shared" si="373"/>
        <v>Medium</v>
      </c>
      <c r="O5980" t="str">
        <f t="shared" si="374"/>
        <v>Low Balance</v>
      </c>
      <c r="P5980" t="str">
        <f t="shared" si="375"/>
        <v>New</v>
      </c>
    </row>
    <row r="5981" spans="1:16" x14ac:dyDescent="0.25">
      <c r="A5981">
        <v>2025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  <c r="M5981" t="str">
        <f t="shared" si="372"/>
        <v>&lt;30</v>
      </c>
      <c r="N5981" t="str">
        <f t="shared" si="373"/>
        <v>Medium</v>
      </c>
      <c r="O5981" t="str">
        <f t="shared" si="374"/>
        <v>High Balance</v>
      </c>
      <c r="P5981" t="str">
        <f t="shared" si="375"/>
        <v>New</v>
      </c>
    </row>
    <row r="5982" spans="1:16" x14ac:dyDescent="0.25">
      <c r="A5982">
        <v>2025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  <c r="M5982" t="str">
        <f t="shared" si="372"/>
        <v>30-45</v>
      </c>
      <c r="N5982" t="str">
        <f t="shared" si="373"/>
        <v>Medium</v>
      </c>
      <c r="O5982" t="str">
        <f t="shared" si="374"/>
        <v>Zero Balance</v>
      </c>
      <c r="P5982" t="str">
        <f t="shared" si="375"/>
        <v>Mid-term</v>
      </c>
    </row>
    <row r="5983" spans="1:16" x14ac:dyDescent="0.25">
      <c r="A5983">
        <v>2025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  <c r="M5983" t="str">
        <f t="shared" si="372"/>
        <v>30-45</v>
      </c>
      <c r="N5983" t="str">
        <f t="shared" si="373"/>
        <v>Medium</v>
      </c>
      <c r="O5983" t="str">
        <f t="shared" si="374"/>
        <v>High Balance</v>
      </c>
      <c r="P5983" t="str">
        <f t="shared" si="375"/>
        <v>Mid-term</v>
      </c>
    </row>
    <row r="5984" spans="1:16" x14ac:dyDescent="0.25">
      <c r="A5984">
        <v>2025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  <c r="M5984" t="str">
        <f t="shared" si="372"/>
        <v>30-45</v>
      </c>
      <c r="N5984" t="str">
        <f t="shared" si="373"/>
        <v>Medium</v>
      </c>
      <c r="O5984" t="str">
        <f t="shared" si="374"/>
        <v>High Balance</v>
      </c>
      <c r="P5984" t="str">
        <f t="shared" si="375"/>
        <v>Long-term</v>
      </c>
    </row>
    <row r="5985" spans="1:16" x14ac:dyDescent="0.25">
      <c r="A5985">
        <v>2025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  <c r="M5985" t="str">
        <f t="shared" si="372"/>
        <v>&lt;30</v>
      </c>
      <c r="N5985" t="str">
        <f t="shared" si="373"/>
        <v>Medium</v>
      </c>
      <c r="O5985" t="str">
        <f t="shared" si="374"/>
        <v>Low Balance</v>
      </c>
      <c r="P5985" t="str">
        <f t="shared" si="375"/>
        <v>Mid-term</v>
      </c>
    </row>
    <row r="5986" spans="1:16" x14ac:dyDescent="0.25">
      <c r="A5986">
        <v>2025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  <c r="M5986" t="str">
        <f t="shared" si="372"/>
        <v>30-45</v>
      </c>
      <c r="N5986" t="str">
        <f t="shared" si="373"/>
        <v>Medium</v>
      </c>
      <c r="O5986" t="str">
        <f t="shared" si="374"/>
        <v>Zero Balance</v>
      </c>
      <c r="P5986" t="str">
        <f t="shared" si="375"/>
        <v>Mid-term</v>
      </c>
    </row>
    <row r="5987" spans="1:16" x14ac:dyDescent="0.25">
      <c r="A5987">
        <v>2025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  <c r="M5987" t="str">
        <f t="shared" si="372"/>
        <v>30-45</v>
      </c>
      <c r="N5987" t="str">
        <f t="shared" si="373"/>
        <v>High</v>
      </c>
      <c r="O5987" t="str">
        <f t="shared" si="374"/>
        <v>Low Balance</v>
      </c>
      <c r="P5987" t="str">
        <f t="shared" si="375"/>
        <v>Mid-term</v>
      </c>
    </row>
    <row r="5988" spans="1:16" x14ac:dyDescent="0.25">
      <c r="A5988">
        <v>2025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  <c r="M5988" t="str">
        <f t="shared" si="372"/>
        <v>30-45</v>
      </c>
      <c r="N5988" t="str">
        <f t="shared" si="373"/>
        <v>Medium</v>
      </c>
      <c r="O5988" t="str">
        <f t="shared" si="374"/>
        <v>Zero Balance</v>
      </c>
      <c r="P5988" t="str">
        <f t="shared" si="375"/>
        <v>Long-term</v>
      </c>
    </row>
    <row r="5989" spans="1:16" x14ac:dyDescent="0.25">
      <c r="A5989">
        <v>2025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  <c r="M5989" t="str">
        <f t="shared" si="372"/>
        <v>&lt;30</v>
      </c>
      <c r="N5989" t="str">
        <f t="shared" si="373"/>
        <v>Medium</v>
      </c>
      <c r="O5989" t="str">
        <f t="shared" si="374"/>
        <v>Low Balance</v>
      </c>
      <c r="P5989" t="str">
        <f t="shared" si="375"/>
        <v>Mid-term</v>
      </c>
    </row>
    <row r="5990" spans="1:16" x14ac:dyDescent="0.25">
      <c r="A5990">
        <v>2025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  <c r="M5990" t="str">
        <f t="shared" si="372"/>
        <v>30-45</v>
      </c>
      <c r="N5990" t="str">
        <f t="shared" si="373"/>
        <v>High</v>
      </c>
      <c r="O5990" t="str">
        <f t="shared" si="374"/>
        <v>Zero Balance</v>
      </c>
      <c r="P5990" t="str">
        <f t="shared" si="375"/>
        <v>New</v>
      </c>
    </row>
    <row r="5991" spans="1:16" x14ac:dyDescent="0.25">
      <c r="A5991">
        <v>2025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  <c r="M5991" t="str">
        <f t="shared" si="372"/>
        <v>46-60</v>
      </c>
      <c r="N5991" t="str">
        <f t="shared" si="373"/>
        <v>Medium</v>
      </c>
      <c r="O5991" t="str">
        <f t="shared" si="374"/>
        <v>High Balance</v>
      </c>
      <c r="P5991" t="str">
        <f t="shared" si="375"/>
        <v>Long-term</v>
      </c>
    </row>
    <row r="5992" spans="1:16" x14ac:dyDescent="0.25">
      <c r="A5992">
        <v>2025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  <c r="M5992" t="str">
        <f t="shared" si="372"/>
        <v>30-45</v>
      </c>
      <c r="N5992" t="str">
        <f t="shared" si="373"/>
        <v>Medium</v>
      </c>
      <c r="O5992" t="str">
        <f t="shared" si="374"/>
        <v>High Balance</v>
      </c>
      <c r="P5992" t="str">
        <f t="shared" si="375"/>
        <v>Long-term</v>
      </c>
    </row>
    <row r="5993" spans="1:16" x14ac:dyDescent="0.25">
      <c r="A5993">
        <v>2025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  <c r="M5993" t="str">
        <f t="shared" si="372"/>
        <v>&lt;30</v>
      </c>
      <c r="N5993" t="str">
        <f t="shared" si="373"/>
        <v>Medium</v>
      </c>
      <c r="O5993" t="str">
        <f t="shared" si="374"/>
        <v>Zero Balance</v>
      </c>
      <c r="P5993" t="str">
        <f t="shared" si="375"/>
        <v>New</v>
      </c>
    </row>
    <row r="5994" spans="1:16" x14ac:dyDescent="0.25">
      <c r="A5994">
        <v>2025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  <c r="M5994" t="str">
        <f t="shared" si="372"/>
        <v>30-45</v>
      </c>
      <c r="N5994" t="str">
        <f t="shared" si="373"/>
        <v>High</v>
      </c>
      <c r="O5994" t="str">
        <f t="shared" si="374"/>
        <v>Low Balance</v>
      </c>
      <c r="P5994" t="str">
        <f t="shared" si="375"/>
        <v>New</v>
      </c>
    </row>
    <row r="5995" spans="1:16" x14ac:dyDescent="0.25">
      <c r="A5995">
        <v>2025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  <c r="M5995" t="str">
        <f t="shared" si="372"/>
        <v>30-45</v>
      </c>
      <c r="N5995" t="str">
        <f t="shared" si="373"/>
        <v>Medium</v>
      </c>
      <c r="O5995" t="str">
        <f t="shared" si="374"/>
        <v>Zero Balance</v>
      </c>
      <c r="P5995" t="str">
        <f t="shared" si="375"/>
        <v>Mid-term</v>
      </c>
    </row>
    <row r="5996" spans="1:16" x14ac:dyDescent="0.25">
      <c r="A5996">
        <v>2025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  <c r="M5996" t="str">
        <f t="shared" si="372"/>
        <v>30-45</v>
      </c>
      <c r="N5996" t="str">
        <f t="shared" si="373"/>
        <v>Medium</v>
      </c>
      <c r="O5996" t="str">
        <f t="shared" si="374"/>
        <v>High Balance</v>
      </c>
      <c r="P5996" t="str">
        <f t="shared" si="375"/>
        <v>Long-term</v>
      </c>
    </row>
    <row r="5997" spans="1:16" x14ac:dyDescent="0.25">
      <c r="A5997">
        <v>2025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  <c r="M5997" t="str">
        <f t="shared" si="372"/>
        <v>46-60</v>
      </c>
      <c r="N5997" t="str">
        <f t="shared" si="373"/>
        <v>Medium</v>
      </c>
      <c r="O5997" t="str">
        <f t="shared" si="374"/>
        <v>High Balance</v>
      </c>
      <c r="P5997" t="str">
        <f t="shared" si="375"/>
        <v>Mid-term</v>
      </c>
    </row>
    <row r="5998" spans="1:16" x14ac:dyDescent="0.25">
      <c r="A5998">
        <v>2025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  <c r="M5998" t="str">
        <f t="shared" si="372"/>
        <v>60+</v>
      </c>
      <c r="N5998" t="str">
        <f t="shared" si="373"/>
        <v>Medium</v>
      </c>
      <c r="O5998" t="str">
        <f t="shared" si="374"/>
        <v>High Balance</v>
      </c>
      <c r="P5998" t="str">
        <f t="shared" si="375"/>
        <v>Mid-term</v>
      </c>
    </row>
    <row r="5999" spans="1:16" x14ac:dyDescent="0.25">
      <c r="A5999">
        <v>2025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  <c r="M5999" t="str">
        <f t="shared" si="372"/>
        <v>&lt;30</v>
      </c>
      <c r="N5999" t="str">
        <f t="shared" si="373"/>
        <v>Medium</v>
      </c>
      <c r="O5999" t="str">
        <f t="shared" si="374"/>
        <v>Zero Balance</v>
      </c>
      <c r="P5999" t="str">
        <f t="shared" si="375"/>
        <v>Mid-term</v>
      </c>
    </row>
    <row r="6000" spans="1:16" x14ac:dyDescent="0.25">
      <c r="A6000">
        <v>2025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  <c r="M6000" t="str">
        <f t="shared" si="372"/>
        <v>&lt;30</v>
      </c>
      <c r="N6000" t="str">
        <f t="shared" si="373"/>
        <v>Medium</v>
      </c>
      <c r="O6000" t="str">
        <f t="shared" si="374"/>
        <v>Zero Balance</v>
      </c>
      <c r="P6000" t="str">
        <f t="shared" si="375"/>
        <v>New</v>
      </c>
    </row>
    <row r="6001" spans="1:16" x14ac:dyDescent="0.25">
      <c r="A6001">
        <v>2025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  <c r="M6001" t="str">
        <f t="shared" si="372"/>
        <v>30-45</v>
      </c>
      <c r="N6001" t="str">
        <f t="shared" si="373"/>
        <v>High</v>
      </c>
      <c r="O6001" t="str">
        <f t="shared" si="374"/>
        <v>High Balance</v>
      </c>
      <c r="P6001" t="str">
        <f t="shared" si="375"/>
        <v>Mid-term</v>
      </c>
    </row>
    <row r="6002" spans="1:16" x14ac:dyDescent="0.25">
      <c r="A6002">
        <v>2025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  <c r="M6002" t="str">
        <f t="shared" si="372"/>
        <v>30-45</v>
      </c>
      <c r="N6002" t="str">
        <f t="shared" si="373"/>
        <v>Medium</v>
      </c>
      <c r="O6002" t="str">
        <f t="shared" si="374"/>
        <v>Low Balance</v>
      </c>
      <c r="P6002" t="str">
        <f t="shared" si="375"/>
        <v>Long-term</v>
      </c>
    </row>
    <row r="6003" spans="1:16" x14ac:dyDescent="0.25">
      <c r="A6003">
        <v>2025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  <c r="M6003" t="str">
        <f t="shared" si="372"/>
        <v>30-45</v>
      </c>
      <c r="N6003" t="str">
        <f t="shared" si="373"/>
        <v>High</v>
      </c>
      <c r="O6003" t="str">
        <f t="shared" si="374"/>
        <v>Zero Balance</v>
      </c>
      <c r="P6003" t="str">
        <f t="shared" si="375"/>
        <v>Mid-term</v>
      </c>
    </row>
    <row r="6004" spans="1:16" x14ac:dyDescent="0.25">
      <c r="A6004">
        <v>2025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  <c r="M6004" t="str">
        <f t="shared" si="372"/>
        <v>30-45</v>
      </c>
      <c r="N6004" t="str">
        <f t="shared" si="373"/>
        <v>High</v>
      </c>
      <c r="O6004" t="str">
        <f t="shared" si="374"/>
        <v>Zero Balance</v>
      </c>
      <c r="P6004" t="str">
        <f t="shared" si="375"/>
        <v>New</v>
      </c>
    </row>
    <row r="6005" spans="1:16" x14ac:dyDescent="0.25">
      <c r="A6005">
        <v>2025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  <c r="M6005" t="str">
        <f t="shared" si="372"/>
        <v>&lt;30</v>
      </c>
      <c r="N6005" t="str">
        <f t="shared" si="373"/>
        <v>High</v>
      </c>
      <c r="O6005" t="str">
        <f t="shared" si="374"/>
        <v>High Balance</v>
      </c>
      <c r="P6005" t="str">
        <f t="shared" si="375"/>
        <v>Mid-term</v>
      </c>
    </row>
    <row r="6006" spans="1:16" x14ac:dyDescent="0.25">
      <c r="A6006">
        <v>2025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  <c r="M6006" t="str">
        <f t="shared" si="372"/>
        <v>&lt;30</v>
      </c>
      <c r="N6006" t="str">
        <f t="shared" si="373"/>
        <v>Medium</v>
      </c>
      <c r="O6006" t="str">
        <f t="shared" si="374"/>
        <v>Zero Balance</v>
      </c>
      <c r="P6006" t="str">
        <f t="shared" si="375"/>
        <v>Long-term</v>
      </c>
    </row>
    <row r="6007" spans="1:16" x14ac:dyDescent="0.25">
      <c r="A6007">
        <v>2025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  <c r="M6007" t="str">
        <f t="shared" si="372"/>
        <v>&lt;30</v>
      </c>
      <c r="N6007" t="str">
        <f t="shared" si="373"/>
        <v>Medium</v>
      </c>
      <c r="O6007" t="str">
        <f t="shared" si="374"/>
        <v>Zero Balance</v>
      </c>
      <c r="P6007" t="str">
        <f t="shared" si="375"/>
        <v>Long-term</v>
      </c>
    </row>
    <row r="6008" spans="1:16" x14ac:dyDescent="0.25">
      <c r="A6008">
        <v>2025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  <c r="M6008" t="str">
        <f t="shared" si="372"/>
        <v>30-45</v>
      </c>
      <c r="N6008" t="str">
        <f t="shared" si="373"/>
        <v>Medium</v>
      </c>
      <c r="O6008" t="str">
        <f t="shared" si="374"/>
        <v>Zero Balance</v>
      </c>
      <c r="P6008" t="str">
        <f t="shared" si="375"/>
        <v>Mid-term</v>
      </c>
    </row>
    <row r="6009" spans="1:16" x14ac:dyDescent="0.25">
      <c r="A6009">
        <v>2025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  <c r="M6009" t="str">
        <f t="shared" si="372"/>
        <v>&lt;30</v>
      </c>
      <c r="N6009" t="str">
        <f t="shared" si="373"/>
        <v>High</v>
      </c>
      <c r="O6009" t="str">
        <f t="shared" si="374"/>
        <v>Low Balance</v>
      </c>
      <c r="P6009" t="str">
        <f t="shared" si="375"/>
        <v>New</v>
      </c>
    </row>
    <row r="6010" spans="1:16" x14ac:dyDescent="0.25">
      <c r="A6010">
        <v>2025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  <c r="M6010" t="str">
        <f t="shared" si="372"/>
        <v>&lt;30</v>
      </c>
      <c r="N6010" t="str">
        <f t="shared" si="373"/>
        <v>High</v>
      </c>
      <c r="O6010" t="str">
        <f t="shared" si="374"/>
        <v>Zero Balance</v>
      </c>
      <c r="P6010" t="str">
        <f t="shared" si="375"/>
        <v>Mid-term</v>
      </c>
    </row>
    <row r="6011" spans="1:16" x14ac:dyDescent="0.25">
      <c r="A6011">
        <v>2025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  <c r="M6011" t="str">
        <f t="shared" si="372"/>
        <v>30-45</v>
      </c>
      <c r="N6011" t="str">
        <f t="shared" si="373"/>
        <v>Medium</v>
      </c>
      <c r="O6011" t="str">
        <f t="shared" si="374"/>
        <v>Zero Balance</v>
      </c>
      <c r="P6011" t="str">
        <f t="shared" si="375"/>
        <v>Mid-term</v>
      </c>
    </row>
    <row r="6012" spans="1:16" x14ac:dyDescent="0.25">
      <c r="A6012">
        <v>2025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  <c r="M6012" t="str">
        <f t="shared" si="372"/>
        <v>30-45</v>
      </c>
      <c r="N6012" t="str">
        <f t="shared" si="373"/>
        <v>High</v>
      </c>
      <c r="O6012" t="str">
        <f t="shared" si="374"/>
        <v>Zero Balance</v>
      </c>
      <c r="P6012" t="str">
        <f t="shared" si="375"/>
        <v>New</v>
      </c>
    </row>
    <row r="6013" spans="1:16" x14ac:dyDescent="0.25">
      <c r="A6013">
        <v>2025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  <c r="M6013" t="str">
        <f t="shared" si="372"/>
        <v>30-45</v>
      </c>
      <c r="N6013" t="str">
        <f t="shared" si="373"/>
        <v>Medium</v>
      </c>
      <c r="O6013" t="str">
        <f t="shared" si="374"/>
        <v>High Balance</v>
      </c>
      <c r="P6013" t="str">
        <f t="shared" si="375"/>
        <v>New</v>
      </c>
    </row>
    <row r="6014" spans="1:16" x14ac:dyDescent="0.25">
      <c r="A6014">
        <v>2025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  <c r="M6014" t="str">
        <f t="shared" si="372"/>
        <v>&lt;30</v>
      </c>
      <c r="N6014" t="str">
        <f t="shared" si="373"/>
        <v>High</v>
      </c>
      <c r="O6014" t="str">
        <f t="shared" si="374"/>
        <v>Zero Balance</v>
      </c>
      <c r="P6014" t="str">
        <f t="shared" si="375"/>
        <v>New</v>
      </c>
    </row>
    <row r="6015" spans="1:16" x14ac:dyDescent="0.25">
      <c r="A6015">
        <v>2025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  <c r="M6015" t="str">
        <f t="shared" si="372"/>
        <v>30-45</v>
      </c>
      <c r="N6015" t="str">
        <f t="shared" si="373"/>
        <v>Medium</v>
      </c>
      <c r="O6015" t="str">
        <f t="shared" si="374"/>
        <v>Zero Balance</v>
      </c>
      <c r="P6015" t="str">
        <f t="shared" si="375"/>
        <v>Mid-term</v>
      </c>
    </row>
    <row r="6016" spans="1:16" x14ac:dyDescent="0.25">
      <c r="A6016">
        <v>2025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  <c r="M6016" t="str">
        <f t="shared" si="372"/>
        <v>46-60</v>
      </c>
      <c r="N6016" t="str">
        <f t="shared" si="373"/>
        <v>Medium</v>
      </c>
      <c r="O6016" t="str">
        <f t="shared" si="374"/>
        <v>High Balance</v>
      </c>
      <c r="P6016" t="str">
        <f t="shared" si="375"/>
        <v>Long-term</v>
      </c>
    </row>
    <row r="6017" spans="1:16" x14ac:dyDescent="0.25">
      <c r="A6017">
        <v>2025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  <c r="M6017" t="str">
        <f t="shared" si="372"/>
        <v>46-60</v>
      </c>
      <c r="N6017" t="str">
        <f t="shared" si="373"/>
        <v>Medium</v>
      </c>
      <c r="O6017" t="str">
        <f t="shared" si="374"/>
        <v>High Balance</v>
      </c>
      <c r="P6017" t="str">
        <f t="shared" si="375"/>
        <v>Mid-term</v>
      </c>
    </row>
    <row r="6018" spans="1:16" x14ac:dyDescent="0.25">
      <c r="A6018">
        <v>2025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  <c r="M6018" t="str">
        <f t="shared" si="372"/>
        <v>30-45</v>
      </c>
      <c r="N6018" t="str">
        <f t="shared" si="373"/>
        <v>High</v>
      </c>
      <c r="O6018" t="str">
        <f t="shared" si="374"/>
        <v>High Balance</v>
      </c>
      <c r="P6018" t="str">
        <f t="shared" si="375"/>
        <v>Mid-term</v>
      </c>
    </row>
    <row r="6019" spans="1:16" x14ac:dyDescent="0.25">
      <c r="A6019">
        <v>2025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  <c r="M6019" t="str">
        <f t="shared" ref="M6019:M6082" si="376">IF(E6019&lt;30,"&lt;30",IF(E6019&lt;=45,"30-45",IF(E6019&lt;=60,"46-60","60+")))</f>
        <v>30-45</v>
      </c>
      <c r="N6019" t="str">
        <f t="shared" ref="N6019:N6082" si="377">IF(B6019&lt;500,"Low",IF(B6019&lt;700,"Medium","High"))</f>
        <v>Low</v>
      </c>
      <c r="O6019" t="str">
        <f t="shared" ref="O6019:O6082" si="378">IF(G6019=0,"Zero Balance",IF(G6019&lt;100000,"Low Balance","High Balance"))</f>
        <v>Low Balance</v>
      </c>
      <c r="P6019" t="str">
        <f t="shared" ref="P6019:P6082" si="379">IF(F6019&lt;=3,"New",IF(F6019&lt;=7,"Mid-term","Long-term"))</f>
        <v>New</v>
      </c>
    </row>
    <row r="6020" spans="1:16" x14ac:dyDescent="0.25">
      <c r="A6020">
        <v>2025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  <c r="M6020" t="str">
        <f t="shared" si="376"/>
        <v>30-45</v>
      </c>
      <c r="N6020" t="str">
        <f t="shared" si="377"/>
        <v>High</v>
      </c>
      <c r="O6020" t="str">
        <f t="shared" si="378"/>
        <v>Zero Balance</v>
      </c>
      <c r="P6020" t="str">
        <f t="shared" si="379"/>
        <v>Mid-term</v>
      </c>
    </row>
    <row r="6021" spans="1:16" x14ac:dyDescent="0.25">
      <c r="A6021">
        <v>2025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  <c r="M6021" t="str">
        <f t="shared" si="376"/>
        <v>30-45</v>
      </c>
      <c r="N6021" t="str">
        <f t="shared" si="377"/>
        <v>High</v>
      </c>
      <c r="O6021" t="str">
        <f t="shared" si="378"/>
        <v>Zero Balance</v>
      </c>
      <c r="P6021" t="str">
        <f t="shared" si="379"/>
        <v>Long-term</v>
      </c>
    </row>
    <row r="6022" spans="1:16" x14ac:dyDescent="0.25">
      <c r="A6022">
        <v>2025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  <c r="M6022" t="str">
        <f t="shared" si="376"/>
        <v>30-45</v>
      </c>
      <c r="N6022" t="str">
        <f t="shared" si="377"/>
        <v>Medium</v>
      </c>
      <c r="O6022" t="str">
        <f t="shared" si="378"/>
        <v>High Balance</v>
      </c>
      <c r="P6022" t="str">
        <f t="shared" si="379"/>
        <v>New</v>
      </c>
    </row>
    <row r="6023" spans="1:16" x14ac:dyDescent="0.25">
      <c r="A6023">
        <v>2025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  <c r="M6023" t="str">
        <f t="shared" si="376"/>
        <v>46-60</v>
      </c>
      <c r="N6023" t="str">
        <f t="shared" si="377"/>
        <v>High</v>
      </c>
      <c r="O6023" t="str">
        <f t="shared" si="378"/>
        <v>High Balance</v>
      </c>
      <c r="P6023" t="str">
        <f t="shared" si="379"/>
        <v>Mid-term</v>
      </c>
    </row>
    <row r="6024" spans="1:16" x14ac:dyDescent="0.25">
      <c r="A6024">
        <v>2025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  <c r="M6024" t="str">
        <f t="shared" si="376"/>
        <v>30-45</v>
      </c>
      <c r="N6024" t="str">
        <f t="shared" si="377"/>
        <v>Medium</v>
      </c>
      <c r="O6024" t="str">
        <f t="shared" si="378"/>
        <v>Zero Balance</v>
      </c>
      <c r="P6024" t="str">
        <f t="shared" si="379"/>
        <v>Mid-term</v>
      </c>
    </row>
    <row r="6025" spans="1:16" x14ac:dyDescent="0.25">
      <c r="A6025">
        <v>2025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  <c r="M6025" t="str">
        <f t="shared" si="376"/>
        <v>30-45</v>
      </c>
      <c r="N6025" t="str">
        <f t="shared" si="377"/>
        <v>High</v>
      </c>
      <c r="O6025" t="str">
        <f t="shared" si="378"/>
        <v>Low Balance</v>
      </c>
      <c r="P6025" t="str">
        <f t="shared" si="379"/>
        <v>New</v>
      </c>
    </row>
    <row r="6026" spans="1:16" x14ac:dyDescent="0.25">
      <c r="A6026">
        <v>2025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  <c r="M6026" t="str">
        <f t="shared" si="376"/>
        <v>&lt;30</v>
      </c>
      <c r="N6026" t="str">
        <f t="shared" si="377"/>
        <v>Medium</v>
      </c>
      <c r="O6026" t="str">
        <f t="shared" si="378"/>
        <v>High Balance</v>
      </c>
      <c r="P6026" t="str">
        <f t="shared" si="379"/>
        <v>Mid-term</v>
      </c>
    </row>
    <row r="6027" spans="1:16" x14ac:dyDescent="0.25">
      <c r="A6027">
        <v>2025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  <c r="M6027" t="str">
        <f t="shared" si="376"/>
        <v>46-60</v>
      </c>
      <c r="N6027" t="str">
        <f t="shared" si="377"/>
        <v>Medium</v>
      </c>
      <c r="O6027" t="str">
        <f t="shared" si="378"/>
        <v>Low Balance</v>
      </c>
      <c r="P6027" t="str">
        <f t="shared" si="379"/>
        <v>New</v>
      </c>
    </row>
    <row r="6028" spans="1:16" x14ac:dyDescent="0.25">
      <c r="A6028">
        <v>2025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  <c r="M6028" t="str">
        <f t="shared" si="376"/>
        <v>30-45</v>
      </c>
      <c r="N6028" t="str">
        <f t="shared" si="377"/>
        <v>High</v>
      </c>
      <c r="O6028" t="str">
        <f t="shared" si="378"/>
        <v>Low Balance</v>
      </c>
      <c r="P6028" t="str">
        <f t="shared" si="379"/>
        <v>New</v>
      </c>
    </row>
    <row r="6029" spans="1:16" x14ac:dyDescent="0.25">
      <c r="A6029">
        <v>2025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  <c r="M6029" t="str">
        <f t="shared" si="376"/>
        <v>30-45</v>
      </c>
      <c r="N6029" t="str">
        <f t="shared" si="377"/>
        <v>High</v>
      </c>
      <c r="O6029" t="str">
        <f t="shared" si="378"/>
        <v>High Balance</v>
      </c>
      <c r="P6029" t="str">
        <f t="shared" si="379"/>
        <v>New</v>
      </c>
    </row>
    <row r="6030" spans="1:16" x14ac:dyDescent="0.25">
      <c r="A6030">
        <v>2025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  <c r="M6030" t="str">
        <f t="shared" si="376"/>
        <v>46-60</v>
      </c>
      <c r="N6030" t="str">
        <f t="shared" si="377"/>
        <v>Medium</v>
      </c>
      <c r="O6030" t="str">
        <f t="shared" si="378"/>
        <v>High Balance</v>
      </c>
      <c r="P6030" t="str">
        <f t="shared" si="379"/>
        <v>Mid-term</v>
      </c>
    </row>
    <row r="6031" spans="1:16" x14ac:dyDescent="0.25">
      <c r="A6031">
        <v>2025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  <c r="M6031" t="str">
        <f t="shared" si="376"/>
        <v>30-45</v>
      </c>
      <c r="N6031" t="str">
        <f t="shared" si="377"/>
        <v>Medium</v>
      </c>
      <c r="O6031" t="str">
        <f t="shared" si="378"/>
        <v>Low Balance</v>
      </c>
      <c r="P6031" t="str">
        <f t="shared" si="379"/>
        <v>Long-term</v>
      </c>
    </row>
    <row r="6032" spans="1:16" x14ac:dyDescent="0.25">
      <c r="A6032">
        <v>2025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  <c r="M6032" t="str">
        <f t="shared" si="376"/>
        <v>30-45</v>
      </c>
      <c r="N6032" t="str">
        <f t="shared" si="377"/>
        <v>Low</v>
      </c>
      <c r="O6032" t="str">
        <f t="shared" si="378"/>
        <v>High Balance</v>
      </c>
      <c r="P6032" t="str">
        <f t="shared" si="379"/>
        <v>Long-term</v>
      </c>
    </row>
    <row r="6033" spans="1:16" x14ac:dyDescent="0.25">
      <c r="A6033">
        <v>2025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  <c r="M6033" t="str">
        <f t="shared" si="376"/>
        <v>30-45</v>
      </c>
      <c r="N6033" t="str">
        <f t="shared" si="377"/>
        <v>High</v>
      </c>
      <c r="O6033" t="str">
        <f t="shared" si="378"/>
        <v>High Balance</v>
      </c>
      <c r="P6033" t="str">
        <f t="shared" si="379"/>
        <v>New</v>
      </c>
    </row>
    <row r="6034" spans="1:16" x14ac:dyDescent="0.25">
      <c r="A6034">
        <v>2025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  <c r="M6034" t="str">
        <f t="shared" si="376"/>
        <v>30-45</v>
      </c>
      <c r="N6034" t="str">
        <f t="shared" si="377"/>
        <v>Medium</v>
      </c>
      <c r="O6034" t="str">
        <f t="shared" si="378"/>
        <v>Zero Balance</v>
      </c>
      <c r="P6034" t="str">
        <f t="shared" si="379"/>
        <v>Mid-term</v>
      </c>
    </row>
    <row r="6035" spans="1:16" x14ac:dyDescent="0.25">
      <c r="A6035">
        <v>2025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  <c r="M6035" t="str">
        <f t="shared" si="376"/>
        <v>30-45</v>
      </c>
      <c r="N6035" t="str">
        <f t="shared" si="377"/>
        <v>Medium</v>
      </c>
      <c r="O6035" t="str">
        <f t="shared" si="378"/>
        <v>High Balance</v>
      </c>
      <c r="P6035" t="str">
        <f t="shared" si="379"/>
        <v>Mid-term</v>
      </c>
    </row>
    <row r="6036" spans="1:16" x14ac:dyDescent="0.25">
      <c r="A6036">
        <v>2025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  <c r="M6036" t="str">
        <f t="shared" si="376"/>
        <v>30-45</v>
      </c>
      <c r="N6036" t="str">
        <f t="shared" si="377"/>
        <v>Medium</v>
      </c>
      <c r="O6036" t="str">
        <f t="shared" si="378"/>
        <v>High Balance</v>
      </c>
      <c r="P6036" t="str">
        <f t="shared" si="379"/>
        <v>Long-term</v>
      </c>
    </row>
    <row r="6037" spans="1:16" x14ac:dyDescent="0.25">
      <c r="A6037">
        <v>2025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  <c r="M6037" t="str">
        <f t="shared" si="376"/>
        <v>30-45</v>
      </c>
      <c r="N6037" t="str">
        <f t="shared" si="377"/>
        <v>Medium</v>
      </c>
      <c r="O6037" t="str">
        <f t="shared" si="378"/>
        <v>Low Balance</v>
      </c>
      <c r="P6037" t="str">
        <f t="shared" si="379"/>
        <v>New</v>
      </c>
    </row>
    <row r="6038" spans="1:16" x14ac:dyDescent="0.25">
      <c r="A6038">
        <v>2025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  <c r="M6038" t="str">
        <f t="shared" si="376"/>
        <v>&lt;30</v>
      </c>
      <c r="N6038" t="str">
        <f t="shared" si="377"/>
        <v>Medium</v>
      </c>
      <c r="O6038" t="str">
        <f t="shared" si="378"/>
        <v>Low Balance</v>
      </c>
      <c r="P6038" t="str">
        <f t="shared" si="379"/>
        <v>Mid-term</v>
      </c>
    </row>
    <row r="6039" spans="1:16" x14ac:dyDescent="0.25">
      <c r="A6039">
        <v>2025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  <c r="M6039" t="str">
        <f t="shared" si="376"/>
        <v>30-45</v>
      </c>
      <c r="N6039" t="str">
        <f t="shared" si="377"/>
        <v>High</v>
      </c>
      <c r="O6039" t="str">
        <f t="shared" si="378"/>
        <v>Zero Balance</v>
      </c>
      <c r="P6039" t="str">
        <f t="shared" si="379"/>
        <v>Mid-term</v>
      </c>
    </row>
    <row r="6040" spans="1:16" x14ac:dyDescent="0.25">
      <c r="A6040">
        <v>2025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  <c r="M6040" t="str">
        <f t="shared" si="376"/>
        <v>&lt;30</v>
      </c>
      <c r="N6040" t="str">
        <f t="shared" si="377"/>
        <v>Medium</v>
      </c>
      <c r="O6040" t="str">
        <f t="shared" si="378"/>
        <v>High Balance</v>
      </c>
      <c r="P6040" t="str">
        <f t="shared" si="379"/>
        <v>Mid-term</v>
      </c>
    </row>
    <row r="6041" spans="1:16" x14ac:dyDescent="0.25">
      <c r="A6041">
        <v>2025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  <c r="M6041" t="str">
        <f t="shared" si="376"/>
        <v>&lt;30</v>
      </c>
      <c r="N6041" t="str">
        <f t="shared" si="377"/>
        <v>Medium</v>
      </c>
      <c r="O6041" t="str">
        <f t="shared" si="378"/>
        <v>Zero Balance</v>
      </c>
      <c r="P6041" t="str">
        <f t="shared" si="379"/>
        <v>Mid-term</v>
      </c>
    </row>
    <row r="6042" spans="1:16" x14ac:dyDescent="0.25">
      <c r="A6042">
        <v>2025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  <c r="M6042" t="str">
        <f t="shared" si="376"/>
        <v>46-60</v>
      </c>
      <c r="N6042" t="str">
        <f t="shared" si="377"/>
        <v>Medium</v>
      </c>
      <c r="O6042" t="str">
        <f t="shared" si="378"/>
        <v>Zero Balance</v>
      </c>
      <c r="P6042" t="str">
        <f t="shared" si="379"/>
        <v>Mid-term</v>
      </c>
    </row>
    <row r="6043" spans="1:16" x14ac:dyDescent="0.25">
      <c r="A6043">
        <v>2025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  <c r="M6043" t="str">
        <f t="shared" si="376"/>
        <v>30-45</v>
      </c>
      <c r="N6043" t="str">
        <f t="shared" si="377"/>
        <v>High</v>
      </c>
      <c r="O6043" t="str">
        <f t="shared" si="378"/>
        <v>Zero Balance</v>
      </c>
      <c r="P6043" t="str">
        <f t="shared" si="379"/>
        <v>Long-term</v>
      </c>
    </row>
    <row r="6044" spans="1:16" x14ac:dyDescent="0.25">
      <c r="A6044">
        <v>2025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  <c r="M6044" t="str">
        <f t="shared" si="376"/>
        <v>&lt;30</v>
      </c>
      <c r="N6044" t="str">
        <f t="shared" si="377"/>
        <v>High</v>
      </c>
      <c r="O6044" t="str">
        <f t="shared" si="378"/>
        <v>High Balance</v>
      </c>
      <c r="P6044" t="str">
        <f t="shared" si="379"/>
        <v>New</v>
      </c>
    </row>
    <row r="6045" spans="1:16" x14ac:dyDescent="0.25">
      <c r="A6045">
        <v>2025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  <c r="M6045" t="str">
        <f t="shared" si="376"/>
        <v>30-45</v>
      </c>
      <c r="N6045" t="str">
        <f t="shared" si="377"/>
        <v>Medium</v>
      </c>
      <c r="O6045" t="str">
        <f t="shared" si="378"/>
        <v>Zero Balance</v>
      </c>
      <c r="P6045" t="str">
        <f t="shared" si="379"/>
        <v>Mid-term</v>
      </c>
    </row>
    <row r="6046" spans="1:16" x14ac:dyDescent="0.25">
      <c r="A6046">
        <v>2025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  <c r="M6046" t="str">
        <f t="shared" si="376"/>
        <v>46-60</v>
      </c>
      <c r="N6046" t="str">
        <f t="shared" si="377"/>
        <v>Medium</v>
      </c>
      <c r="O6046" t="str">
        <f t="shared" si="378"/>
        <v>Zero Balance</v>
      </c>
      <c r="P6046" t="str">
        <f t="shared" si="379"/>
        <v>New</v>
      </c>
    </row>
    <row r="6047" spans="1:16" x14ac:dyDescent="0.25">
      <c r="A6047">
        <v>2025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  <c r="M6047" t="str">
        <f t="shared" si="376"/>
        <v>30-45</v>
      </c>
      <c r="N6047" t="str">
        <f t="shared" si="377"/>
        <v>Medium</v>
      </c>
      <c r="O6047" t="str">
        <f t="shared" si="378"/>
        <v>High Balance</v>
      </c>
      <c r="P6047" t="str">
        <f t="shared" si="379"/>
        <v>New</v>
      </c>
    </row>
    <row r="6048" spans="1:16" x14ac:dyDescent="0.25">
      <c r="A6048">
        <v>2025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  <c r="M6048" t="str">
        <f t="shared" si="376"/>
        <v>60+</v>
      </c>
      <c r="N6048" t="str">
        <f t="shared" si="377"/>
        <v>Medium</v>
      </c>
      <c r="O6048" t="str">
        <f t="shared" si="378"/>
        <v>High Balance</v>
      </c>
      <c r="P6048" t="str">
        <f t="shared" si="379"/>
        <v>New</v>
      </c>
    </row>
    <row r="6049" spans="1:16" x14ac:dyDescent="0.25">
      <c r="A6049">
        <v>2025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  <c r="M6049" t="str">
        <f t="shared" si="376"/>
        <v>30-45</v>
      </c>
      <c r="N6049" t="str">
        <f t="shared" si="377"/>
        <v>Medium</v>
      </c>
      <c r="O6049" t="str">
        <f t="shared" si="378"/>
        <v>Zero Balance</v>
      </c>
      <c r="P6049" t="str">
        <f t="shared" si="379"/>
        <v>Long-term</v>
      </c>
    </row>
    <row r="6050" spans="1:16" x14ac:dyDescent="0.25">
      <c r="A6050">
        <v>2025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  <c r="M6050" t="str">
        <f t="shared" si="376"/>
        <v>30-45</v>
      </c>
      <c r="N6050" t="str">
        <f t="shared" si="377"/>
        <v>High</v>
      </c>
      <c r="O6050" t="str">
        <f t="shared" si="378"/>
        <v>Zero Balance</v>
      </c>
      <c r="P6050" t="str">
        <f t="shared" si="379"/>
        <v>Mid-term</v>
      </c>
    </row>
    <row r="6051" spans="1:16" x14ac:dyDescent="0.25">
      <c r="A6051">
        <v>2025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  <c r="M6051" t="str">
        <f t="shared" si="376"/>
        <v>30-45</v>
      </c>
      <c r="N6051" t="str">
        <f t="shared" si="377"/>
        <v>Medium</v>
      </c>
      <c r="O6051" t="str">
        <f t="shared" si="378"/>
        <v>Zero Balance</v>
      </c>
      <c r="P6051" t="str">
        <f t="shared" si="379"/>
        <v>New</v>
      </c>
    </row>
    <row r="6052" spans="1:16" x14ac:dyDescent="0.25">
      <c r="A6052">
        <v>2025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  <c r="M6052" t="str">
        <f t="shared" si="376"/>
        <v>30-45</v>
      </c>
      <c r="N6052" t="str">
        <f t="shared" si="377"/>
        <v>High</v>
      </c>
      <c r="O6052" t="str">
        <f t="shared" si="378"/>
        <v>Low Balance</v>
      </c>
      <c r="P6052" t="str">
        <f t="shared" si="379"/>
        <v>Mid-term</v>
      </c>
    </row>
    <row r="6053" spans="1:16" x14ac:dyDescent="0.25">
      <c r="A6053">
        <v>2025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  <c r="M6053" t="str">
        <f t="shared" si="376"/>
        <v>30-45</v>
      </c>
      <c r="N6053" t="str">
        <f t="shared" si="377"/>
        <v>High</v>
      </c>
      <c r="O6053" t="str">
        <f t="shared" si="378"/>
        <v>Zero Balance</v>
      </c>
      <c r="P6053" t="str">
        <f t="shared" si="379"/>
        <v>Mid-term</v>
      </c>
    </row>
    <row r="6054" spans="1:16" x14ac:dyDescent="0.25">
      <c r="A6054">
        <v>2025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  <c r="M6054" t="str">
        <f t="shared" si="376"/>
        <v>46-60</v>
      </c>
      <c r="N6054" t="str">
        <f t="shared" si="377"/>
        <v>Low</v>
      </c>
      <c r="O6054" t="str">
        <f t="shared" si="378"/>
        <v>Low Balance</v>
      </c>
      <c r="P6054" t="str">
        <f t="shared" si="379"/>
        <v>New</v>
      </c>
    </row>
    <row r="6055" spans="1:16" x14ac:dyDescent="0.25">
      <c r="A6055">
        <v>2025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  <c r="M6055" t="str">
        <f t="shared" si="376"/>
        <v>30-45</v>
      </c>
      <c r="N6055" t="str">
        <f t="shared" si="377"/>
        <v>Medium</v>
      </c>
      <c r="O6055" t="str">
        <f t="shared" si="378"/>
        <v>Zero Balance</v>
      </c>
      <c r="P6055" t="str">
        <f t="shared" si="379"/>
        <v>Mid-term</v>
      </c>
    </row>
    <row r="6056" spans="1:16" x14ac:dyDescent="0.25">
      <c r="A6056">
        <v>2025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  <c r="M6056" t="str">
        <f t="shared" si="376"/>
        <v>46-60</v>
      </c>
      <c r="N6056" t="str">
        <f t="shared" si="377"/>
        <v>Medium</v>
      </c>
      <c r="O6056" t="str">
        <f t="shared" si="378"/>
        <v>Zero Balance</v>
      </c>
      <c r="P6056" t="str">
        <f t="shared" si="379"/>
        <v>New</v>
      </c>
    </row>
    <row r="6057" spans="1:16" x14ac:dyDescent="0.25">
      <c r="A6057">
        <v>2025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  <c r="M6057" t="str">
        <f t="shared" si="376"/>
        <v>&lt;30</v>
      </c>
      <c r="N6057" t="str">
        <f t="shared" si="377"/>
        <v>Low</v>
      </c>
      <c r="O6057" t="str">
        <f t="shared" si="378"/>
        <v>High Balance</v>
      </c>
      <c r="P6057" t="str">
        <f t="shared" si="379"/>
        <v>Long-term</v>
      </c>
    </row>
    <row r="6058" spans="1:16" x14ac:dyDescent="0.25">
      <c r="A6058">
        <v>2025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  <c r="M6058" t="str">
        <f t="shared" si="376"/>
        <v>&lt;30</v>
      </c>
      <c r="N6058" t="str">
        <f t="shared" si="377"/>
        <v>High</v>
      </c>
      <c r="O6058" t="str">
        <f t="shared" si="378"/>
        <v>Zero Balance</v>
      </c>
      <c r="P6058" t="str">
        <f t="shared" si="379"/>
        <v>Mid-term</v>
      </c>
    </row>
    <row r="6059" spans="1:16" x14ac:dyDescent="0.25">
      <c r="A6059">
        <v>2025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  <c r="M6059" t="str">
        <f t="shared" si="376"/>
        <v>30-45</v>
      </c>
      <c r="N6059" t="str">
        <f t="shared" si="377"/>
        <v>High</v>
      </c>
      <c r="O6059" t="str">
        <f t="shared" si="378"/>
        <v>High Balance</v>
      </c>
      <c r="P6059" t="str">
        <f t="shared" si="379"/>
        <v>Mid-term</v>
      </c>
    </row>
    <row r="6060" spans="1:16" x14ac:dyDescent="0.25">
      <c r="A6060">
        <v>2025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  <c r="M6060" t="str">
        <f t="shared" si="376"/>
        <v>46-60</v>
      </c>
      <c r="N6060" t="str">
        <f t="shared" si="377"/>
        <v>Medium</v>
      </c>
      <c r="O6060" t="str">
        <f t="shared" si="378"/>
        <v>High Balance</v>
      </c>
      <c r="P6060" t="str">
        <f t="shared" si="379"/>
        <v>Long-term</v>
      </c>
    </row>
    <row r="6061" spans="1:16" x14ac:dyDescent="0.25">
      <c r="A6061">
        <v>2025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  <c r="M6061" t="str">
        <f t="shared" si="376"/>
        <v>30-45</v>
      </c>
      <c r="N6061" t="str">
        <f t="shared" si="377"/>
        <v>High</v>
      </c>
      <c r="O6061" t="str">
        <f t="shared" si="378"/>
        <v>Zero Balance</v>
      </c>
      <c r="P6061" t="str">
        <f t="shared" si="379"/>
        <v>New</v>
      </c>
    </row>
    <row r="6062" spans="1:16" x14ac:dyDescent="0.25">
      <c r="A6062">
        <v>2025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  <c r="M6062" t="str">
        <f t="shared" si="376"/>
        <v>30-45</v>
      </c>
      <c r="N6062" t="str">
        <f t="shared" si="377"/>
        <v>High</v>
      </c>
      <c r="O6062" t="str">
        <f t="shared" si="378"/>
        <v>High Balance</v>
      </c>
      <c r="P6062" t="str">
        <f t="shared" si="379"/>
        <v>Mid-term</v>
      </c>
    </row>
    <row r="6063" spans="1:16" x14ac:dyDescent="0.25">
      <c r="A6063">
        <v>2025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  <c r="M6063" t="str">
        <f t="shared" si="376"/>
        <v>46-60</v>
      </c>
      <c r="N6063" t="str">
        <f t="shared" si="377"/>
        <v>Medium</v>
      </c>
      <c r="O6063" t="str">
        <f t="shared" si="378"/>
        <v>High Balance</v>
      </c>
      <c r="P6063" t="str">
        <f t="shared" si="379"/>
        <v>Mid-term</v>
      </c>
    </row>
    <row r="6064" spans="1:16" x14ac:dyDescent="0.25">
      <c r="A6064">
        <v>2025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  <c r="M6064" t="str">
        <f t="shared" si="376"/>
        <v>30-45</v>
      </c>
      <c r="N6064" t="str">
        <f t="shared" si="377"/>
        <v>High</v>
      </c>
      <c r="O6064" t="str">
        <f t="shared" si="378"/>
        <v>Zero Balance</v>
      </c>
      <c r="P6064" t="str">
        <f t="shared" si="379"/>
        <v>Long-term</v>
      </c>
    </row>
    <row r="6065" spans="1:16" x14ac:dyDescent="0.25">
      <c r="A6065">
        <v>2025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  <c r="M6065" t="str">
        <f t="shared" si="376"/>
        <v>30-45</v>
      </c>
      <c r="N6065" t="str">
        <f t="shared" si="377"/>
        <v>High</v>
      </c>
      <c r="O6065" t="str">
        <f t="shared" si="378"/>
        <v>High Balance</v>
      </c>
      <c r="P6065" t="str">
        <f t="shared" si="379"/>
        <v>Mid-term</v>
      </c>
    </row>
    <row r="6066" spans="1:16" x14ac:dyDescent="0.25">
      <c r="A6066">
        <v>2025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  <c r="M6066" t="str">
        <f t="shared" si="376"/>
        <v>&lt;30</v>
      </c>
      <c r="N6066" t="str">
        <f t="shared" si="377"/>
        <v>High</v>
      </c>
      <c r="O6066" t="str">
        <f t="shared" si="378"/>
        <v>Zero Balance</v>
      </c>
      <c r="P6066" t="str">
        <f t="shared" si="379"/>
        <v>New</v>
      </c>
    </row>
    <row r="6067" spans="1:16" x14ac:dyDescent="0.25">
      <c r="A6067">
        <v>2025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  <c r="M6067" t="str">
        <f t="shared" si="376"/>
        <v>30-45</v>
      </c>
      <c r="N6067" t="str">
        <f t="shared" si="377"/>
        <v>Medium</v>
      </c>
      <c r="O6067" t="str">
        <f t="shared" si="378"/>
        <v>High Balance</v>
      </c>
      <c r="P6067" t="str">
        <f t="shared" si="379"/>
        <v>Mid-term</v>
      </c>
    </row>
    <row r="6068" spans="1:16" x14ac:dyDescent="0.25">
      <c r="A6068">
        <v>2025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  <c r="M6068" t="str">
        <f t="shared" si="376"/>
        <v>30-45</v>
      </c>
      <c r="N6068" t="str">
        <f t="shared" si="377"/>
        <v>Medium</v>
      </c>
      <c r="O6068" t="str">
        <f t="shared" si="378"/>
        <v>Zero Balance</v>
      </c>
      <c r="P6068" t="str">
        <f t="shared" si="379"/>
        <v>New</v>
      </c>
    </row>
    <row r="6069" spans="1:16" x14ac:dyDescent="0.25">
      <c r="A6069">
        <v>2025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  <c r="M6069" t="str">
        <f t="shared" si="376"/>
        <v>30-45</v>
      </c>
      <c r="N6069" t="str">
        <f t="shared" si="377"/>
        <v>Medium</v>
      </c>
      <c r="O6069" t="str">
        <f t="shared" si="378"/>
        <v>Zero Balance</v>
      </c>
      <c r="P6069" t="str">
        <f t="shared" si="379"/>
        <v>Mid-term</v>
      </c>
    </row>
    <row r="6070" spans="1:16" x14ac:dyDescent="0.25">
      <c r="A6070">
        <v>2025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  <c r="M6070" t="str">
        <f t="shared" si="376"/>
        <v>30-45</v>
      </c>
      <c r="N6070" t="str">
        <f t="shared" si="377"/>
        <v>Medium</v>
      </c>
      <c r="O6070" t="str">
        <f t="shared" si="378"/>
        <v>High Balance</v>
      </c>
      <c r="P6070" t="str">
        <f t="shared" si="379"/>
        <v>Mid-term</v>
      </c>
    </row>
    <row r="6071" spans="1:16" x14ac:dyDescent="0.25">
      <c r="A6071">
        <v>2025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  <c r="M6071" t="str">
        <f t="shared" si="376"/>
        <v>46-60</v>
      </c>
      <c r="N6071" t="str">
        <f t="shared" si="377"/>
        <v>Medium</v>
      </c>
      <c r="O6071" t="str">
        <f t="shared" si="378"/>
        <v>High Balance</v>
      </c>
      <c r="P6071" t="str">
        <f t="shared" si="379"/>
        <v>New</v>
      </c>
    </row>
    <row r="6072" spans="1:16" x14ac:dyDescent="0.25">
      <c r="A6072">
        <v>2025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  <c r="M6072" t="str">
        <f t="shared" si="376"/>
        <v>30-45</v>
      </c>
      <c r="N6072" t="str">
        <f t="shared" si="377"/>
        <v>Medium</v>
      </c>
      <c r="O6072" t="str">
        <f t="shared" si="378"/>
        <v>High Balance</v>
      </c>
      <c r="P6072" t="str">
        <f t="shared" si="379"/>
        <v>Mid-term</v>
      </c>
    </row>
    <row r="6073" spans="1:16" x14ac:dyDescent="0.25">
      <c r="A6073">
        <v>2025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  <c r="M6073" t="str">
        <f t="shared" si="376"/>
        <v>46-60</v>
      </c>
      <c r="N6073" t="str">
        <f t="shared" si="377"/>
        <v>Medium</v>
      </c>
      <c r="O6073" t="str">
        <f t="shared" si="378"/>
        <v>High Balance</v>
      </c>
      <c r="P6073" t="str">
        <f t="shared" si="379"/>
        <v>Long-term</v>
      </c>
    </row>
    <row r="6074" spans="1:16" x14ac:dyDescent="0.25">
      <c r="A6074">
        <v>2025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  <c r="M6074" t="str">
        <f t="shared" si="376"/>
        <v>30-45</v>
      </c>
      <c r="N6074" t="str">
        <f t="shared" si="377"/>
        <v>Medium</v>
      </c>
      <c r="O6074" t="str">
        <f t="shared" si="378"/>
        <v>Zero Balance</v>
      </c>
      <c r="P6074" t="str">
        <f t="shared" si="379"/>
        <v>Long-term</v>
      </c>
    </row>
    <row r="6075" spans="1:16" x14ac:dyDescent="0.25">
      <c r="A6075">
        <v>2025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  <c r="M6075" t="str">
        <f t="shared" si="376"/>
        <v>30-45</v>
      </c>
      <c r="N6075" t="str">
        <f t="shared" si="377"/>
        <v>Low</v>
      </c>
      <c r="O6075" t="str">
        <f t="shared" si="378"/>
        <v>Low Balance</v>
      </c>
      <c r="P6075" t="str">
        <f t="shared" si="379"/>
        <v>Mid-term</v>
      </c>
    </row>
    <row r="6076" spans="1:16" x14ac:dyDescent="0.25">
      <c r="A6076">
        <v>2025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  <c r="M6076" t="str">
        <f t="shared" si="376"/>
        <v>30-45</v>
      </c>
      <c r="N6076" t="str">
        <f t="shared" si="377"/>
        <v>High</v>
      </c>
      <c r="O6076" t="str">
        <f t="shared" si="378"/>
        <v>Zero Balance</v>
      </c>
      <c r="P6076" t="str">
        <f t="shared" si="379"/>
        <v>Mid-term</v>
      </c>
    </row>
    <row r="6077" spans="1:16" x14ac:dyDescent="0.25">
      <c r="A6077">
        <v>2025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  <c r="M6077" t="str">
        <f t="shared" si="376"/>
        <v>30-45</v>
      </c>
      <c r="N6077" t="str">
        <f t="shared" si="377"/>
        <v>Medium</v>
      </c>
      <c r="O6077" t="str">
        <f t="shared" si="378"/>
        <v>High Balance</v>
      </c>
      <c r="P6077" t="str">
        <f t="shared" si="379"/>
        <v>New</v>
      </c>
    </row>
    <row r="6078" spans="1:16" x14ac:dyDescent="0.25">
      <c r="A6078">
        <v>2025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  <c r="M6078" t="str">
        <f t="shared" si="376"/>
        <v>&lt;30</v>
      </c>
      <c r="N6078" t="str">
        <f t="shared" si="377"/>
        <v>Medium</v>
      </c>
      <c r="O6078" t="str">
        <f t="shared" si="378"/>
        <v>High Balance</v>
      </c>
      <c r="P6078" t="str">
        <f t="shared" si="379"/>
        <v>New</v>
      </c>
    </row>
    <row r="6079" spans="1:16" x14ac:dyDescent="0.25">
      <c r="A6079">
        <v>2025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  <c r="M6079" t="str">
        <f t="shared" si="376"/>
        <v>30-45</v>
      </c>
      <c r="N6079" t="str">
        <f t="shared" si="377"/>
        <v>Medium</v>
      </c>
      <c r="O6079" t="str">
        <f t="shared" si="378"/>
        <v>High Balance</v>
      </c>
      <c r="P6079" t="str">
        <f t="shared" si="379"/>
        <v>New</v>
      </c>
    </row>
    <row r="6080" spans="1:16" x14ac:dyDescent="0.25">
      <c r="A6080">
        <v>2025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  <c r="M6080" t="str">
        <f t="shared" si="376"/>
        <v>30-45</v>
      </c>
      <c r="N6080" t="str">
        <f t="shared" si="377"/>
        <v>Medium</v>
      </c>
      <c r="O6080" t="str">
        <f t="shared" si="378"/>
        <v>Low Balance</v>
      </c>
      <c r="P6080" t="str">
        <f t="shared" si="379"/>
        <v>Mid-term</v>
      </c>
    </row>
    <row r="6081" spans="1:16" x14ac:dyDescent="0.25">
      <c r="A6081">
        <v>2025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  <c r="M6081" t="str">
        <f t="shared" si="376"/>
        <v>30-45</v>
      </c>
      <c r="N6081" t="str">
        <f t="shared" si="377"/>
        <v>Medium</v>
      </c>
      <c r="O6081" t="str">
        <f t="shared" si="378"/>
        <v>High Balance</v>
      </c>
      <c r="P6081" t="str">
        <f t="shared" si="379"/>
        <v>Long-term</v>
      </c>
    </row>
    <row r="6082" spans="1:16" x14ac:dyDescent="0.25">
      <c r="A6082">
        <v>2025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  <c r="M6082" t="str">
        <f t="shared" si="376"/>
        <v>30-45</v>
      </c>
      <c r="N6082" t="str">
        <f t="shared" si="377"/>
        <v>Medium</v>
      </c>
      <c r="O6082" t="str">
        <f t="shared" si="378"/>
        <v>Zero Balance</v>
      </c>
      <c r="P6082" t="str">
        <f t="shared" si="379"/>
        <v>New</v>
      </c>
    </row>
    <row r="6083" spans="1:16" x14ac:dyDescent="0.25">
      <c r="A6083">
        <v>2025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  <c r="M6083" t="str">
        <f t="shared" ref="M6083:M6146" si="380">IF(E6083&lt;30,"&lt;30",IF(E6083&lt;=45,"30-45",IF(E6083&lt;=60,"46-60","60+")))</f>
        <v>46-60</v>
      </c>
      <c r="N6083" t="str">
        <f t="shared" ref="N6083:N6146" si="381">IF(B6083&lt;500,"Low",IF(B6083&lt;700,"Medium","High"))</f>
        <v>Medium</v>
      </c>
      <c r="O6083" t="str">
        <f t="shared" ref="O6083:O6146" si="382">IF(G6083=0,"Zero Balance",IF(G6083&lt;100000,"Low Balance","High Balance"))</f>
        <v>Low Balance</v>
      </c>
      <c r="P6083" t="str">
        <f t="shared" ref="P6083:P6146" si="383">IF(F6083&lt;=3,"New",IF(F6083&lt;=7,"Mid-term","Long-term"))</f>
        <v>Long-term</v>
      </c>
    </row>
    <row r="6084" spans="1:16" x14ac:dyDescent="0.25">
      <c r="A6084">
        <v>2025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  <c r="M6084" t="str">
        <f t="shared" si="380"/>
        <v>30-45</v>
      </c>
      <c r="N6084" t="str">
        <f t="shared" si="381"/>
        <v>High</v>
      </c>
      <c r="O6084" t="str">
        <f t="shared" si="382"/>
        <v>High Balance</v>
      </c>
      <c r="P6084" t="str">
        <f t="shared" si="383"/>
        <v>Long-term</v>
      </c>
    </row>
    <row r="6085" spans="1:16" x14ac:dyDescent="0.25">
      <c r="A6085">
        <v>2025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  <c r="M6085" t="str">
        <f t="shared" si="380"/>
        <v>30-45</v>
      </c>
      <c r="N6085" t="str">
        <f t="shared" si="381"/>
        <v>Medium</v>
      </c>
      <c r="O6085" t="str">
        <f t="shared" si="382"/>
        <v>High Balance</v>
      </c>
      <c r="P6085" t="str">
        <f t="shared" si="383"/>
        <v>New</v>
      </c>
    </row>
    <row r="6086" spans="1:16" x14ac:dyDescent="0.25">
      <c r="A6086">
        <v>2025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  <c r="M6086" t="str">
        <f t="shared" si="380"/>
        <v>30-45</v>
      </c>
      <c r="N6086" t="str">
        <f t="shared" si="381"/>
        <v>Medium</v>
      </c>
      <c r="O6086" t="str">
        <f t="shared" si="382"/>
        <v>High Balance</v>
      </c>
      <c r="P6086" t="str">
        <f t="shared" si="383"/>
        <v>Long-term</v>
      </c>
    </row>
    <row r="6087" spans="1:16" x14ac:dyDescent="0.25">
      <c r="A6087">
        <v>2025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  <c r="M6087" t="str">
        <f t="shared" si="380"/>
        <v>30-45</v>
      </c>
      <c r="N6087" t="str">
        <f t="shared" si="381"/>
        <v>Low</v>
      </c>
      <c r="O6087" t="str">
        <f t="shared" si="382"/>
        <v>High Balance</v>
      </c>
      <c r="P6087" t="str">
        <f t="shared" si="383"/>
        <v>Mid-term</v>
      </c>
    </row>
    <row r="6088" spans="1:16" x14ac:dyDescent="0.25">
      <c r="A6088">
        <v>2025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  <c r="M6088" t="str">
        <f t="shared" si="380"/>
        <v>30-45</v>
      </c>
      <c r="N6088" t="str">
        <f t="shared" si="381"/>
        <v>Medium</v>
      </c>
      <c r="O6088" t="str">
        <f t="shared" si="382"/>
        <v>High Balance</v>
      </c>
      <c r="P6088" t="str">
        <f t="shared" si="383"/>
        <v>New</v>
      </c>
    </row>
    <row r="6089" spans="1:16" x14ac:dyDescent="0.25">
      <c r="A6089">
        <v>2025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  <c r="M6089" t="str">
        <f t="shared" si="380"/>
        <v>&lt;30</v>
      </c>
      <c r="N6089" t="str">
        <f t="shared" si="381"/>
        <v>Medium</v>
      </c>
      <c r="O6089" t="str">
        <f t="shared" si="382"/>
        <v>High Balance</v>
      </c>
      <c r="P6089" t="str">
        <f t="shared" si="383"/>
        <v>Long-term</v>
      </c>
    </row>
    <row r="6090" spans="1:16" x14ac:dyDescent="0.25">
      <c r="A6090">
        <v>2025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  <c r="M6090" t="str">
        <f t="shared" si="380"/>
        <v>30-45</v>
      </c>
      <c r="N6090" t="str">
        <f t="shared" si="381"/>
        <v>Medium</v>
      </c>
      <c r="O6090" t="str">
        <f t="shared" si="382"/>
        <v>Zero Balance</v>
      </c>
      <c r="P6090" t="str">
        <f t="shared" si="383"/>
        <v>Mid-term</v>
      </c>
    </row>
    <row r="6091" spans="1:16" x14ac:dyDescent="0.25">
      <c r="A6091">
        <v>2025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  <c r="M6091" t="str">
        <f t="shared" si="380"/>
        <v>&lt;30</v>
      </c>
      <c r="N6091" t="str">
        <f t="shared" si="381"/>
        <v>High</v>
      </c>
      <c r="O6091" t="str">
        <f t="shared" si="382"/>
        <v>Zero Balance</v>
      </c>
      <c r="P6091" t="str">
        <f t="shared" si="383"/>
        <v>New</v>
      </c>
    </row>
    <row r="6092" spans="1:16" x14ac:dyDescent="0.25">
      <c r="A6092">
        <v>2025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  <c r="M6092" t="str">
        <f t="shared" si="380"/>
        <v>&lt;30</v>
      </c>
      <c r="N6092" t="str">
        <f t="shared" si="381"/>
        <v>Medium</v>
      </c>
      <c r="O6092" t="str">
        <f t="shared" si="382"/>
        <v>Zero Balance</v>
      </c>
      <c r="P6092" t="str">
        <f t="shared" si="383"/>
        <v>Mid-term</v>
      </c>
    </row>
    <row r="6093" spans="1:16" x14ac:dyDescent="0.25">
      <c r="A6093">
        <v>2025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  <c r="M6093" t="str">
        <f t="shared" si="380"/>
        <v>30-45</v>
      </c>
      <c r="N6093" t="str">
        <f t="shared" si="381"/>
        <v>High</v>
      </c>
      <c r="O6093" t="str">
        <f t="shared" si="382"/>
        <v>Low Balance</v>
      </c>
      <c r="P6093" t="str">
        <f t="shared" si="383"/>
        <v>New</v>
      </c>
    </row>
    <row r="6094" spans="1:16" x14ac:dyDescent="0.25">
      <c r="A6094">
        <v>2025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  <c r="M6094" t="str">
        <f t="shared" si="380"/>
        <v>30-45</v>
      </c>
      <c r="N6094" t="str">
        <f t="shared" si="381"/>
        <v>Medium</v>
      </c>
      <c r="O6094" t="str">
        <f t="shared" si="382"/>
        <v>High Balance</v>
      </c>
      <c r="P6094" t="str">
        <f t="shared" si="383"/>
        <v>New</v>
      </c>
    </row>
    <row r="6095" spans="1:16" x14ac:dyDescent="0.25">
      <c r="A6095">
        <v>2025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  <c r="M6095" t="str">
        <f t="shared" si="380"/>
        <v>30-45</v>
      </c>
      <c r="N6095" t="str">
        <f t="shared" si="381"/>
        <v>High</v>
      </c>
      <c r="O6095" t="str">
        <f t="shared" si="382"/>
        <v>High Balance</v>
      </c>
      <c r="P6095" t="str">
        <f t="shared" si="383"/>
        <v>Mid-term</v>
      </c>
    </row>
    <row r="6096" spans="1:16" x14ac:dyDescent="0.25">
      <c r="A6096">
        <v>2025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  <c r="M6096" t="str">
        <f t="shared" si="380"/>
        <v>30-45</v>
      </c>
      <c r="N6096" t="str">
        <f t="shared" si="381"/>
        <v>Medium</v>
      </c>
      <c r="O6096" t="str">
        <f t="shared" si="382"/>
        <v>High Balance</v>
      </c>
      <c r="P6096" t="str">
        <f t="shared" si="383"/>
        <v>Long-term</v>
      </c>
    </row>
    <row r="6097" spans="1:16" x14ac:dyDescent="0.25">
      <c r="A6097">
        <v>2025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  <c r="M6097" t="str">
        <f t="shared" si="380"/>
        <v>30-45</v>
      </c>
      <c r="N6097" t="str">
        <f t="shared" si="381"/>
        <v>Medium</v>
      </c>
      <c r="O6097" t="str">
        <f t="shared" si="382"/>
        <v>High Balance</v>
      </c>
      <c r="P6097" t="str">
        <f t="shared" si="383"/>
        <v>Long-term</v>
      </c>
    </row>
    <row r="6098" spans="1:16" x14ac:dyDescent="0.25">
      <c r="A6098">
        <v>2025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  <c r="M6098" t="str">
        <f t="shared" si="380"/>
        <v>30-45</v>
      </c>
      <c r="N6098" t="str">
        <f t="shared" si="381"/>
        <v>Medium</v>
      </c>
      <c r="O6098" t="str">
        <f t="shared" si="382"/>
        <v>High Balance</v>
      </c>
      <c r="P6098" t="str">
        <f t="shared" si="383"/>
        <v>Mid-term</v>
      </c>
    </row>
    <row r="6099" spans="1:16" x14ac:dyDescent="0.25">
      <c r="A6099">
        <v>2025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  <c r="M6099" t="str">
        <f t="shared" si="380"/>
        <v>46-60</v>
      </c>
      <c r="N6099" t="str">
        <f t="shared" si="381"/>
        <v>Medium</v>
      </c>
      <c r="O6099" t="str">
        <f t="shared" si="382"/>
        <v>High Balance</v>
      </c>
      <c r="P6099" t="str">
        <f t="shared" si="383"/>
        <v>Long-term</v>
      </c>
    </row>
    <row r="6100" spans="1:16" x14ac:dyDescent="0.25">
      <c r="A6100">
        <v>2025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  <c r="M6100" t="str">
        <f t="shared" si="380"/>
        <v>46-60</v>
      </c>
      <c r="N6100" t="str">
        <f t="shared" si="381"/>
        <v>Medium</v>
      </c>
      <c r="O6100" t="str">
        <f t="shared" si="382"/>
        <v>Low Balance</v>
      </c>
      <c r="P6100" t="str">
        <f t="shared" si="383"/>
        <v>Mid-term</v>
      </c>
    </row>
    <row r="6101" spans="1:16" x14ac:dyDescent="0.25">
      <c r="A6101">
        <v>2025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  <c r="M6101" t="str">
        <f t="shared" si="380"/>
        <v>46-60</v>
      </c>
      <c r="N6101" t="str">
        <f t="shared" si="381"/>
        <v>Medium</v>
      </c>
      <c r="O6101" t="str">
        <f t="shared" si="382"/>
        <v>High Balance</v>
      </c>
      <c r="P6101" t="str">
        <f t="shared" si="383"/>
        <v>Long-term</v>
      </c>
    </row>
    <row r="6102" spans="1:16" x14ac:dyDescent="0.25">
      <c r="A6102">
        <v>2025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  <c r="M6102" t="str">
        <f t="shared" si="380"/>
        <v>30-45</v>
      </c>
      <c r="N6102" t="str">
        <f t="shared" si="381"/>
        <v>High</v>
      </c>
      <c r="O6102" t="str">
        <f t="shared" si="382"/>
        <v>High Balance</v>
      </c>
      <c r="P6102" t="str">
        <f t="shared" si="383"/>
        <v>New</v>
      </c>
    </row>
    <row r="6103" spans="1:16" x14ac:dyDescent="0.25">
      <c r="A6103">
        <v>2025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  <c r="M6103" t="str">
        <f t="shared" si="380"/>
        <v>30-45</v>
      </c>
      <c r="N6103" t="str">
        <f t="shared" si="381"/>
        <v>High</v>
      </c>
      <c r="O6103" t="str">
        <f t="shared" si="382"/>
        <v>Zero Balance</v>
      </c>
      <c r="P6103" t="str">
        <f t="shared" si="383"/>
        <v>Mid-term</v>
      </c>
    </row>
    <row r="6104" spans="1:16" x14ac:dyDescent="0.25">
      <c r="A6104">
        <v>2025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  <c r="M6104" t="str">
        <f t="shared" si="380"/>
        <v>30-45</v>
      </c>
      <c r="N6104" t="str">
        <f t="shared" si="381"/>
        <v>Medium</v>
      </c>
      <c r="O6104" t="str">
        <f t="shared" si="382"/>
        <v>Zero Balance</v>
      </c>
      <c r="P6104" t="str">
        <f t="shared" si="383"/>
        <v>Mid-term</v>
      </c>
    </row>
    <row r="6105" spans="1:16" x14ac:dyDescent="0.25">
      <c r="A6105">
        <v>2025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  <c r="M6105" t="str">
        <f t="shared" si="380"/>
        <v>&lt;30</v>
      </c>
      <c r="N6105" t="str">
        <f t="shared" si="381"/>
        <v>Medium</v>
      </c>
      <c r="O6105" t="str">
        <f t="shared" si="382"/>
        <v>Zero Balance</v>
      </c>
      <c r="P6105" t="str">
        <f t="shared" si="383"/>
        <v>Long-term</v>
      </c>
    </row>
    <row r="6106" spans="1:16" x14ac:dyDescent="0.25">
      <c r="A6106">
        <v>2025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  <c r="M6106" t="str">
        <f t="shared" si="380"/>
        <v>46-60</v>
      </c>
      <c r="N6106" t="str">
        <f t="shared" si="381"/>
        <v>High</v>
      </c>
      <c r="O6106" t="str">
        <f t="shared" si="382"/>
        <v>High Balance</v>
      </c>
      <c r="P6106" t="str">
        <f t="shared" si="383"/>
        <v>Long-term</v>
      </c>
    </row>
    <row r="6107" spans="1:16" x14ac:dyDescent="0.25">
      <c r="A6107">
        <v>2025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  <c r="M6107" t="str">
        <f t="shared" si="380"/>
        <v>30-45</v>
      </c>
      <c r="N6107" t="str">
        <f t="shared" si="381"/>
        <v>Medium</v>
      </c>
      <c r="O6107" t="str">
        <f t="shared" si="382"/>
        <v>High Balance</v>
      </c>
      <c r="P6107" t="str">
        <f t="shared" si="383"/>
        <v>New</v>
      </c>
    </row>
    <row r="6108" spans="1:16" x14ac:dyDescent="0.25">
      <c r="A6108">
        <v>2025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  <c r="M6108" t="str">
        <f t="shared" si="380"/>
        <v>&lt;30</v>
      </c>
      <c r="N6108" t="str">
        <f t="shared" si="381"/>
        <v>High</v>
      </c>
      <c r="O6108" t="str">
        <f t="shared" si="382"/>
        <v>High Balance</v>
      </c>
      <c r="P6108" t="str">
        <f t="shared" si="383"/>
        <v>New</v>
      </c>
    </row>
    <row r="6109" spans="1:16" x14ac:dyDescent="0.25">
      <c r="A6109">
        <v>2025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  <c r="M6109" t="str">
        <f t="shared" si="380"/>
        <v>30-45</v>
      </c>
      <c r="N6109" t="str">
        <f t="shared" si="381"/>
        <v>High</v>
      </c>
      <c r="O6109" t="str">
        <f t="shared" si="382"/>
        <v>High Balance</v>
      </c>
      <c r="P6109" t="str">
        <f t="shared" si="383"/>
        <v>Mid-term</v>
      </c>
    </row>
    <row r="6110" spans="1:16" x14ac:dyDescent="0.25">
      <c r="A6110">
        <v>2025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  <c r="M6110" t="str">
        <f t="shared" si="380"/>
        <v>30-45</v>
      </c>
      <c r="N6110" t="str">
        <f t="shared" si="381"/>
        <v>Medium</v>
      </c>
      <c r="O6110" t="str">
        <f t="shared" si="382"/>
        <v>Low Balance</v>
      </c>
      <c r="P6110" t="str">
        <f t="shared" si="383"/>
        <v>New</v>
      </c>
    </row>
    <row r="6111" spans="1:16" x14ac:dyDescent="0.25">
      <c r="A6111">
        <v>2025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  <c r="M6111" t="str">
        <f t="shared" si="380"/>
        <v>&lt;30</v>
      </c>
      <c r="N6111" t="str">
        <f t="shared" si="381"/>
        <v>Medium</v>
      </c>
      <c r="O6111" t="str">
        <f t="shared" si="382"/>
        <v>High Balance</v>
      </c>
      <c r="P6111" t="str">
        <f t="shared" si="383"/>
        <v>New</v>
      </c>
    </row>
    <row r="6112" spans="1:16" x14ac:dyDescent="0.25">
      <c r="A6112">
        <v>2025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  <c r="M6112" t="str">
        <f t="shared" si="380"/>
        <v>30-45</v>
      </c>
      <c r="N6112" t="str">
        <f t="shared" si="381"/>
        <v>Medium</v>
      </c>
      <c r="O6112" t="str">
        <f t="shared" si="382"/>
        <v>Zero Balance</v>
      </c>
      <c r="P6112" t="str">
        <f t="shared" si="383"/>
        <v>Long-term</v>
      </c>
    </row>
    <row r="6113" spans="1:16" x14ac:dyDescent="0.25">
      <c r="A6113">
        <v>2025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  <c r="M6113" t="str">
        <f t="shared" si="380"/>
        <v>&lt;30</v>
      </c>
      <c r="N6113" t="str">
        <f t="shared" si="381"/>
        <v>Medium</v>
      </c>
      <c r="O6113" t="str">
        <f t="shared" si="382"/>
        <v>High Balance</v>
      </c>
      <c r="P6113" t="str">
        <f t="shared" si="383"/>
        <v>Long-term</v>
      </c>
    </row>
    <row r="6114" spans="1:16" x14ac:dyDescent="0.25">
      <c r="A6114">
        <v>2025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  <c r="M6114" t="str">
        <f t="shared" si="380"/>
        <v>30-45</v>
      </c>
      <c r="N6114" t="str">
        <f t="shared" si="381"/>
        <v>Low</v>
      </c>
      <c r="O6114" t="str">
        <f t="shared" si="382"/>
        <v>Low Balance</v>
      </c>
      <c r="P6114" t="str">
        <f t="shared" si="383"/>
        <v>New</v>
      </c>
    </row>
    <row r="6115" spans="1:16" x14ac:dyDescent="0.25">
      <c r="A6115">
        <v>2025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  <c r="M6115" t="str">
        <f t="shared" si="380"/>
        <v>30-45</v>
      </c>
      <c r="N6115" t="str">
        <f t="shared" si="381"/>
        <v>Medium</v>
      </c>
      <c r="O6115" t="str">
        <f t="shared" si="382"/>
        <v>Zero Balance</v>
      </c>
      <c r="P6115" t="str">
        <f t="shared" si="383"/>
        <v>New</v>
      </c>
    </row>
    <row r="6116" spans="1:16" x14ac:dyDescent="0.25">
      <c r="A6116">
        <v>2025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  <c r="M6116" t="str">
        <f t="shared" si="380"/>
        <v>30-45</v>
      </c>
      <c r="N6116" t="str">
        <f t="shared" si="381"/>
        <v>Medium</v>
      </c>
      <c r="O6116" t="str">
        <f t="shared" si="382"/>
        <v>Zero Balance</v>
      </c>
      <c r="P6116" t="str">
        <f t="shared" si="383"/>
        <v>Mid-term</v>
      </c>
    </row>
    <row r="6117" spans="1:16" x14ac:dyDescent="0.25">
      <c r="A6117">
        <v>2025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  <c r="M6117" t="str">
        <f t="shared" si="380"/>
        <v>30-45</v>
      </c>
      <c r="N6117" t="str">
        <f t="shared" si="381"/>
        <v>Low</v>
      </c>
      <c r="O6117" t="str">
        <f t="shared" si="382"/>
        <v>Zero Balance</v>
      </c>
      <c r="P6117" t="str">
        <f t="shared" si="383"/>
        <v>Mid-term</v>
      </c>
    </row>
    <row r="6118" spans="1:16" x14ac:dyDescent="0.25">
      <c r="A6118">
        <v>2025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  <c r="M6118" t="str">
        <f t="shared" si="380"/>
        <v>60+</v>
      </c>
      <c r="N6118" t="str">
        <f t="shared" si="381"/>
        <v>Medium</v>
      </c>
      <c r="O6118" t="str">
        <f t="shared" si="382"/>
        <v>High Balance</v>
      </c>
      <c r="P6118" t="str">
        <f t="shared" si="383"/>
        <v>New</v>
      </c>
    </row>
    <row r="6119" spans="1:16" x14ac:dyDescent="0.25">
      <c r="A6119">
        <v>2025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  <c r="M6119" t="str">
        <f t="shared" si="380"/>
        <v>30-45</v>
      </c>
      <c r="N6119" t="str">
        <f t="shared" si="381"/>
        <v>High</v>
      </c>
      <c r="O6119" t="str">
        <f t="shared" si="382"/>
        <v>Zero Balance</v>
      </c>
      <c r="P6119" t="str">
        <f t="shared" si="383"/>
        <v>New</v>
      </c>
    </row>
    <row r="6120" spans="1:16" x14ac:dyDescent="0.25">
      <c r="A6120">
        <v>2025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  <c r="M6120" t="str">
        <f t="shared" si="380"/>
        <v>46-60</v>
      </c>
      <c r="N6120" t="str">
        <f t="shared" si="381"/>
        <v>Medium</v>
      </c>
      <c r="O6120" t="str">
        <f t="shared" si="382"/>
        <v>High Balance</v>
      </c>
      <c r="P6120" t="str">
        <f t="shared" si="383"/>
        <v>Mid-term</v>
      </c>
    </row>
    <row r="6121" spans="1:16" x14ac:dyDescent="0.25">
      <c r="A6121">
        <v>2025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  <c r="M6121" t="str">
        <f t="shared" si="380"/>
        <v>30-45</v>
      </c>
      <c r="N6121" t="str">
        <f t="shared" si="381"/>
        <v>Low</v>
      </c>
      <c r="O6121" t="str">
        <f t="shared" si="382"/>
        <v>Zero Balance</v>
      </c>
      <c r="P6121" t="str">
        <f t="shared" si="383"/>
        <v>New</v>
      </c>
    </row>
    <row r="6122" spans="1:16" x14ac:dyDescent="0.25">
      <c r="A6122">
        <v>2025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  <c r="M6122" t="str">
        <f t="shared" si="380"/>
        <v>30-45</v>
      </c>
      <c r="N6122" t="str">
        <f t="shared" si="381"/>
        <v>High</v>
      </c>
      <c r="O6122" t="str">
        <f t="shared" si="382"/>
        <v>Zero Balance</v>
      </c>
      <c r="P6122" t="str">
        <f t="shared" si="383"/>
        <v>Mid-term</v>
      </c>
    </row>
    <row r="6123" spans="1:16" x14ac:dyDescent="0.25">
      <c r="A6123">
        <v>2025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  <c r="M6123" t="str">
        <f t="shared" si="380"/>
        <v>46-60</v>
      </c>
      <c r="N6123" t="str">
        <f t="shared" si="381"/>
        <v>Medium</v>
      </c>
      <c r="O6123" t="str">
        <f t="shared" si="382"/>
        <v>Zero Balance</v>
      </c>
      <c r="P6123" t="str">
        <f t="shared" si="383"/>
        <v>Long-term</v>
      </c>
    </row>
    <row r="6124" spans="1:16" x14ac:dyDescent="0.25">
      <c r="A6124">
        <v>2025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  <c r="M6124" t="str">
        <f t="shared" si="380"/>
        <v>30-45</v>
      </c>
      <c r="N6124" t="str">
        <f t="shared" si="381"/>
        <v>Medium</v>
      </c>
      <c r="O6124" t="str">
        <f t="shared" si="382"/>
        <v>High Balance</v>
      </c>
      <c r="P6124" t="str">
        <f t="shared" si="383"/>
        <v>New</v>
      </c>
    </row>
    <row r="6125" spans="1:16" x14ac:dyDescent="0.25">
      <c r="A6125">
        <v>2025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  <c r="M6125" t="str">
        <f t="shared" si="380"/>
        <v>30-45</v>
      </c>
      <c r="N6125" t="str">
        <f t="shared" si="381"/>
        <v>Low</v>
      </c>
      <c r="O6125" t="str">
        <f t="shared" si="382"/>
        <v>Zero Balance</v>
      </c>
      <c r="P6125" t="str">
        <f t="shared" si="383"/>
        <v>Mid-term</v>
      </c>
    </row>
    <row r="6126" spans="1:16" x14ac:dyDescent="0.25">
      <c r="A6126">
        <v>2025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  <c r="M6126" t="str">
        <f t="shared" si="380"/>
        <v>30-45</v>
      </c>
      <c r="N6126" t="str">
        <f t="shared" si="381"/>
        <v>High</v>
      </c>
      <c r="O6126" t="str">
        <f t="shared" si="382"/>
        <v>Zero Balance</v>
      </c>
      <c r="P6126" t="str">
        <f t="shared" si="383"/>
        <v>Mid-term</v>
      </c>
    </row>
    <row r="6127" spans="1:16" x14ac:dyDescent="0.25">
      <c r="A6127">
        <v>2025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  <c r="M6127" t="str">
        <f t="shared" si="380"/>
        <v>30-45</v>
      </c>
      <c r="N6127" t="str">
        <f t="shared" si="381"/>
        <v>Medium</v>
      </c>
      <c r="O6127" t="str">
        <f t="shared" si="382"/>
        <v>Low Balance</v>
      </c>
      <c r="P6127" t="str">
        <f t="shared" si="383"/>
        <v>Mid-term</v>
      </c>
    </row>
    <row r="6128" spans="1:16" x14ac:dyDescent="0.25">
      <c r="A6128">
        <v>2025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  <c r="M6128" t="str">
        <f t="shared" si="380"/>
        <v>&lt;30</v>
      </c>
      <c r="N6128" t="str">
        <f t="shared" si="381"/>
        <v>Medium</v>
      </c>
      <c r="O6128" t="str">
        <f t="shared" si="382"/>
        <v>Zero Balance</v>
      </c>
      <c r="P6128" t="str">
        <f t="shared" si="383"/>
        <v>Mid-term</v>
      </c>
    </row>
    <row r="6129" spans="1:16" x14ac:dyDescent="0.25">
      <c r="A6129">
        <v>2025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  <c r="M6129" t="str">
        <f t="shared" si="380"/>
        <v>30-45</v>
      </c>
      <c r="N6129" t="str">
        <f t="shared" si="381"/>
        <v>High</v>
      </c>
      <c r="O6129" t="str">
        <f t="shared" si="382"/>
        <v>Zero Balance</v>
      </c>
      <c r="P6129" t="str">
        <f t="shared" si="383"/>
        <v>New</v>
      </c>
    </row>
    <row r="6130" spans="1:16" x14ac:dyDescent="0.25">
      <c r="A6130">
        <v>2025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  <c r="M6130" t="str">
        <f t="shared" si="380"/>
        <v>30-45</v>
      </c>
      <c r="N6130" t="str">
        <f t="shared" si="381"/>
        <v>High</v>
      </c>
      <c r="O6130" t="str">
        <f t="shared" si="382"/>
        <v>Zero Balance</v>
      </c>
      <c r="P6130" t="str">
        <f t="shared" si="383"/>
        <v>New</v>
      </c>
    </row>
    <row r="6131" spans="1:16" x14ac:dyDescent="0.25">
      <c r="A6131">
        <v>2025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  <c r="M6131" t="str">
        <f t="shared" si="380"/>
        <v>30-45</v>
      </c>
      <c r="N6131" t="str">
        <f t="shared" si="381"/>
        <v>Medium</v>
      </c>
      <c r="O6131" t="str">
        <f t="shared" si="382"/>
        <v>Low Balance</v>
      </c>
      <c r="P6131" t="str">
        <f t="shared" si="383"/>
        <v>Mid-term</v>
      </c>
    </row>
    <row r="6132" spans="1:16" x14ac:dyDescent="0.25">
      <c r="A6132">
        <v>2025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  <c r="M6132" t="str">
        <f t="shared" si="380"/>
        <v>30-45</v>
      </c>
      <c r="N6132" t="str">
        <f t="shared" si="381"/>
        <v>Medium</v>
      </c>
      <c r="O6132" t="str">
        <f t="shared" si="382"/>
        <v>High Balance</v>
      </c>
      <c r="P6132" t="str">
        <f t="shared" si="383"/>
        <v>New</v>
      </c>
    </row>
    <row r="6133" spans="1:16" x14ac:dyDescent="0.25">
      <c r="A6133">
        <v>2025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  <c r="M6133" t="str">
        <f t="shared" si="380"/>
        <v>46-60</v>
      </c>
      <c r="N6133" t="str">
        <f t="shared" si="381"/>
        <v>Medium</v>
      </c>
      <c r="O6133" t="str">
        <f t="shared" si="382"/>
        <v>Zero Balance</v>
      </c>
      <c r="P6133" t="str">
        <f t="shared" si="383"/>
        <v>Long-term</v>
      </c>
    </row>
    <row r="6134" spans="1:16" x14ac:dyDescent="0.25">
      <c r="A6134">
        <v>2025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  <c r="M6134" t="str">
        <f t="shared" si="380"/>
        <v>30-45</v>
      </c>
      <c r="N6134" t="str">
        <f t="shared" si="381"/>
        <v>Medium</v>
      </c>
      <c r="O6134" t="str">
        <f t="shared" si="382"/>
        <v>High Balance</v>
      </c>
      <c r="P6134" t="str">
        <f t="shared" si="383"/>
        <v>Long-term</v>
      </c>
    </row>
    <row r="6135" spans="1:16" x14ac:dyDescent="0.25">
      <c r="A6135">
        <v>2025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  <c r="M6135" t="str">
        <f t="shared" si="380"/>
        <v>30-45</v>
      </c>
      <c r="N6135" t="str">
        <f t="shared" si="381"/>
        <v>Medium</v>
      </c>
      <c r="O6135" t="str">
        <f t="shared" si="382"/>
        <v>High Balance</v>
      </c>
      <c r="P6135" t="str">
        <f t="shared" si="383"/>
        <v>Mid-term</v>
      </c>
    </row>
    <row r="6136" spans="1:16" x14ac:dyDescent="0.25">
      <c r="A6136">
        <v>2025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  <c r="M6136" t="str">
        <f t="shared" si="380"/>
        <v>&lt;30</v>
      </c>
      <c r="N6136" t="str">
        <f t="shared" si="381"/>
        <v>Medium</v>
      </c>
      <c r="O6136" t="str">
        <f t="shared" si="382"/>
        <v>Zero Balance</v>
      </c>
      <c r="P6136" t="str">
        <f t="shared" si="383"/>
        <v>Long-term</v>
      </c>
    </row>
    <row r="6137" spans="1:16" x14ac:dyDescent="0.25">
      <c r="A6137">
        <v>2025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  <c r="M6137" t="str">
        <f t="shared" si="380"/>
        <v>30-45</v>
      </c>
      <c r="N6137" t="str">
        <f t="shared" si="381"/>
        <v>Low</v>
      </c>
      <c r="O6137" t="str">
        <f t="shared" si="382"/>
        <v>High Balance</v>
      </c>
      <c r="P6137" t="str">
        <f t="shared" si="383"/>
        <v>Long-term</v>
      </c>
    </row>
    <row r="6138" spans="1:16" x14ac:dyDescent="0.25">
      <c r="A6138">
        <v>2025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  <c r="M6138" t="str">
        <f t="shared" si="380"/>
        <v>30-45</v>
      </c>
      <c r="N6138" t="str">
        <f t="shared" si="381"/>
        <v>High</v>
      </c>
      <c r="O6138" t="str">
        <f t="shared" si="382"/>
        <v>High Balance</v>
      </c>
      <c r="P6138" t="str">
        <f t="shared" si="383"/>
        <v>Mid-term</v>
      </c>
    </row>
    <row r="6139" spans="1:16" x14ac:dyDescent="0.25">
      <c r="A6139">
        <v>2025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  <c r="M6139" t="str">
        <f t="shared" si="380"/>
        <v>46-60</v>
      </c>
      <c r="N6139" t="str">
        <f t="shared" si="381"/>
        <v>Medium</v>
      </c>
      <c r="O6139" t="str">
        <f t="shared" si="382"/>
        <v>Zero Balance</v>
      </c>
      <c r="P6139" t="str">
        <f t="shared" si="383"/>
        <v>New</v>
      </c>
    </row>
    <row r="6140" spans="1:16" x14ac:dyDescent="0.25">
      <c r="A6140">
        <v>2025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  <c r="M6140" t="str">
        <f t="shared" si="380"/>
        <v>46-60</v>
      </c>
      <c r="N6140" t="str">
        <f t="shared" si="381"/>
        <v>Low</v>
      </c>
      <c r="O6140" t="str">
        <f t="shared" si="382"/>
        <v>High Balance</v>
      </c>
      <c r="P6140" t="str">
        <f t="shared" si="383"/>
        <v>Long-term</v>
      </c>
    </row>
    <row r="6141" spans="1:16" x14ac:dyDescent="0.25">
      <c r="A6141">
        <v>2025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  <c r="M6141" t="str">
        <f t="shared" si="380"/>
        <v>30-45</v>
      </c>
      <c r="N6141" t="str">
        <f t="shared" si="381"/>
        <v>Medium</v>
      </c>
      <c r="O6141" t="str">
        <f t="shared" si="382"/>
        <v>Zero Balance</v>
      </c>
      <c r="P6141" t="str">
        <f t="shared" si="383"/>
        <v>Mid-term</v>
      </c>
    </row>
    <row r="6142" spans="1:16" x14ac:dyDescent="0.25">
      <c r="A6142">
        <v>2025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  <c r="M6142" t="str">
        <f t="shared" si="380"/>
        <v>30-45</v>
      </c>
      <c r="N6142" t="str">
        <f t="shared" si="381"/>
        <v>Low</v>
      </c>
      <c r="O6142" t="str">
        <f t="shared" si="382"/>
        <v>Low Balance</v>
      </c>
      <c r="P6142" t="str">
        <f t="shared" si="383"/>
        <v>Long-term</v>
      </c>
    </row>
    <row r="6143" spans="1:16" x14ac:dyDescent="0.25">
      <c r="A6143">
        <v>2025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  <c r="M6143" t="str">
        <f t="shared" si="380"/>
        <v>&lt;30</v>
      </c>
      <c r="N6143" t="str">
        <f t="shared" si="381"/>
        <v>Medium</v>
      </c>
      <c r="O6143" t="str">
        <f t="shared" si="382"/>
        <v>Zero Balance</v>
      </c>
      <c r="P6143" t="str">
        <f t="shared" si="383"/>
        <v>New</v>
      </c>
    </row>
    <row r="6144" spans="1:16" x14ac:dyDescent="0.25">
      <c r="A6144">
        <v>2025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  <c r="M6144" t="str">
        <f t="shared" si="380"/>
        <v>30-45</v>
      </c>
      <c r="N6144" t="str">
        <f t="shared" si="381"/>
        <v>High</v>
      </c>
      <c r="O6144" t="str">
        <f t="shared" si="382"/>
        <v>Zero Balance</v>
      </c>
      <c r="P6144" t="str">
        <f t="shared" si="383"/>
        <v>New</v>
      </c>
    </row>
    <row r="6145" spans="1:16" x14ac:dyDescent="0.25">
      <c r="A6145">
        <v>2025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  <c r="M6145" t="str">
        <f t="shared" si="380"/>
        <v>&lt;30</v>
      </c>
      <c r="N6145" t="str">
        <f t="shared" si="381"/>
        <v>High</v>
      </c>
      <c r="O6145" t="str">
        <f t="shared" si="382"/>
        <v>High Balance</v>
      </c>
      <c r="P6145" t="str">
        <f t="shared" si="383"/>
        <v>Long-term</v>
      </c>
    </row>
    <row r="6146" spans="1:16" x14ac:dyDescent="0.25">
      <c r="A6146">
        <v>2025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  <c r="M6146" t="str">
        <f t="shared" si="380"/>
        <v>46-60</v>
      </c>
      <c r="N6146" t="str">
        <f t="shared" si="381"/>
        <v>Medium</v>
      </c>
      <c r="O6146" t="str">
        <f t="shared" si="382"/>
        <v>High Balance</v>
      </c>
      <c r="P6146" t="str">
        <f t="shared" si="383"/>
        <v>New</v>
      </c>
    </row>
    <row r="6147" spans="1:16" x14ac:dyDescent="0.25">
      <c r="A6147">
        <v>2025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  <c r="M6147" t="str">
        <f t="shared" ref="M6147:M6210" si="384">IF(E6147&lt;30,"&lt;30",IF(E6147&lt;=45,"30-45",IF(E6147&lt;=60,"46-60","60+")))</f>
        <v>&lt;30</v>
      </c>
      <c r="N6147" t="str">
        <f t="shared" ref="N6147:N6210" si="385">IF(B6147&lt;500,"Low",IF(B6147&lt;700,"Medium","High"))</f>
        <v>Medium</v>
      </c>
      <c r="O6147" t="str">
        <f t="shared" ref="O6147:O6210" si="386">IF(G6147=0,"Zero Balance",IF(G6147&lt;100000,"Low Balance","High Balance"))</f>
        <v>Zero Balance</v>
      </c>
      <c r="P6147" t="str">
        <f t="shared" ref="P6147:P6210" si="387">IF(F6147&lt;=3,"New",IF(F6147&lt;=7,"Mid-term","Long-term"))</f>
        <v>Mid-term</v>
      </c>
    </row>
    <row r="6148" spans="1:16" x14ac:dyDescent="0.25">
      <c r="A6148">
        <v>2025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  <c r="M6148" t="str">
        <f t="shared" si="384"/>
        <v>30-45</v>
      </c>
      <c r="N6148" t="str">
        <f t="shared" si="385"/>
        <v>High</v>
      </c>
      <c r="O6148" t="str">
        <f t="shared" si="386"/>
        <v>High Balance</v>
      </c>
      <c r="P6148" t="str">
        <f t="shared" si="387"/>
        <v>New</v>
      </c>
    </row>
    <row r="6149" spans="1:16" x14ac:dyDescent="0.25">
      <c r="A6149">
        <v>2025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  <c r="M6149" t="str">
        <f t="shared" si="384"/>
        <v>30-45</v>
      </c>
      <c r="N6149" t="str">
        <f t="shared" si="385"/>
        <v>Medium</v>
      </c>
      <c r="O6149" t="str">
        <f t="shared" si="386"/>
        <v>High Balance</v>
      </c>
      <c r="P6149" t="str">
        <f t="shared" si="387"/>
        <v>New</v>
      </c>
    </row>
    <row r="6150" spans="1:16" x14ac:dyDescent="0.25">
      <c r="A6150">
        <v>2025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  <c r="M6150" t="str">
        <f t="shared" si="384"/>
        <v>30-45</v>
      </c>
      <c r="N6150" t="str">
        <f t="shared" si="385"/>
        <v>Medium</v>
      </c>
      <c r="O6150" t="str">
        <f t="shared" si="386"/>
        <v>Low Balance</v>
      </c>
      <c r="P6150" t="str">
        <f t="shared" si="387"/>
        <v>Long-term</v>
      </c>
    </row>
    <row r="6151" spans="1:16" x14ac:dyDescent="0.25">
      <c r="A6151">
        <v>2025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  <c r="M6151" t="str">
        <f t="shared" si="384"/>
        <v>30-45</v>
      </c>
      <c r="N6151" t="str">
        <f t="shared" si="385"/>
        <v>Medium</v>
      </c>
      <c r="O6151" t="str">
        <f t="shared" si="386"/>
        <v>Zero Balance</v>
      </c>
      <c r="P6151" t="str">
        <f t="shared" si="387"/>
        <v>Mid-term</v>
      </c>
    </row>
    <row r="6152" spans="1:16" x14ac:dyDescent="0.25">
      <c r="A6152">
        <v>2025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  <c r="M6152" t="str">
        <f t="shared" si="384"/>
        <v>30-45</v>
      </c>
      <c r="N6152" t="str">
        <f t="shared" si="385"/>
        <v>Medium</v>
      </c>
      <c r="O6152" t="str">
        <f t="shared" si="386"/>
        <v>High Balance</v>
      </c>
      <c r="P6152" t="str">
        <f t="shared" si="387"/>
        <v>Long-term</v>
      </c>
    </row>
    <row r="6153" spans="1:16" x14ac:dyDescent="0.25">
      <c r="A6153">
        <v>2025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  <c r="M6153" t="str">
        <f t="shared" si="384"/>
        <v>30-45</v>
      </c>
      <c r="N6153" t="str">
        <f t="shared" si="385"/>
        <v>High</v>
      </c>
      <c r="O6153" t="str">
        <f t="shared" si="386"/>
        <v>Low Balance</v>
      </c>
      <c r="P6153" t="str">
        <f t="shared" si="387"/>
        <v>Long-term</v>
      </c>
    </row>
    <row r="6154" spans="1:16" x14ac:dyDescent="0.25">
      <c r="A6154">
        <v>2025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  <c r="M6154" t="str">
        <f t="shared" si="384"/>
        <v>60+</v>
      </c>
      <c r="N6154" t="str">
        <f t="shared" si="385"/>
        <v>Medium</v>
      </c>
      <c r="O6154" t="str">
        <f t="shared" si="386"/>
        <v>Zero Balance</v>
      </c>
      <c r="P6154" t="str">
        <f t="shared" si="387"/>
        <v>New</v>
      </c>
    </row>
    <row r="6155" spans="1:16" x14ac:dyDescent="0.25">
      <c r="A6155">
        <v>2025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  <c r="M6155" t="str">
        <f t="shared" si="384"/>
        <v>30-45</v>
      </c>
      <c r="N6155" t="str">
        <f t="shared" si="385"/>
        <v>Medium</v>
      </c>
      <c r="O6155" t="str">
        <f t="shared" si="386"/>
        <v>High Balance</v>
      </c>
      <c r="P6155" t="str">
        <f t="shared" si="387"/>
        <v>Mid-term</v>
      </c>
    </row>
    <row r="6156" spans="1:16" x14ac:dyDescent="0.25">
      <c r="A6156">
        <v>2025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  <c r="M6156" t="str">
        <f t="shared" si="384"/>
        <v>30-45</v>
      </c>
      <c r="N6156" t="str">
        <f t="shared" si="385"/>
        <v>High</v>
      </c>
      <c r="O6156" t="str">
        <f t="shared" si="386"/>
        <v>High Balance</v>
      </c>
      <c r="P6156" t="str">
        <f t="shared" si="387"/>
        <v>New</v>
      </c>
    </row>
    <row r="6157" spans="1:16" x14ac:dyDescent="0.25">
      <c r="A6157">
        <v>2025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  <c r="M6157" t="str">
        <f t="shared" si="384"/>
        <v>&lt;30</v>
      </c>
      <c r="N6157" t="str">
        <f t="shared" si="385"/>
        <v>High</v>
      </c>
      <c r="O6157" t="str">
        <f t="shared" si="386"/>
        <v>Zero Balance</v>
      </c>
      <c r="P6157" t="str">
        <f t="shared" si="387"/>
        <v>Mid-term</v>
      </c>
    </row>
    <row r="6158" spans="1:16" x14ac:dyDescent="0.25">
      <c r="A6158">
        <v>2025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  <c r="M6158" t="str">
        <f t="shared" si="384"/>
        <v>30-45</v>
      </c>
      <c r="N6158" t="str">
        <f t="shared" si="385"/>
        <v>High</v>
      </c>
      <c r="O6158" t="str">
        <f t="shared" si="386"/>
        <v>Zero Balance</v>
      </c>
      <c r="P6158" t="str">
        <f t="shared" si="387"/>
        <v>Long-term</v>
      </c>
    </row>
    <row r="6159" spans="1:16" x14ac:dyDescent="0.25">
      <c r="A6159">
        <v>2025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  <c r="M6159" t="str">
        <f t="shared" si="384"/>
        <v>&lt;30</v>
      </c>
      <c r="N6159" t="str">
        <f t="shared" si="385"/>
        <v>Medium</v>
      </c>
      <c r="O6159" t="str">
        <f t="shared" si="386"/>
        <v>Zero Balance</v>
      </c>
      <c r="P6159" t="str">
        <f t="shared" si="387"/>
        <v>New</v>
      </c>
    </row>
    <row r="6160" spans="1:16" x14ac:dyDescent="0.25">
      <c r="A6160">
        <v>2025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  <c r="M6160" t="str">
        <f t="shared" si="384"/>
        <v>30-45</v>
      </c>
      <c r="N6160" t="str">
        <f t="shared" si="385"/>
        <v>Medium</v>
      </c>
      <c r="O6160" t="str">
        <f t="shared" si="386"/>
        <v>High Balance</v>
      </c>
      <c r="P6160" t="str">
        <f t="shared" si="387"/>
        <v>New</v>
      </c>
    </row>
    <row r="6161" spans="1:16" x14ac:dyDescent="0.25">
      <c r="A6161">
        <v>2025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  <c r="M6161" t="str">
        <f t="shared" si="384"/>
        <v>&lt;30</v>
      </c>
      <c r="N6161" t="str">
        <f t="shared" si="385"/>
        <v>High</v>
      </c>
      <c r="O6161" t="str">
        <f t="shared" si="386"/>
        <v>High Balance</v>
      </c>
      <c r="P6161" t="str">
        <f t="shared" si="387"/>
        <v>Mid-term</v>
      </c>
    </row>
    <row r="6162" spans="1:16" x14ac:dyDescent="0.25">
      <c r="A6162">
        <v>2025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  <c r="M6162" t="str">
        <f t="shared" si="384"/>
        <v>&lt;30</v>
      </c>
      <c r="N6162" t="str">
        <f t="shared" si="385"/>
        <v>Medium</v>
      </c>
      <c r="O6162" t="str">
        <f t="shared" si="386"/>
        <v>Zero Balance</v>
      </c>
      <c r="P6162" t="str">
        <f t="shared" si="387"/>
        <v>New</v>
      </c>
    </row>
    <row r="6163" spans="1:16" x14ac:dyDescent="0.25">
      <c r="A6163">
        <v>2025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  <c r="M6163" t="str">
        <f t="shared" si="384"/>
        <v>30-45</v>
      </c>
      <c r="N6163" t="str">
        <f t="shared" si="385"/>
        <v>Medium</v>
      </c>
      <c r="O6163" t="str">
        <f t="shared" si="386"/>
        <v>Zero Balance</v>
      </c>
      <c r="P6163" t="str">
        <f t="shared" si="387"/>
        <v>Long-term</v>
      </c>
    </row>
    <row r="6164" spans="1:16" x14ac:dyDescent="0.25">
      <c r="A6164">
        <v>2025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  <c r="M6164" t="str">
        <f t="shared" si="384"/>
        <v>30-45</v>
      </c>
      <c r="N6164" t="str">
        <f t="shared" si="385"/>
        <v>High</v>
      </c>
      <c r="O6164" t="str">
        <f t="shared" si="386"/>
        <v>Low Balance</v>
      </c>
      <c r="P6164" t="str">
        <f t="shared" si="387"/>
        <v>Mid-term</v>
      </c>
    </row>
    <row r="6165" spans="1:16" x14ac:dyDescent="0.25">
      <c r="A6165">
        <v>2025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  <c r="M6165" t="str">
        <f t="shared" si="384"/>
        <v>&lt;30</v>
      </c>
      <c r="N6165" t="str">
        <f t="shared" si="385"/>
        <v>Low</v>
      </c>
      <c r="O6165" t="str">
        <f t="shared" si="386"/>
        <v>High Balance</v>
      </c>
      <c r="P6165" t="str">
        <f t="shared" si="387"/>
        <v>Mid-term</v>
      </c>
    </row>
    <row r="6166" spans="1:16" x14ac:dyDescent="0.25">
      <c r="A6166">
        <v>2025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  <c r="M6166" t="str">
        <f t="shared" si="384"/>
        <v>46-60</v>
      </c>
      <c r="N6166" t="str">
        <f t="shared" si="385"/>
        <v>High</v>
      </c>
      <c r="O6166" t="str">
        <f t="shared" si="386"/>
        <v>High Balance</v>
      </c>
      <c r="P6166" t="str">
        <f t="shared" si="387"/>
        <v>Mid-term</v>
      </c>
    </row>
    <row r="6167" spans="1:16" x14ac:dyDescent="0.25">
      <c r="A6167">
        <v>2025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  <c r="M6167" t="str">
        <f t="shared" si="384"/>
        <v>30-45</v>
      </c>
      <c r="N6167" t="str">
        <f t="shared" si="385"/>
        <v>Medium</v>
      </c>
      <c r="O6167" t="str">
        <f t="shared" si="386"/>
        <v>Zero Balance</v>
      </c>
      <c r="P6167" t="str">
        <f t="shared" si="387"/>
        <v>Long-term</v>
      </c>
    </row>
    <row r="6168" spans="1:16" x14ac:dyDescent="0.25">
      <c r="A6168">
        <v>2025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  <c r="M6168" t="str">
        <f t="shared" si="384"/>
        <v>60+</v>
      </c>
      <c r="N6168" t="str">
        <f t="shared" si="385"/>
        <v>High</v>
      </c>
      <c r="O6168" t="str">
        <f t="shared" si="386"/>
        <v>High Balance</v>
      </c>
      <c r="P6168" t="str">
        <f t="shared" si="387"/>
        <v>New</v>
      </c>
    </row>
    <row r="6169" spans="1:16" x14ac:dyDescent="0.25">
      <c r="A6169">
        <v>2025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  <c r="M6169" t="str">
        <f t="shared" si="384"/>
        <v>60+</v>
      </c>
      <c r="N6169" t="str">
        <f t="shared" si="385"/>
        <v>Medium</v>
      </c>
      <c r="O6169" t="str">
        <f t="shared" si="386"/>
        <v>High Balance</v>
      </c>
      <c r="P6169" t="str">
        <f t="shared" si="387"/>
        <v>Mid-term</v>
      </c>
    </row>
    <row r="6170" spans="1:16" x14ac:dyDescent="0.25">
      <c r="A6170">
        <v>2025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  <c r="M6170" t="str">
        <f t="shared" si="384"/>
        <v>&lt;30</v>
      </c>
      <c r="N6170" t="str">
        <f t="shared" si="385"/>
        <v>Medium</v>
      </c>
      <c r="O6170" t="str">
        <f t="shared" si="386"/>
        <v>High Balance</v>
      </c>
      <c r="P6170" t="str">
        <f t="shared" si="387"/>
        <v>Long-term</v>
      </c>
    </row>
    <row r="6171" spans="1:16" x14ac:dyDescent="0.25">
      <c r="A6171">
        <v>2025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  <c r="M6171" t="str">
        <f t="shared" si="384"/>
        <v>&lt;30</v>
      </c>
      <c r="N6171" t="str">
        <f t="shared" si="385"/>
        <v>Medium</v>
      </c>
      <c r="O6171" t="str">
        <f t="shared" si="386"/>
        <v>Zero Balance</v>
      </c>
      <c r="P6171" t="str">
        <f t="shared" si="387"/>
        <v>Long-term</v>
      </c>
    </row>
    <row r="6172" spans="1:16" x14ac:dyDescent="0.25">
      <c r="A6172">
        <v>2025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  <c r="M6172" t="str">
        <f t="shared" si="384"/>
        <v>30-45</v>
      </c>
      <c r="N6172" t="str">
        <f t="shared" si="385"/>
        <v>High</v>
      </c>
      <c r="O6172" t="str">
        <f t="shared" si="386"/>
        <v>Low Balance</v>
      </c>
      <c r="P6172" t="str">
        <f t="shared" si="387"/>
        <v>New</v>
      </c>
    </row>
    <row r="6173" spans="1:16" x14ac:dyDescent="0.25">
      <c r="A6173">
        <v>2025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  <c r="M6173" t="str">
        <f t="shared" si="384"/>
        <v>60+</v>
      </c>
      <c r="N6173" t="str">
        <f t="shared" si="385"/>
        <v>Medium</v>
      </c>
      <c r="O6173" t="str">
        <f t="shared" si="386"/>
        <v>High Balance</v>
      </c>
      <c r="P6173" t="str">
        <f t="shared" si="387"/>
        <v>New</v>
      </c>
    </row>
    <row r="6174" spans="1:16" x14ac:dyDescent="0.25">
      <c r="A6174">
        <v>2025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  <c r="M6174" t="str">
        <f t="shared" si="384"/>
        <v>30-45</v>
      </c>
      <c r="N6174" t="str">
        <f t="shared" si="385"/>
        <v>Medium</v>
      </c>
      <c r="O6174" t="str">
        <f t="shared" si="386"/>
        <v>Low Balance</v>
      </c>
      <c r="P6174" t="str">
        <f t="shared" si="387"/>
        <v>Mid-term</v>
      </c>
    </row>
    <row r="6175" spans="1:16" x14ac:dyDescent="0.25">
      <c r="A6175">
        <v>2025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  <c r="M6175" t="str">
        <f t="shared" si="384"/>
        <v>60+</v>
      </c>
      <c r="N6175" t="str">
        <f t="shared" si="385"/>
        <v>High</v>
      </c>
      <c r="O6175" t="str">
        <f t="shared" si="386"/>
        <v>Zero Balance</v>
      </c>
      <c r="P6175" t="str">
        <f t="shared" si="387"/>
        <v>New</v>
      </c>
    </row>
    <row r="6176" spans="1:16" x14ac:dyDescent="0.25">
      <c r="A6176">
        <v>2025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  <c r="M6176" t="str">
        <f t="shared" si="384"/>
        <v>&lt;30</v>
      </c>
      <c r="N6176" t="str">
        <f t="shared" si="385"/>
        <v>Medium</v>
      </c>
      <c r="O6176" t="str">
        <f t="shared" si="386"/>
        <v>High Balance</v>
      </c>
      <c r="P6176" t="str">
        <f t="shared" si="387"/>
        <v>New</v>
      </c>
    </row>
    <row r="6177" spans="1:16" x14ac:dyDescent="0.25">
      <c r="A6177">
        <v>2025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  <c r="M6177" t="str">
        <f t="shared" si="384"/>
        <v>30-45</v>
      </c>
      <c r="N6177" t="str">
        <f t="shared" si="385"/>
        <v>Medium</v>
      </c>
      <c r="O6177" t="str">
        <f t="shared" si="386"/>
        <v>Zero Balance</v>
      </c>
      <c r="P6177" t="str">
        <f t="shared" si="387"/>
        <v>Mid-term</v>
      </c>
    </row>
    <row r="6178" spans="1:16" x14ac:dyDescent="0.25">
      <c r="A6178">
        <v>2025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  <c r="M6178" t="str">
        <f t="shared" si="384"/>
        <v>30-45</v>
      </c>
      <c r="N6178" t="str">
        <f t="shared" si="385"/>
        <v>Medium</v>
      </c>
      <c r="O6178" t="str">
        <f t="shared" si="386"/>
        <v>High Balance</v>
      </c>
      <c r="P6178" t="str">
        <f t="shared" si="387"/>
        <v>Long-term</v>
      </c>
    </row>
    <row r="6179" spans="1:16" x14ac:dyDescent="0.25">
      <c r="A6179">
        <v>2025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  <c r="M6179" t="str">
        <f t="shared" si="384"/>
        <v>30-45</v>
      </c>
      <c r="N6179" t="str">
        <f t="shared" si="385"/>
        <v>High</v>
      </c>
      <c r="O6179" t="str">
        <f t="shared" si="386"/>
        <v>High Balance</v>
      </c>
      <c r="P6179" t="str">
        <f t="shared" si="387"/>
        <v>New</v>
      </c>
    </row>
    <row r="6180" spans="1:16" x14ac:dyDescent="0.25">
      <c r="A6180">
        <v>2025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  <c r="M6180" t="str">
        <f t="shared" si="384"/>
        <v>30-45</v>
      </c>
      <c r="N6180" t="str">
        <f t="shared" si="385"/>
        <v>High</v>
      </c>
      <c r="O6180" t="str">
        <f t="shared" si="386"/>
        <v>Low Balance</v>
      </c>
      <c r="P6180" t="str">
        <f t="shared" si="387"/>
        <v>Mid-term</v>
      </c>
    </row>
    <row r="6181" spans="1:16" x14ac:dyDescent="0.25">
      <c r="A6181">
        <v>2025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  <c r="M6181" t="str">
        <f t="shared" si="384"/>
        <v>30-45</v>
      </c>
      <c r="N6181" t="str">
        <f t="shared" si="385"/>
        <v>Medium</v>
      </c>
      <c r="O6181" t="str">
        <f t="shared" si="386"/>
        <v>High Balance</v>
      </c>
      <c r="P6181" t="str">
        <f t="shared" si="387"/>
        <v>Mid-term</v>
      </c>
    </row>
    <row r="6182" spans="1:16" x14ac:dyDescent="0.25">
      <c r="A6182">
        <v>2025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  <c r="M6182" t="str">
        <f t="shared" si="384"/>
        <v>30-45</v>
      </c>
      <c r="N6182" t="str">
        <f t="shared" si="385"/>
        <v>Medium</v>
      </c>
      <c r="O6182" t="str">
        <f t="shared" si="386"/>
        <v>Zero Balance</v>
      </c>
      <c r="P6182" t="str">
        <f t="shared" si="387"/>
        <v>Mid-term</v>
      </c>
    </row>
    <row r="6183" spans="1:16" x14ac:dyDescent="0.25">
      <c r="A6183">
        <v>2025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  <c r="M6183" t="str">
        <f t="shared" si="384"/>
        <v>30-45</v>
      </c>
      <c r="N6183" t="str">
        <f t="shared" si="385"/>
        <v>Medium</v>
      </c>
      <c r="O6183" t="str">
        <f t="shared" si="386"/>
        <v>High Balance</v>
      </c>
      <c r="P6183" t="str">
        <f t="shared" si="387"/>
        <v>Long-term</v>
      </c>
    </row>
    <row r="6184" spans="1:16" x14ac:dyDescent="0.25">
      <c r="A6184">
        <v>2025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  <c r="M6184" t="str">
        <f t="shared" si="384"/>
        <v>30-45</v>
      </c>
      <c r="N6184" t="str">
        <f t="shared" si="385"/>
        <v>High</v>
      </c>
      <c r="O6184" t="str">
        <f t="shared" si="386"/>
        <v>Zero Balance</v>
      </c>
      <c r="P6184" t="str">
        <f t="shared" si="387"/>
        <v>Long-term</v>
      </c>
    </row>
    <row r="6185" spans="1:16" x14ac:dyDescent="0.25">
      <c r="A6185">
        <v>2025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  <c r="M6185" t="str">
        <f t="shared" si="384"/>
        <v>46-60</v>
      </c>
      <c r="N6185" t="str">
        <f t="shared" si="385"/>
        <v>Medium</v>
      </c>
      <c r="O6185" t="str">
        <f t="shared" si="386"/>
        <v>Low Balance</v>
      </c>
      <c r="P6185" t="str">
        <f t="shared" si="387"/>
        <v>New</v>
      </c>
    </row>
    <row r="6186" spans="1:16" x14ac:dyDescent="0.25">
      <c r="A6186">
        <v>2025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  <c r="M6186" t="str">
        <f t="shared" si="384"/>
        <v>46-60</v>
      </c>
      <c r="N6186" t="str">
        <f t="shared" si="385"/>
        <v>High</v>
      </c>
      <c r="O6186" t="str">
        <f t="shared" si="386"/>
        <v>High Balance</v>
      </c>
      <c r="P6186" t="str">
        <f t="shared" si="387"/>
        <v>Mid-term</v>
      </c>
    </row>
    <row r="6187" spans="1:16" x14ac:dyDescent="0.25">
      <c r="A6187">
        <v>2025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  <c r="M6187" t="str">
        <f t="shared" si="384"/>
        <v>30-45</v>
      </c>
      <c r="N6187" t="str">
        <f t="shared" si="385"/>
        <v>Medium</v>
      </c>
      <c r="O6187" t="str">
        <f t="shared" si="386"/>
        <v>High Balance</v>
      </c>
      <c r="P6187" t="str">
        <f t="shared" si="387"/>
        <v>Mid-term</v>
      </c>
    </row>
    <row r="6188" spans="1:16" x14ac:dyDescent="0.25">
      <c r="A6188">
        <v>2025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  <c r="M6188" t="str">
        <f t="shared" si="384"/>
        <v>30-45</v>
      </c>
      <c r="N6188" t="str">
        <f t="shared" si="385"/>
        <v>Medium</v>
      </c>
      <c r="O6188" t="str">
        <f t="shared" si="386"/>
        <v>Zero Balance</v>
      </c>
      <c r="P6188" t="str">
        <f t="shared" si="387"/>
        <v>Mid-term</v>
      </c>
    </row>
    <row r="6189" spans="1:16" x14ac:dyDescent="0.25">
      <c r="A6189">
        <v>2025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  <c r="M6189" t="str">
        <f t="shared" si="384"/>
        <v>30-45</v>
      </c>
      <c r="N6189" t="str">
        <f t="shared" si="385"/>
        <v>High</v>
      </c>
      <c r="O6189" t="str">
        <f t="shared" si="386"/>
        <v>High Balance</v>
      </c>
      <c r="P6189" t="str">
        <f t="shared" si="387"/>
        <v>New</v>
      </c>
    </row>
    <row r="6190" spans="1:16" x14ac:dyDescent="0.25">
      <c r="A6190">
        <v>2025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  <c r="M6190" t="str">
        <f t="shared" si="384"/>
        <v>46-60</v>
      </c>
      <c r="N6190" t="str">
        <f t="shared" si="385"/>
        <v>High</v>
      </c>
      <c r="O6190" t="str">
        <f t="shared" si="386"/>
        <v>High Balance</v>
      </c>
      <c r="P6190" t="str">
        <f t="shared" si="387"/>
        <v>Mid-term</v>
      </c>
    </row>
    <row r="6191" spans="1:16" x14ac:dyDescent="0.25">
      <c r="A6191">
        <v>2025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  <c r="M6191" t="str">
        <f t="shared" si="384"/>
        <v>30-45</v>
      </c>
      <c r="N6191" t="str">
        <f t="shared" si="385"/>
        <v>High</v>
      </c>
      <c r="O6191" t="str">
        <f t="shared" si="386"/>
        <v>High Balance</v>
      </c>
      <c r="P6191" t="str">
        <f t="shared" si="387"/>
        <v>New</v>
      </c>
    </row>
    <row r="6192" spans="1:16" x14ac:dyDescent="0.25">
      <c r="A6192">
        <v>2025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  <c r="M6192" t="str">
        <f t="shared" si="384"/>
        <v>30-45</v>
      </c>
      <c r="N6192" t="str">
        <f t="shared" si="385"/>
        <v>Medium</v>
      </c>
      <c r="O6192" t="str">
        <f t="shared" si="386"/>
        <v>High Balance</v>
      </c>
      <c r="P6192" t="str">
        <f t="shared" si="387"/>
        <v>Mid-term</v>
      </c>
    </row>
    <row r="6193" spans="1:16" x14ac:dyDescent="0.25">
      <c r="A6193">
        <v>2025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  <c r="M6193" t="str">
        <f t="shared" si="384"/>
        <v>&lt;30</v>
      </c>
      <c r="N6193" t="str">
        <f t="shared" si="385"/>
        <v>Medium</v>
      </c>
      <c r="O6193" t="str">
        <f t="shared" si="386"/>
        <v>Zero Balance</v>
      </c>
      <c r="P6193" t="str">
        <f t="shared" si="387"/>
        <v>New</v>
      </c>
    </row>
    <row r="6194" spans="1:16" x14ac:dyDescent="0.25">
      <c r="A6194">
        <v>2025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  <c r="M6194" t="str">
        <f t="shared" si="384"/>
        <v>30-45</v>
      </c>
      <c r="N6194" t="str">
        <f t="shared" si="385"/>
        <v>Medium</v>
      </c>
      <c r="O6194" t="str">
        <f t="shared" si="386"/>
        <v>Zero Balance</v>
      </c>
      <c r="P6194" t="str">
        <f t="shared" si="387"/>
        <v>Mid-term</v>
      </c>
    </row>
    <row r="6195" spans="1:16" x14ac:dyDescent="0.25">
      <c r="A6195">
        <v>2025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  <c r="M6195" t="str">
        <f t="shared" si="384"/>
        <v>&lt;30</v>
      </c>
      <c r="N6195" t="str">
        <f t="shared" si="385"/>
        <v>Medium</v>
      </c>
      <c r="O6195" t="str">
        <f t="shared" si="386"/>
        <v>Low Balance</v>
      </c>
      <c r="P6195" t="str">
        <f t="shared" si="387"/>
        <v>New</v>
      </c>
    </row>
    <row r="6196" spans="1:16" x14ac:dyDescent="0.25">
      <c r="A6196">
        <v>2025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  <c r="M6196" t="str">
        <f t="shared" si="384"/>
        <v>46-60</v>
      </c>
      <c r="N6196" t="str">
        <f t="shared" si="385"/>
        <v>Medium</v>
      </c>
      <c r="O6196" t="str">
        <f t="shared" si="386"/>
        <v>Low Balance</v>
      </c>
      <c r="P6196" t="str">
        <f t="shared" si="387"/>
        <v>New</v>
      </c>
    </row>
    <row r="6197" spans="1:16" x14ac:dyDescent="0.25">
      <c r="A6197">
        <v>2025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  <c r="M6197" t="str">
        <f t="shared" si="384"/>
        <v>30-45</v>
      </c>
      <c r="N6197" t="str">
        <f t="shared" si="385"/>
        <v>Medium</v>
      </c>
      <c r="O6197" t="str">
        <f t="shared" si="386"/>
        <v>Zero Balance</v>
      </c>
      <c r="P6197" t="str">
        <f t="shared" si="387"/>
        <v>Mid-term</v>
      </c>
    </row>
    <row r="6198" spans="1:16" x14ac:dyDescent="0.25">
      <c r="A6198">
        <v>2025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  <c r="M6198" t="str">
        <f t="shared" si="384"/>
        <v>&lt;30</v>
      </c>
      <c r="N6198" t="str">
        <f t="shared" si="385"/>
        <v>Medium</v>
      </c>
      <c r="O6198" t="str">
        <f t="shared" si="386"/>
        <v>Low Balance</v>
      </c>
      <c r="P6198" t="str">
        <f t="shared" si="387"/>
        <v>Mid-term</v>
      </c>
    </row>
    <row r="6199" spans="1:16" x14ac:dyDescent="0.25">
      <c r="A6199">
        <v>2025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  <c r="M6199" t="str">
        <f t="shared" si="384"/>
        <v>46-60</v>
      </c>
      <c r="N6199" t="str">
        <f t="shared" si="385"/>
        <v>Medium</v>
      </c>
      <c r="O6199" t="str">
        <f t="shared" si="386"/>
        <v>High Balance</v>
      </c>
      <c r="P6199" t="str">
        <f t="shared" si="387"/>
        <v>New</v>
      </c>
    </row>
    <row r="6200" spans="1:16" x14ac:dyDescent="0.25">
      <c r="A6200">
        <v>2025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  <c r="M6200" t="str">
        <f t="shared" si="384"/>
        <v>30-45</v>
      </c>
      <c r="N6200" t="str">
        <f t="shared" si="385"/>
        <v>Medium</v>
      </c>
      <c r="O6200" t="str">
        <f t="shared" si="386"/>
        <v>High Balance</v>
      </c>
      <c r="P6200" t="str">
        <f t="shared" si="387"/>
        <v>New</v>
      </c>
    </row>
    <row r="6201" spans="1:16" x14ac:dyDescent="0.25">
      <c r="A6201">
        <v>2025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  <c r="M6201" t="str">
        <f t="shared" si="384"/>
        <v>30-45</v>
      </c>
      <c r="N6201" t="str">
        <f t="shared" si="385"/>
        <v>Low</v>
      </c>
      <c r="O6201" t="str">
        <f t="shared" si="386"/>
        <v>Zero Balance</v>
      </c>
      <c r="P6201" t="str">
        <f t="shared" si="387"/>
        <v>Long-term</v>
      </c>
    </row>
    <row r="6202" spans="1:16" x14ac:dyDescent="0.25">
      <c r="A6202">
        <v>2025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  <c r="M6202" t="str">
        <f t="shared" si="384"/>
        <v>30-45</v>
      </c>
      <c r="N6202" t="str">
        <f t="shared" si="385"/>
        <v>High</v>
      </c>
      <c r="O6202" t="str">
        <f t="shared" si="386"/>
        <v>Low Balance</v>
      </c>
      <c r="P6202" t="str">
        <f t="shared" si="387"/>
        <v>New</v>
      </c>
    </row>
    <row r="6203" spans="1:16" x14ac:dyDescent="0.25">
      <c r="A6203">
        <v>2025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  <c r="M6203" t="str">
        <f t="shared" si="384"/>
        <v>30-45</v>
      </c>
      <c r="N6203" t="str">
        <f t="shared" si="385"/>
        <v>Medium</v>
      </c>
      <c r="O6203" t="str">
        <f t="shared" si="386"/>
        <v>Zero Balance</v>
      </c>
      <c r="P6203" t="str">
        <f t="shared" si="387"/>
        <v>Mid-term</v>
      </c>
    </row>
    <row r="6204" spans="1:16" x14ac:dyDescent="0.25">
      <c r="A6204">
        <v>2025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  <c r="M6204" t="str">
        <f t="shared" si="384"/>
        <v>46-60</v>
      </c>
      <c r="N6204" t="str">
        <f t="shared" si="385"/>
        <v>Medium</v>
      </c>
      <c r="O6204" t="str">
        <f t="shared" si="386"/>
        <v>High Balance</v>
      </c>
      <c r="P6204" t="str">
        <f t="shared" si="387"/>
        <v>Long-term</v>
      </c>
    </row>
    <row r="6205" spans="1:16" x14ac:dyDescent="0.25">
      <c r="A6205">
        <v>2025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  <c r="M6205" t="str">
        <f t="shared" si="384"/>
        <v>46-60</v>
      </c>
      <c r="N6205" t="str">
        <f t="shared" si="385"/>
        <v>Medium</v>
      </c>
      <c r="O6205" t="str">
        <f t="shared" si="386"/>
        <v>Zero Balance</v>
      </c>
      <c r="P6205" t="str">
        <f t="shared" si="387"/>
        <v>New</v>
      </c>
    </row>
    <row r="6206" spans="1:16" x14ac:dyDescent="0.25">
      <c r="A6206">
        <v>2025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  <c r="M6206" t="str">
        <f t="shared" si="384"/>
        <v>30-45</v>
      </c>
      <c r="N6206" t="str">
        <f t="shared" si="385"/>
        <v>Low</v>
      </c>
      <c r="O6206" t="str">
        <f t="shared" si="386"/>
        <v>High Balance</v>
      </c>
      <c r="P6206" t="str">
        <f t="shared" si="387"/>
        <v>New</v>
      </c>
    </row>
    <row r="6207" spans="1:16" x14ac:dyDescent="0.25">
      <c r="A6207">
        <v>2025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  <c r="M6207" t="str">
        <f t="shared" si="384"/>
        <v>&lt;30</v>
      </c>
      <c r="N6207" t="str">
        <f t="shared" si="385"/>
        <v>Low</v>
      </c>
      <c r="O6207" t="str">
        <f t="shared" si="386"/>
        <v>Low Balance</v>
      </c>
      <c r="P6207" t="str">
        <f t="shared" si="387"/>
        <v>Mid-term</v>
      </c>
    </row>
    <row r="6208" spans="1:16" x14ac:dyDescent="0.25">
      <c r="A6208">
        <v>2025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  <c r="M6208" t="str">
        <f t="shared" si="384"/>
        <v>46-60</v>
      </c>
      <c r="N6208" t="str">
        <f t="shared" si="385"/>
        <v>High</v>
      </c>
      <c r="O6208" t="str">
        <f t="shared" si="386"/>
        <v>Zero Balance</v>
      </c>
      <c r="P6208" t="str">
        <f t="shared" si="387"/>
        <v>Mid-term</v>
      </c>
    </row>
    <row r="6209" spans="1:16" x14ac:dyDescent="0.25">
      <c r="A6209">
        <v>2025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  <c r="M6209" t="str">
        <f t="shared" si="384"/>
        <v>30-45</v>
      </c>
      <c r="N6209" t="str">
        <f t="shared" si="385"/>
        <v>Medium</v>
      </c>
      <c r="O6209" t="str">
        <f t="shared" si="386"/>
        <v>High Balance</v>
      </c>
      <c r="P6209" t="str">
        <f t="shared" si="387"/>
        <v>Long-term</v>
      </c>
    </row>
    <row r="6210" spans="1:16" x14ac:dyDescent="0.25">
      <c r="A6210">
        <v>2025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  <c r="M6210" t="str">
        <f t="shared" si="384"/>
        <v>30-45</v>
      </c>
      <c r="N6210" t="str">
        <f t="shared" si="385"/>
        <v>High</v>
      </c>
      <c r="O6210" t="str">
        <f t="shared" si="386"/>
        <v>Zero Balance</v>
      </c>
      <c r="P6210" t="str">
        <f t="shared" si="387"/>
        <v>Long-term</v>
      </c>
    </row>
    <row r="6211" spans="1:16" x14ac:dyDescent="0.25">
      <c r="A6211">
        <v>2025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  <c r="M6211" t="str">
        <f t="shared" ref="M6211:M6274" si="388">IF(E6211&lt;30,"&lt;30",IF(E6211&lt;=45,"30-45",IF(E6211&lt;=60,"46-60","60+")))</f>
        <v>30-45</v>
      </c>
      <c r="N6211" t="str">
        <f t="shared" ref="N6211:N6274" si="389">IF(B6211&lt;500,"Low",IF(B6211&lt;700,"Medium","High"))</f>
        <v>Medium</v>
      </c>
      <c r="O6211" t="str">
        <f t="shared" ref="O6211:O6274" si="390">IF(G6211=0,"Zero Balance",IF(G6211&lt;100000,"Low Balance","High Balance"))</f>
        <v>Low Balance</v>
      </c>
      <c r="P6211" t="str">
        <f t="shared" ref="P6211:P6274" si="391">IF(F6211&lt;=3,"New",IF(F6211&lt;=7,"Mid-term","Long-term"))</f>
        <v>Long-term</v>
      </c>
    </row>
    <row r="6212" spans="1:16" x14ac:dyDescent="0.25">
      <c r="A6212">
        <v>2025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  <c r="M6212" t="str">
        <f t="shared" si="388"/>
        <v>30-45</v>
      </c>
      <c r="N6212" t="str">
        <f t="shared" si="389"/>
        <v>Medium</v>
      </c>
      <c r="O6212" t="str">
        <f t="shared" si="390"/>
        <v>Zero Balance</v>
      </c>
      <c r="P6212" t="str">
        <f t="shared" si="391"/>
        <v>New</v>
      </c>
    </row>
    <row r="6213" spans="1:16" x14ac:dyDescent="0.25">
      <c r="A6213">
        <v>2025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  <c r="M6213" t="str">
        <f t="shared" si="388"/>
        <v>30-45</v>
      </c>
      <c r="N6213" t="str">
        <f t="shared" si="389"/>
        <v>Medium</v>
      </c>
      <c r="O6213" t="str">
        <f t="shared" si="390"/>
        <v>High Balance</v>
      </c>
      <c r="P6213" t="str">
        <f t="shared" si="391"/>
        <v>Mid-term</v>
      </c>
    </row>
    <row r="6214" spans="1:16" x14ac:dyDescent="0.25">
      <c r="A6214">
        <v>2025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  <c r="M6214" t="str">
        <f t="shared" si="388"/>
        <v>60+</v>
      </c>
      <c r="N6214" t="str">
        <f t="shared" si="389"/>
        <v>High</v>
      </c>
      <c r="O6214" t="str">
        <f t="shared" si="390"/>
        <v>Zero Balance</v>
      </c>
      <c r="P6214" t="str">
        <f t="shared" si="391"/>
        <v>New</v>
      </c>
    </row>
    <row r="6215" spans="1:16" x14ac:dyDescent="0.25">
      <c r="A6215">
        <v>2025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  <c r="M6215" t="str">
        <f t="shared" si="388"/>
        <v>30-45</v>
      </c>
      <c r="N6215" t="str">
        <f t="shared" si="389"/>
        <v>Medium</v>
      </c>
      <c r="O6215" t="str">
        <f t="shared" si="390"/>
        <v>Low Balance</v>
      </c>
      <c r="P6215" t="str">
        <f t="shared" si="391"/>
        <v>Mid-term</v>
      </c>
    </row>
    <row r="6216" spans="1:16" x14ac:dyDescent="0.25">
      <c r="A6216">
        <v>2025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  <c r="M6216" t="str">
        <f t="shared" si="388"/>
        <v>30-45</v>
      </c>
      <c r="N6216" t="str">
        <f t="shared" si="389"/>
        <v>Low</v>
      </c>
      <c r="O6216" t="str">
        <f t="shared" si="390"/>
        <v>High Balance</v>
      </c>
      <c r="P6216" t="str">
        <f t="shared" si="391"/>
        <v>Long-term</v>
      </c>
    </row>
    <row r="6217" spans="1:16" x14ac:dyDescent="0.25">
      <c r="A6217">
        <v>2025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  <c r="M6217" t="str">
        <f t="shared" si="388"/>
        <v>30-45</v>
      </c>
      <c r="N6217" t="str">
        <f t="shared" si="389"/>
        <v>Medium</v>
      </c>
      <c r="O6217" t="str">
        <f t="shared" si="390"/>
        <v>High Balance</v>
      </c>
      <c r="P6217" t="str">
        <f t="shared" si="391"/>
        <v>Mid-term</v>
      </c>
    </row>
    <row r="6218" spans="1:16" x14ac:dyDescent="0.25">
      <c r="A6218">
        <v>2025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  <c r="M6218" t="str">
        <f t="shared" si="388"/>
        <v>46-60</v>
      </c>
      <c r="N6218" t="str">
        <f t="shared" si="389"/>
        <v>Low</v>
      </c>
      <c r="O6218" t="str">
        <f t="shared" si="390"/>
        <v>Zero Balance</v>
      </c>
      <c r="P6218" t="str">
        <f t="shared" si="391"/>
        <v>New</v>
      </c>
    </row>
    <row r="6219" spans="1:16" x14ac:dyDescent="0.25">
      <c r="A6219">
        <v>2025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  <c r="M6219" t="str">
        <f t="shared" si="388"/>
        <v>30-45</v>
      </c>
      <c r="N6219" t="str">
        <f t="shared" si="389"/>
        <v>Medium</v>
      </c>
      <c r="O6219" t="str">
        <f t="shared" si="390"/>
        <v>Zero Balance</v>
      </c>
      <c r="P6219" t="str">
        <f t="shared" si="391"/>
        <v>New</v>
      </c>
    </row>
    <row r="6220" spans="1:16" x14ac:dyDescent="0.25">
      <c r="A6220">
        <v>2025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  <c r="M6220" t="str">
        <f t="shared" si="388"/>
        <v>30-45</v>
      </c>
      <c r="N6220" t="str">
        <f t="shared" si="389"/>
        <v>High</v>
      </c>
      <c r="O6220" t="str">
        <f t="shared" si="390"/>
        <v>Zero Balance</v>
      </c>
      <c r="P6220" t="str">
        <f t="shared" si="391"/>
        <v>Long-term</v>
      </c>
    </row>
    <row r="6221" spans="1:16" x14ac:dyDescent="0.25">
      <c r="A6221">
        <v>2025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  <c r="M6221" t="str">
        <f t="shared" si="388"/>
        <v>30-45</v>
      </c>
      <c r="N6221" t="str">
        <f t="shared" si="389"/>
        <v>Medium</v>
      </c>
      <c r="O6221" t="str">
        <f t="shared" si="390"/>
        <v>High Balance</v>
      </c>
      <c r="P6221" t="str">
        <f t="shared" si="391"/>
        <v>New</v>
      </c>
    </row>
    <row r="6222" spans="1:16" x14ac:dyDescent="0.25">
      <c r="A6222">
        <v>2025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  <c r="M6222" t="str">
        <f t="shared" si="388"/>
        <v>30-45</v>
      </c>
      <c r="N6222" t="str">
        <f t="shared" si="389"/>
        <v>High</v>
      </c>
      <c r="O6222" t="str">
        <f t="shared" si="390"/>
        <v>High Balance</v>
      </c>
      <c r="P6222" t="str">
        <f t="shared" si="391"/>
        <v>Long-term</v>
      </c>
    </row>
    <row r="6223" spans="1:16" x14ac:dyDescent="0.25">
      <c r="A6223">
        <v>2025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  <c r="M6223" t="str">
        <f t="shared" si="388"/>
        <v>30-45</v>
      </c>
      <c r="N6223" t="str">
        <f t="shared" si="389"/>
        <v>Medium</v>
      </c>
      <c r="O6223" t="str">
        <f t="shared" si="390"/>
        <v>High Balance</v>
      </c>
      <c r="P6223" t="str">
        <f t="shared" si="391"/>
        <v>New</v>
      </c>
    </row>
    <row r="6224" spans="1:16" x14ac:dyDescent="0.25">
      <c r="A6224">
        <v>2025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  <c r="M6224" t="str">
        <f t="shared" si="388"/>
        <v>30-45</v>
      </c>
      <c r="N6224" t="str">
        <f t="shared" si="389"/>
        <v>Medium</v>
      </c>
      <c r="O6224" t="str">
        <f t="shared" si="390"/>
        <v>Zero Balance</v>
      </c>
      <c r="P6224" t="str">
        <f t="shared" si="391"/>
        <v>New</v>
      </c>
    </row>
    <row r="6225" spans="1:16" x14ac:dyDescent="0.25">
      <c r="A6225">
        <v>2025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  <c r="M6225" t="str">
        <f t="shared" si="388"/>
        <v>30-45</v>
      </c>
      <c r="N6225" t="str">
        <f t="shared" si="389"/>
        <v>Medium</v>
      </c>
      <c r="O6225" t="str">
        <f t="shared" si="390"/>
        <v>Low Balance</v>
      </c>
      <c r="P6225" t="str">
        <f t="shared" si="391"/>
        <v>New</v>
      </c>
    </row>
    <row r="6226" spans="1:16" x14ac:dyDescent="0.25">
      <c r="A6226">
        <v>2025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  <c r="M6226" t="str">
        <f t="shared" si="388"/>
        <v>30-45</v>
      </c>
      <c r="N6226" t="str">
        <f t="shared" si="389"/>
        <v>High</v>
      </c>
      <c r="O6226" t="str">
        <f t="shared" si="390"/>
        <v>Zero Balance</v>
      </c>
      <c r="P6226" t="str">
        <f t="shared" si="391"/>
        <v>Long-term</v>
      </c>
    </row>
    <row r="6227" spans="1:16" x14ac:dyDescent="0.25">
      <c r="A6227">
        <v>2025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  <c r="M6227" t="str">
        <f t="shared" si="388"/>
        <v>30-45</v>
      </c>
      <c r="N6227" t="str">
        <f t="shared" si="389"/>
        <v>Medium</v>
      </c>
      <c r="O6227" t="str">
        <f t="shared" si="390"/>
        <v>High Balance</v>
      </c>
      <c r="P6227" t="str">
        <f t="shared" si="391"/>
        <v>Long-term</v>
      </c>
    </row>
    <row r="6228" spans="1:16" x14ac:dyDescent="0.25">
      <c r="A6228">
        <v>2025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  <c r="M6228" t="str">
        <f t="shared" si="388"/>
        <v>46-60</v>
      </c>
      <c r="N6228" t="str">
        <f t="shared" si="389"/>
        <v>High</v>
      </c>
      <c r="O6228" t="str">
        <f t="shared" si="390"/>
        <v>High Balance</v>
      </c>
      <c r="P6228" t="str">
        <f t="shared" si="391"/>
        <v>Mid-term</v>
      </c>
    </row>
    <row r="6229" spans="1:16" x14ac:dyDescent="0.25">
      <c r="A6229">
        <v>2025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  <c r="M6229" t="str">
        <f t="shared" si="388"/>
        <v>30-45</v>
      </c>
      <c r="N6229" t="str">
        <f t="shared" si="389"/>
        <v>Medium</v>
      </c>
      <c r="O6229" t="str">
        <f t="shared" si="390"/>
        <v>High Balance</v>
      </c>
      <c r="P6229" t="str">
        <f t="shared" si="391"/>
        <v>New</v>
      </c>
    </row>
    <row r="6230" spans="1:16" x14ac:dyDescent="0.25">
      <c r="A6230">
        <v>2025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  <c r="M6230" t="str">
        <f t="shared" si="388"/>
        <v>30-45</v>
      </c>
      <c r="N6230" t="str">
        <f t="shared" si="389"/>
        <v>Medium</v>
      </c>
      <c r="O6230" t="str">
        <f t="shared" si="390"/>
        <v>Low Balance</v>
      </c>
      <c r="P6230" t="str">
        <f t="shared" si="391"/>
        <v>Mid-term</v>
      </c>
    </row>
    <row r="6231" spans="1:16" x14ac:dyDescent="0.25">
      <c r="A6231">
        <v>2025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  <c r="M6231" t="str">
        <f t="shared" si="388"/>
        <v>30-45</v>
      </c>
      <c r="N6231" t="str">
        <f t="shared" si="389"/>
        <v>High</v>
      </c>
      <c r="O6231" t="str">
        <f t="shared" si="390"/>
        <v>Zero Balance</v>
      </c>
      <c r="P6231" t="str">
        <f t="shared" si="391"/>
        <v>Mid-term</v>
      </c>
    </row>
    <row r="6232" spans="1:16" x14ac:dyDescent="0.25">
      <c r="A6232">
        <v>2025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  <c r="M6232" t="str">
        <f t="shared" si="388"/>
        <v>60+</v>
      </c>
      <c r="N6232" t="str">
        <f t="shared" si="389"/>
        <v>Medium</v>
      </c>
      <c r="O6232" t="str">
        <f t="shared" si="390"/>
        <v>Zero Balance</v>
      </c>
      <c r="P6232" t="str">
        <f t="shared" si="391"/>
        <v>Mid-term</v>
      </c>
    </row>
    <row r="6233" spans="1:16" x14ac:dyDescent="0.25">
      <c r="A6233">
        <v>2025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  <c r="M6233" t="str">
        <f t="shared" si="388"/>
        <v>46-60</v>
      </c>
      <c r="N6233" t="str">
        <f t="shared" si="389"/>
        <v>Medium</v>
      </c>
      <c r="O6233" t="str">
        <f t="shared" si="390"/>
        <v>High Balance</v>
      </c>
      <c r="P6233" t="str">
        <f t="shared" si="391"/>
        <v>New</v>
      </c>
    </row>
    <row r="6234" spans="1:16" x14ac:dyDescent="0.25">
      <c r="A6234">
        <v>2025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  <c r="M6234" t="str">
        <f t="shared" si="388"/>
        <v>46-60</v>
      </c>
      <c r="N6234" t="str">
        <f t="shared" si="389"/>
        <v>High</v>
      </c>
      <c r="O6234" t="str">
        <f t="shared" si="390"/>
        <v>High Balance</v>
      </c>
      <c r="P6234" t="str">
        <f t="shared" si="391"/>
        <v>New</v>
      </c>
    </row>
    <row r="6235" spans="1:16" x14ac:dyDescent="0.25">
      <c r="A6235">
        <v>2025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  <c r="M6235" t="str">
        <f t="shared" si="388"/>
        <v>30-45</v>
      </c>
      <c r="N6235" t="str">
        <f t="shared" si="389"/>
        <v>High</v>
      </c>
      <c r="O6235" t="str">
        <f t="shared" si="390"/>
        <v>Low Balance</v>
      </c>
      <c r="P6235" t="str">
        <f t="shared" si="391"/>
        <v>New</v>
      </c>
    </row>
    <row r="6236" spans="1:16" x14ac:dyDescent="0.25">
      <c r="A6236">
        <v>2025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  <c r="M6236" t="str">
        <f t="shared" si="388"/>
        <v>30-45</v>
      </c>
      <c r="N6236" t="str">
        <f t="shared" si="389"/>
        <v>Medium</v>
      </c>
      <c r="O6236" t="str">
        <f t="shared" si="390"/>
        <v>Zero Balance</v>
      </c>
      <c r="P6236" t="str">
        <f t="shared" si="391"/>
        <v>Mid-term</v>
      </c>
    </row>
    <row r="6237" spans="1:16" x14ac:dyDescent="0.25">
      <c r="A6237">
        <v>2025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  <c r="M6237" t="str">
        <f t="shared" si="388"/>
        <v>30-45</v>
      </c>
      <c r="N6237" t="str">
        <f t="shared" si="389"/>
        <v>Medium</v>
      </c>
      <c r="O6237" t="str">
        <f t="shared" si="390"/>
        <v>Zero Balance</v>
      </c>
      <c r="P6237" t="str">
        <f t="shared" si="391"/>
        <v>New</v>
      </c>
    </row>
    <row r="6238" spans="1:16" x14ac:dyDescent="0.25">
      <c r="A6238">
        <v>2025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  <c r="M6238" t="str">
        <f t="shared" si="388"/>
        <v>30-45</v>
      </c>
      <c r="N6238" t="str">
        <f t="shared" si="389"/>
        <v>Medium</v>
      </c>
      <c r="O6238" t="str">
        <f t="shared" si="390"/>
        <v>Low Balance</v>
      </c>
      <c r="P6238" t="str">
        <f t="shared" si="391"/>
        <v>New</v>
      </c>
    </row>
    <row r="6239" spans="1:16" x14ac:dyDescent="0.25">
      <c r="A6239">
        <v>2025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  <c r="M6239" t="str">
        <f t="shared" si="388"/>
        <v>&lt;30</v>
      </c>
      <c r="N6239" t="str">
        <f t="shared" si="389"/>
        <v>Medium</v>
      </c>
      <c r="O6239" t="str">
        <f t="shared" si="390"/>
        <v>Zero Balance</v>
      </c>
      <c r="P6239" t="str">
        <f t="shared" si="391"/>
        <v>New</v>
      </c>
    </row>
    <row r="6240" spans="1:16" x14ac:dyDescent="0.25">
      <c r="A6240">
        <v>2025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  <c r="M6240" t="str">
        <f t="shared" si="388"/>
        <v>&lt;30</v>
      </c>
      <c r="N6240" t="str">
        <f t="shared" si="389"/>
        <v>Low</v>
      </c>
      <c r="O6240" t="str">
        <f t="shared" si="390"/>
        <v>High Balance</v>
      </c>
      <c r="P6240" t="str">
        <f t="shared" si="391"/>
        <v>New</v>
      </c>
    </row>
    <row r="6241" spans="1:16" x14ac:dyDescent="0.25">
      <c r="A6241">
        <v>2025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  <c r="M6241" t="str">
        <f t="shared" si="388"/>
        <v>46-60</v>
      </c>
      <c r="N6241" t="str">
        <f t="shared" si="389"/>
        <v>Medium</v>
      </c>
      <c r="O6241" t="str">
        <f t="shared" si="390"/>
        <v>High Balance</v>
      </c>
      <c r="P6241" t="str">
        <f t="shared" si="391"/>
        <v>Mid-term</v>
      </c>
    </row>
    <row r="6242" spans="1:16" x14ac:dyDescent="0.25">
      <c r="A6242">
        <v>2025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  <c r="M6242" t="str">
        <f t="shared" si="388"/>
        <v>&lt;30</v>
      </c>
      <c r="N6242" t="str">
        <f t="shared" si="389"/>
        <v>Medium</v>
      </c>
      <c r="O6242" t="str">
        <f t="shared" si="390"/>
        <v>High Balance</v>
      </c>
      <c r="P6242" t="str">
        <f t="shared" si="391"/>
        <v>New</v>
      </c>
    </row>
    <row r="6243" spans="1:16" x14ac:dyDescent="0.25">
      <c r="A6243">
        <v>2025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  <c r="M6243" t="str">
        <f t="shared" si="388"/>
        <v>30-45</v>
      </c>
      <c r="N6243" t="str">
        <f t="shared" si="389"/>
        <v>High</v>
      </c>
      <c r="O6243" t="str">
        <f t="shared" si="390"/>
        <v>High Balance</v>
      </c>
      <c r="P6243" t="str">
        <f t="shared" si="391"/>
        <v>New</v>
      </c>
    </row>
    <row r="6244" spans="1:16" x14ac:dyDescent="0.25">
      <c r="A6244">
        <v>2025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  <c r="M6244" t="str">
        <f t="shared" si="388"/>
        <v>46-60</v>
      </c>
      <c r="N6244" t="str">
        <f t="shared" si="389"/>
        <v>Medium</v>
      </c>
      <c r="O6244" t="str">
        <f t="shared" si="390"/>
        <v>Low Balance</v>
      </c>
      <c r="P6244" t="str">
        <f t="shared" si="391"/>
        <v>Long-term</v>
      </c>
    </row>
    <row r="6245" spans="1:16" x14ac:dyDescent="0.25">
      <c r="A6245">
        <v>2025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  <c r="M6245" t="str">
        <f t="shared" si="388"/>
        <v>30-45</v>
      </c>
      <c r="N6245" t="str">
        <f t="shared" si="389"/>
        <v>Medium</v>
      </c>
      <c r="O6245" t="str">
        <f t="shared" si="390"/>
        <v>High Balance</v>
      </c>
      <c r="P6245" t="str">
        <f t="shared" si="391"/>
        <v>New</v>
      </c>
    </row>
    <row r="6246" spans="1:16" x14ac:dyDescent="0.25">
      <c r="A6246">
        <v>2025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  <c r="M6246" t="str">
        <f t="shared" si="388"/>
        <v>&lt;30</v>
      </c>
      <c r="N6246" t="str">
        <f t="shared" si="389"/>
        <v>Medium</v>
      </c>
      <c r="O6246" t="str">
        <f t="shared" si="390"/>
        <v>Zero Balance</v>
      </c>
      <c r="P6246" t="str">
        <f t="shared" si="391"/>
        <v>Mid-term</v>
      </c>
    </row>
    <row r="6247" spans="1:16" x14ac:dyDescent="0.25">
      <c r="A6247">
        <v>2025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  <c r="M6247" t="str">
        <f t="shared" si="388"/>
        <v>30-45</v>
      </c>
      <c r="N6247" t="str">
        <f t="shared" si="389"/>
        <v>Medium</v>
      </c>
      <c r="O6247" t="str">
        <f t="shared" si="390"/>
        <v>Zero Balance</v>
      </c>
      <c r="P6247" t="str">
        <f t="shared" si="391"/>
        <v>Long-term</v>
      </c>
    </row>
    <row r="6248" spans="1:16" x14ac:dyDescent="0.25">
      <c r="A6248">
        <v>2025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  <c r="M6248" t="str">
        <f t="shared" si="388"/>
        <v>30-45</v>
      </c>
      <c r="N6248" t="str">
        <f t="shared" si="389"/>
        <v>Medium</v>
      </c>
      <c r="O6248" t="str">
        <f t="shared" si="390"/>
        <v>High Balance</v>
      </c>
      <c r="P6248" t="str">
        <f t="shared" si="391"/>
        <v>Mid-term</v>
      </c>
    </row>
    <row r="6249" spans="1:16" x14ac:dyDescent="0.25">
      <c r="A6249">
        <v>2025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  <c r="M6249" t="str">
        <f t="shared" si="388"/>
        <v>46-60</v>
      </c>
      <c r="N6249" t="str">
        <f t="shared" si="389"/>
        <v>Medium</v>
      </c>
      <c r="O6249" t="str">
        <f t="shared" si="390"/>
        <v>Zero Balance</v>
      </c>
      <c r="P6249" t="str">
        <f t="shared" si="391"/>
        <v>New</v>
      </c>
    </row>
    <row r="6250" spans="1:16" x14ac:dyDescent="0.25">
      <c r="A6250">
        <v>2025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  <c r="M6250" t="str">
        <f t="shared" si="388"/>
        <v>46-60</v>
      </c>
      <c r="N6250" t="str">
        <f t="shared" si="389"/>
        <v>Medium</v>
      </c>
      <c r="O6250" t="str">
        <f t="shared" si="390"/>
        <v>Zero Balance</v>
      </c>
      <c r="P6250" t="str">
        <f t="shared" si="391"/>
        <v>New</v>
      </c>
    </row>
    <row r="6251" spans="1:16" x14ac:dyDescent="0.25">
      <c r="A6251">
        <v>2025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  <c r="M6251" t="str">
        <f t="shared" si="388"/>
        <v>46-60</v>
      </c>
      <c r="N6251" t="str">
        <f t="shared" si="389"/>
        <v>High</v>
      </c>
      <c r="O6251" t="str">
        <f t="shared" si="390"/>
        <v>Zero Balance</v>
      </c>
      <c r="P6251" t="str">
        <f t="shared" si="391"/>
        <v>New</v>
      </c>
    </row>
    <row r="6252" spans="1:16" x14ac:dyDescent="0.25">
      <c r="A6252">
        <v>2025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  <c r="M6252" t="str">
        <f t="shared" si="388"/>
        <v>30-45</v>
      </c>
      <c r="N6252" t="str">
        <f t="shared" si="389"/>
        <v>Medium</v>
      </c>
      <c r="O6252" t="str">
        <f t="shared" si="390"/>
        <v>High Balance</v>
      </c>
      <c r="P6252" t="str">
        <f t="shared" si="391"/>
        <v>Long-term</v>
      </c>
    </row>
    <row r="6253" spans="1:16" x14ac:dyDescent="0.25">
      <c r="A6253">
        <v>2025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  <c r="M6253" t="str">
        <f t="shared" si="388"/>
        <v>30-45</v>
      </c>
      <c r="N6253" t="str">
        <f t="shared" si="389"/>
        <v>Medium</v>
      </c>
      <c r="O6253" t="str">
        <f t="shared" si="390"/>
        <v>High Balance</v>
      </c>
      <c r="P6253" t="str">
        <f t="shared" si="391"/>
        <v>Long-term</v>
      </c>
    </row>
    <row r="6254" spans="1:16" x14ac:dyDescent="0.25">
      <c r="A6254">
        <v>2025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  <c r="M6254" t="str">
        <f t="shared" si="388"/>
        <v>30-45</v>
      </c>
      <c r="N6254" t="str">
        <f t="shared" si="389"/>
        <v>Medium</v>
      </c>
      <c r="O6254" t="str">
        <f t="shared" si="390"/>
        <v>Low Balance</v>
      </c>
      <c r="P6254" t="str">
        <f t="shared" si="391"/>
        <v>New</v>
      </c>
    </row>
    <row r="6255" spans="1:16" x14ac:dyDescent="0.25">
      <c r="A6255">
        <v>2025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  <c r="M6255" t="str">
        <f t="shared" si="388"/>
        <v>30-45</v>
      </c>
      <c r="N6255" t="str">
        <f t="shared" si="389"/>
        <v>Low</v>
      </c>
      <c r="O6255" t="str">
        <f t="shared" si="390"/>
        <v>High Balance</v>
      </c>
      <c r="P6255" t="str">
        <f t="shared" si="391"/>
        <v>Mid-term</v>
      </c>
    </row>
    <row r="6256" spans="1:16" x14ac:dyDescent="0.25">
      <c r="A6256">
        <v>2025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  <c r="M6256" t="str">
        <f t="shared" si="388"/>
        <v>30-45</v>
      </c>
      <c r="N6256" t="str">
        <f t="shared" si="389"/>
        <v>Medium</v>
      </c>
      <c r="O6256" t="str">
        <f t="shared" si="390"/>
        <v>High Balance</v>
      </c>
      <c r="P6256" t="str">
        <f t="shared" si="391"/>
        <v>New</v>
      </c>
    </row>
    <row r="6257" spans="1:16" x14ac:dyDescent="0.25">
      <c r="A6257">
        <v>2025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  <c r="M6257" t="str">
        <f t="shared" si="388"/>
        <v>46-60</v>
      </c>
      <c r="N6257" t="str">
        <f t="shared" si="389"/>
        <v>Medium</v>
      </c>
      <c r="O6257" t="str">
        <f t="shared" si="390"/>
        <v>High Balance</v>
      </c>
      <c r="P6257" t="str">
        <f t="shared" si="391"/>
        <v>Mid-term</v>
      </c>
    </row>
    <row r="6258" spans="1:16" x14ac:dyDescent="0.25">
      <c r="A6258">
        <v>2025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  <c r="M6258" t="str">
        <f t="shared" si="388"/>
        <v>30-45</v>
      </c>
      <c r="N6258" t="str">
        <f t="shared" si="389"/>
        <v>Medium</v>
      </c>
      <c r="O6258" t="str">
        <f t="shared" si="390"/>
        <v>Low Balance</v>
      </c>
      <c r="P6258" t="str">
        <f t="shared" si="391"/>
        <v>New</v>
      </c>
    </row>
    <row r="6259" spans="1:16" x14ac:dyDescent="0.25">
      <c r="A6259">
        <v>2025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  <c r="M6259" t="str">
        <f t="shared" si="388"/>
        <v>30-45</v>
      </c>
      <c r="N6259" t="str">
        <f t="shared" si="389"/>
        <v>High</v>
      </c>
      <c r="O6259" t="str">
        <f t="shared" si="390"/>
        <v>High Balance</v>
      </c>
      <c r="P6259" t="str">
        <f t="shared" si="391"/>
        <v>Long-term</v>
      </c>
    </row>
    <row r="6260" spans="1:16" x14ac:dyDescent="0.25">
      <c r="A6260">
        <v>2025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  <c r="M6260" t="str">
        <f t="shared" si="388"/>
        <v>&lt;30</v>
      </c>
      <c r="N6260" t="str">
        <f t="shared" si="389"/>
        <v>High</v>
      </c>
      <c r="O6260" t="str">
        <f t="shared" si="390"/>
        <v>High Balance</v>
      </c>
      <c r="P6260" t="str">
        <f t="shared" si="391"/>
        <v>New</v>
      </c>
    </row>
    <row r="6261" spans="1:16" x14ac:dyDescent="0.25">
      <c r="A6261">
        <v>2025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  <c r="M6261" t="str">
        <f t="shared" si="388"/>
        <v>&lt;30</v>
      </c>
      <c r="N6261" t="str">
        <f t="shared" si="389"/>
        <v>Medium</v>
      </c>
      <c r="O6261" t="str">
        <f t="shared" si="390"/>
        <v>High Balance</v>
      </c>
      <c r="P6261" t="str">
        <f t="shared" si="391"/>
        <v>Long-term</v>
      </c>
    </row>
    <row r="6262" spans="1:16" x14ac:dyDescent="0.25">
      <c r="A6262">
        <v>2025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  <c r="M6262" t="str">
        <f t="shared" si="388"/>
        <v>30-45</v>
      </c>
      <c r="N6262" t="str">
        <f t="shared" si="389"/>
        <v>Medium</v>
      </c>
      <c r="O6262" t="str">
        <f t="shared" si="390"/>
        <v>High Balance</v>
      </c>
      <c r="P6262" t="str">
        <f t="shared" si="391"/>
        <v>Long-term</v>
      </c>
    </row>
    <row r="6263" spans="1:16" x14ac:dyDescent="0.25">
      <c r="A6263">
        <v>2025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  <c r="M6263" t="str">
        <f t="shared" si="388"/>
        <v>30-45</v>
      </c>
      <c r="N6263" t="str">
        <f t="shared" si="389"/>
        <v>High</v>
      </c>
      <c r="O6263" t="str">
        <f t="shared" si="390"/>
        <v>High Balance</v>
      </c>
      <c r="P6263" t="str">
        <f t="shared" si="391"/>
        <v>Long-term</v>
      </c>
    </row>
    <row r="6264" spans="1:16" x14ac:dyDescent="0.25">
      <c r="A6264">
        <v>2025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  <c r="M6264" t="str">
        <f t="shared" si="388"/>
        <v>30-45</v>
      </c>
      <c r="N6264" t="str">
        <f t="shared" si="389"/>
        <v>Medium</v>
      </c>
      <c r="O6264" t="str">
        <f t="shared" si="390"/>
        <v>Low Balance</v>
      </c>
      <c r="P6264" t="str">
        <f t="shared" si="391"/>
        <v>New</v>
      </c>
    </row>
    <row r="6265" spans="1:16" x14ac:dyDescent="0.25">
      <c r="A6265">
        <v>2025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  <c r="M6265" t="str">
        <f t="shared" si="388"/>
        <v>30-45</v>
      </c>
      <c r="N6265" t="str">
        <f t="shared" si="389"/>
        <v>Low</v>
      </c>
      <c r="O6265" t="str">
        <f t="shared" si="390"/>
        <v>Zero Balance</v>
      </c>
      <c r="P6265" t="str">
        <f t="shared" si="391"/>
        <v>New</v>
      </c>
    </row>
    <row r="6266" spans="1:16" x14ac:dyDescent="0.25">
      <c r="A6266">
        <v>2025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  <c r="M6266" t="str">
        <f t="shared" si="388"/>
        <v>30-45</v>
      </c>
      <c r="N6266" t="str">
        <f t="shared" si="389"/>
        <v>Medium</v>
      </c>
      <c r="O6266" t="str">
        <f t="shared" si="390"/>
        <v>High Balance</v>
      </c>
      <c r="P6266" t="str">
        <f t="shared" si="391"/>
        <v>Long-term</v>
      </c>
    </row>
    <row r="6267" spans="1:16" x14ac:dyDescent="0.25">
      <c r="A6267">
        <v>2025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  <c r="M6267" t="str">
        <f t="shared" si="388"/>
        <v>30-45</v>
      </c>
      <c r="N6267" t="str">
        <f t="shared" si="389"/>
        <v>High</v>
      </c>
      <c r="O6267" t="str">
        <f t="shared" si="390"/>
        <v>Zero Balance</v>
      </c>
      <c r="P6267" t="str">
        <f t="shared" si="391"/>
        <v>Mid-term</v>
      </c>
    </row>
    <row r="6268" spans="1:16" x14ac:dyDescent="0.25">
      <c r="A6268">
        <v>2025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  <c r="M6268" t="str">
        <f t="shared" si="388"/>
        <v>30-45</v>
      </c>
      <c r="N6268" t="str">
        <f t="shared" si="389"/>
        <v>Medium</v>
      </c>
      <c r="O6268" t="str">
        <f t="shared" si="390"/>
        <v>High Balance</v>
      </c>
      <c r="P6268" t="str">
        <f t="shared" si="391"/>
        <v>Mid-term</v>
      </c>
    </row>
    <row r="6269" spans="1:16" x14ac:dyDescent="0.25">
      <c r="A6269">
        <v>2025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  <c r="M6269" t="str">
        <f t="shared" si="388"/>
        <v>46-60</v>
      </c>
      <c r="N6269" t="str">
        <f t="shared" si="389"/>
        <v>High</v>
      </c>
      <c r="O6269" t="str">
        <f t="shared" si="390"/>
        <v>High Balance</v>
      </c>
      <c r="P6269" t="str">
        <f t="shared" si="391"/>
        <v>Long-term</v>
      </c>
    </row>
    <row r="6270" spans="1:16" x14ac:dyDescent="0.25">
      <c r="A6270">
        <v>2025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  <c r="M6270" t="str">
        <f t="shared" si="388"/>
        <v>30-45</v>
      </c>
      <c r="N6270" t="str">
        <f t="shared" si="389"/>
        <v>Medium</v>
      </c>
      <c r="O6270" t="str">
        <f t="shared" si="390"/>
        <v>Low Balance</v>
      </c>
      <c r="P6270" t="str">
        <f t="shared" si="391"/>
        <v>Mid-term</v>
      </c>
    </row>
    <row r="6271" spans="1:16" x14ac:dyDescent="0.25">
      <c r="A6271">
        <v>2025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  <c r="M6271" t="str">
        <f t="shared" si="388"/>
        <v>30-45</v>
      </c>
      <c r="N6271" t="str">
        <f t="shared" si="389"/>
        <v>Medium</v>
      </c>
      <c r="O6271" t="str">
        <f t="shared" si="390"/>
        <v>Zero Balance</v>
      </c>
      <c r="P6271" t="str">
        <f t="shared" si="391"/>
        <v>New</v>
      </c>
    </row>
    <row r="6272" spans="1:16" x14ac:dyDescent="0.25">
      <c r="A6272">
        <v>2025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  <c r="M6272" t="str">
        <f t="shared" si="388"/>
        <v>&lt;30</v>
      </c>
      <c r="N6272" t="str">
        <f t="shared" si="389"/>
        <v>Medium</v>
      </c>
      <c r="O6272" t="str">
        <f t="shared" si="390"/>
        <v>Zero Balance</v>
      </c>
      <c r="P6272" t="str">
        <f t="shared" si="391"/>
        <v>Long-term</v>
      </c>
    </row>
    <row r="6273" spans="1:16" x14ac:dyDescent="0.25">
      <c r="A6273">
        <v>2025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  <c r="M6273" t="str">
        <f t="shared" si="388"/>
        <v>46-60</v>
      </c>
      <c r="N6273" t="str">
        <f t="shared" si="389"/>
        <v>High</v>
      </c>
      <c r="O6273" t="str">
        <f t="shared" si="390"/>
        <v>High Balance</v>
      </c>
      <c r="P6273" t="str">
        <f t="shared" si="391"/>
        <v>Mid-term</v>
      </c>
    </row>
    <row r="6274" spans="1:16" x14ac:dyDescent="0.25">
      <c r="A6274">
        <v>2025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  <c r="M6274" t="str">
        <f t="shared" si="388"/>
        <v>46-60</v>
      </c>
      <c r="N6274" t="str">
        <f t="shared" si="389"/>
        <v>Medium</v>
      </c>
      <c r="O6274" t="str">
        <f t="shared" si="390"/>
        <v>Zero Balance</v>
      </c>
      <c r="P6274" t="str">
        <f t="shared" si="391"/>
        <v>New</v>
      </c>
    </row>
    <row r="6275" spans="1:16" x14ac:dyDescent="0.25">
      <c r="A6275">
        <v>2025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  <c r="M6275" t="str">
        <f t="shared" ref="M6275:M6338" si="392">IF(E6275&lt;30,"&lt;30",IF(E6275&lt;=45,"30-45",IF(E6275&lt;=60,"46-60","60+")))</f>
        <v>30-45</v>
      </c>
      <c r="N6275" t="str">
        <f t="shared" ref="N6275:N6338" si="393">IF(B6275&lt;500,"Low",IF(B6275&lt;700,"Medium","High"))</f>
        <v>High</v>
      </c>
      <c r="O6275" t="str">
        <f t="shared" ref="O6275:O6338" si="394">IF(G6275=0,"Zero Balance",IF(G6275&lt;100000,"Low Balance","High Balance"))</f>
        <v>High Balance</v>
      </c>
      <c r="P6275" t="str">
        <f t="shared" ref="P6275:P6338" si="395">IF(F6275&lt;=3,"New",IF(F6275&lt;=7,"Mid-term","Long-term"))</f>
        <v>New</v>
      </c>
    </row>
    <row r="6276" spans="1:16" x14ac:dyDescent="0.25">
      <c r="A6276">
        <v>2025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  <c r="M6276" t="str">
        <f t="shared" si="392"/>
        <v>46-60</v>
      </c>
      <c r="N6276" t="str">
        <f t="shared" si="393"/>
        <v>Medium</v>
      </c>
      <c r="O6276" t="str">
        <f t="shared" si="394"/>
        <v>High Balance</v>
      </c>
      <c r="P6276" t="str">
        <f t="shared" si="395"/>
        <v>New</v>
      </c>
    </row>
    <row r="6277" spans="1:16" x14ac:dyDescent="0.25">
      <c r="A6277">
        <v>2025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  <c r="M6277" t="str">
        <f t="shared" si="392"/>
        <v>30-45</v>
      </c>
      <c r="N6277" t="str">
        <f t="shared" si="393"/>
        <v>Medium</v>
      </c>
      <c r="O6277" t="str">
        <f t="shared" si="394"/>
        <v>Zero Balance</v>
      </c>
      <c r="P6277" t="str">
        <f t="shared" si="395"/>
        <v>Long-term</v>
      </c>
    </row>
    <row r="6278" spans="1:16" x14ac:dyDescent="0.25">
      <c r="A6278">
        <v>2025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  <c r="M6278" t="str">
        <f t="shared" si="392"/>
        <v>46-60</v>
      </c>
      <c r="N6278" t="str">
        <f t="shared" si="393"/>
        <v>Medium</v>
      </c>
      <c r="O6278" t="str">
        <f t="shared" si="394"/>
        <v>High Balance</v>
      </c>
      <c r="P6278" t="str">
        <f t="shared" si="395"/>
        <v>Mid-term</v>
      </c>
    </row>
    <row r="6279" spans="1:16" x14ac:dyDescent="0.25">
      <c r="A6279">
        <v>2025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  <c r="M6279" t="str">
        <f t="shared" si="392"/>
        <v>30-45</v>
      </c>
      <c r="N6279" t="str">
        <f t="shared" si="393"/>
        <v>Medium</v>
      </c>
      <c r="O6279" t="str">
        <f t="shared" si="394"/>
        <v>Zero Balance</v>
      </c>
      <c r="P6279" t="str">
        <f t="shared" si="395"/>
        <v>New</v>
      </c>
    </row>
    <row r="6280" spans="1:16" x14ac:dyDescent="0.25">
      <c r="A6280">
        <v>2025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  <c r="M6280" t="str">
        <f t="shared" si="392"/>
        <v>60+</v>
      </c>
      <c r="N6280" t="str">
        <f t="shared" si="393"/>
        <v>Medium</v>
      </c>
      <c r="O6280" t="str">
        <f t="shared" si="394"/>
        <v>Zero Balance</v>
      </c>
      <c r="P6280" t="str">
        <f t="shared" si="395"/>
        <v>New</v>
      </c>
    </row>
    <row r="6281" spans="1:16" x14ac:dyDescent="0.25">
      <c r="A6281">
        <v>2025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  <c r="M6281" t="str">
        <f t="shared" si="392"/>
        <v>46-60</v>
      </c>
      <c r="N6281" t="str">
        <f t="shared" si="393"/>
        <v>High</v>
      </c>
      <c r="O6281" t="str">
        <f t="shared" si="394"/>
        <v>High Balance</v>
      </c>
      <c r="P6281" t="str">
        <f t="shared" si="395"/>
        <v>Long-term</v>
      </c>
    </row>
    <row r="6282" spans="1:16" x14ac:dyDescent="0.25">
      <c r="A6282">
        <v>2025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  <c r="M6282" t="str">
        <f t="shared" si="392"/>
        <v>&lt;30</v>
      </c>
      <c r="N6282" t="str">
        <f t="shared" si="393"/>
        <v>Low</v>
      </c>
      <c r="O6282" t="str">
        <f t="shared" si="394"/>
        <v>High Balance</v>
      </c>
      <c r="P6282" t="str">
        <f t="shared" si="395"/>
        <v>Mid-term</v>
      </c>
    </row>
    <row r="6283" spans="1:16" x14ac:dyDescent="0.25">
      <c r="A6283">
        <v>2025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  <c r="M6283" t="str">
        <f t="shared" si="392"/>
        <v>30-45</v>
      </c>
      <c r="N6283" t="str">
        <f t="shared" si="393"/>
        <v>High</v>
      </c>
      <c r="O6283" t="str">
        <f t="shared" si="394"/>
        <v>Zero Balance</v>
      </c>
      <c r="P6283" t="str">
        <f t="shared" si="395"/>
        <v>Mid-term</v>
      </c>
    </row>
    <row r="6284" spans="1:16" x14ac:dyDescent="0.25">
      <c r="A6284">
        <v>2025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  <c r="M6284" t="str">
        <f t="shared" si="392"/>
        <v>&lt;30</v>
      </c>
      <c r="N6284" t="str">
        <f t="shared" si="393"/>
        <v>Medium</v>
      </c>
      <c r="O6284" t="str">
        <f t="shared" si="394"/>
        <v>Zero Balance</v>
      </c>
      <c r="P6284" t="str">
        <f t="shared" si="395"/>
        <v>Mid-term</v>
      </c>
    </row>
    <row r="6285" spans="1:16" x14ac:dyDescent="0.25">
      <c r="A6285">
        <v>2025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  <c r="M6285" t="str">
        <f t="shared" si="392"/>
        <v>30-45</v>
      </c>
      <c r="N6285" t="str">
        <f t="shared" si="393"/>
        <v>High</v>
      </c>
      <c r="O6285" t="str">
        <f t="shared" si="394"/>
        <v>High Balance</v>
      </c>
      <c r="P6285" t="str">
        <f t="shared" si="395"/>
        <v>New</v>
      </c>
    </row>
    <row r="6286" spans="1:16" x14ac:dyDescent="0.25">
      <c r="A6286">
        <v>2025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  <c r="M6286" t="str">
        <f t="shared" si="392"/>
        <v>30-45</v>
      </c>
      <c r="N6286" t="str">
        <f t="shared" si="393"/>
        <v>Medium</v>
      </c>
      <c r="O6286" t="str">
        <f t="shared" si="394"/>
        <v>Zero Balance</v>
      </c>
      <c r="P6286" t="str">
        <f t="shared" si="395"/>
        <v>Long-term</v>
      </c>
    </row>
    <row r="6287" spans="1:16" x14ac:dyDescent="0.25">
      <c r="A6287">
        <v>2025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  <c r="M6287" t="str">
        <f t="shared" si="392"/>
        <v>30-45</v>
      </c>
      <c r="N6287" t="str">
        <f t="shared" si="393"/>
        <v>High</v>
      </c>
      <c r="O6287" t="str">
        <f t="shared" si="394"/>
        <v>High Balance</v>
      </c>
      <c r="P6287" t="str">
        <f t="shared" si="395"/>
        <v>Mid-term</v>
      </c>
    </row>
    <row r="6288" spans="1:16" x14ac:dyDescent="0.25">
      <c r="A6288">
        <v>2025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  <c r="M6288" t="str">
        <f t="shared" si="392"/>
        <v>30-45</v>
      </c>
      <c r="N6288" t="str">
        <f t="shared" si="393"/>
        <v>Medium</v>
      </c>
      <c r="O6288" t="str">
        <f t="shared" si="394"/>
        <v>Zero Balance</v>
      </c>
      <c r="P6288" t="str">
        <f t="shared" si="395"/>
        <v>Long-term</v>
      </c>
    </row>
    <row r="6289" spans="1:16" x14ac:dyDescent="0.25">
      <c r="A6289">
        <v>2025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  <c r="M6289" t="str">
        <f t="shared" si="392"/>
        <v>30-45</v>
      </c>
      <c r="N6289" t="str">
        <f t="shared" si="393"/>
        <v>Medium</v>
      </c>
      <c r="O6289" t="str">
        <f t="shared" si="394"/>
        <v>Low Balance</v>
      </c>
      <c r="P6289" t="str">
        <f t="shared" si="395"/>
        <v>New</v>
      </c>
    </row>
    <row r="6290" spans="1:16" x14ac:dyDescent="0.25">
      <c r="A6290">
        <v>2025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  <c r="M6290" t="str">
        <f t="shared" si="392"/>
        <v>30-45</v>
      </c>
      <c r="N6290" t="str">
        <f t="shared" si="393"/>
        <v>Medium</v>
      </c>
      <c r="O6290" t="str">
        <f t="shared" si="394"/>
        <v>High Balance</v>
      </c>
      <c r="P6290" t="str">
        <f t="shared" si="395"/>
        <v>Long-term</v>
      </c>
    </row>
    <row r="6291" spans="1:16" x14ac:dyDescent="0.25">
      <c r="A6291">
        <v>2025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  <c r="M6291" t="str">
        <f t="shared" si="392"/>
        <v>60+</v>
      </c>
      <c r="N6291" t="str">
        <f t="shared" si="393"/>
        <v>Medium</v>
      </c>
      <c r="O6291" t="str">
        <f t="shared" si="394"/>
        <v>High Balance</v>
      </c>
      <c r="P6291" t="str">
        <f t="shared" si="395"/>
        <v>Mid-term</v>
      </c>
    </row>
    <row r="6292" spans="1:16" x14ac:dyDescent="0.25">
      <c r="A6292">
        <v>2025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  <c r="M6292" t="str">
        <f t="shared" si="392"/>
        <v>&lt;30</v>
      </c>
      <c r="N6292" t="str">
        <f t="shared" si="393"/>
        <v>Medium</v>
      </c>
      <c r="O6292" t="str">
        <f t="shared" si="394"/>
        <v>High Balance</v>
      </c>
      <c r="P6292" t="str">
        <f t="shared" si="395"/>
        <v>Long-term</v>
      </c>
    </row>
    <row r="6293" spans="1:16" x14ac:dyDescent="0.25">
      <c r="A6293">
        <v>2025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  <c r="M6293" t="str">
        <f t="shared" si="392"/>
        <v>&lt;30</v>
      </c>
      <c r="N6293" t="str">
        <f t="shared" si="393"/>
        <v>Medium</v>
      </c>
      <c r="O6293" t="str">
        <f t="shared" si="394"/>
        <v>Zero Balance</v>
      </c>
      <c r="P6293" t="str">
        <f t="shared" si="395"/>
        <v>Mid-term</v>
      </c>
    </row>
    <row r="6294" spans="1:16" x14ac:dyDescent="0.25">
      <c r="A6294">
        <v>2025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  <c r="M6294" t="str">
        <f t="shared" si="392"/>
        <v>30-45</v>
      </c>
      <c r="N6294" t="str">
        <f t="shared" si="393"/>
        <v>Low</v>
      </c>
      <c r="O6294" t="str">
        <f t="shared" si="394"/>
        <v>High Balance</v>
      </c>
      <c r="P6294" t="str">
        <f t="shared" si="395"/>
        <v>New</v>
      </c>
    </row>
    <row r="6295" spans="1:16" x14ac:dyDescent="0.25">
      <c r="A6295">
        <v>2025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  <c r="M6295" t="str">
        <f t="shared" si="392"/>
        <v>&lt;30</v>
      </c>
      <c r="N6295" t="str">
        <f t="shared" si="393"/>
        <v>Medium</v>
      </c>
      <c r="O6295" t="str">
        <f t="shared" si="394"/>
        <v>Zero Balance</v>
      </c>
      <c r="P6295" t="str">
        <f t="shared" si="395"/>
        <v>Long-term</v>
      </c>
    </row>
    <row r="6296" spans="1:16" x14ac:dyDescent="0.25">
      <c r="A6296">
        <v>2025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  <c r="M6296" t="str">
        <f t="shared" si="392"/>
        <v>30-45</v>
      </c>
      <c r="N6296" t="str">
        <f t="shared" si="393"/>
        <v>Medium</v>
      </c>
      <c r="O6296" t="str">
        <f t="shared" si="394"/>
        <v>High Balance</v>
      </c>
      <c r="P6296" t="str">
        <f t="shared" si="395"/>
        <v>Mid-term</v>
      </c>
    </row>
    <row r="6297" spans="1:16" x14ac:dyDescent="0.25">
      <c r="A6297">
        <v>2025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  <c r="M6297" t="str">
        <f t="shared" si="392"/>
        <v>46-60</v>
      </c>
      <c r="N6297" t="str">
        <f t="shared" si="393"/>
        <v>Medium</v>
      </c>
      <c r="O6297" t="str">
        <f t="shared" si="394"/>
        <v>High Balance</v>
      </c>
      <c r="P6297" t="str">
        <f t="shared" si="395"/>
        <v>New</v>
      </c>
    </row>
    <row r="6298" spans="1:16" x14ac:dyDescent="0.25">
      <c r="A6298">
        <v>2025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  <c r="M6298" t="str">
        <f t="shared" si="392"/>
        <v>30-45</v>
      </c>
      <c r="N6298" t="str">
        <f t="shared" si="393"/>
        <v>Medium</v>
      </c>
      <c r="O6298" t="str">
        <f t="shared" si="394"/>
        <v>Zero Balance</v>
      </c>
      <c r="P6298" t="str">
        <f t="shared" si="395"/>
        <v>New</v>
      </c>
    </row>
    <row r="6299" spans="1:16" x14ac:dyDescent="0.25">
      <c r="A6299">
        <v>2025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  <c r="M6299" t="str">
        <f t="shared" si="392"/>
        <v>30-45</v>
      </c>
      <c r="N6299" t="str">
        <f t="shared" si="393"/>
        <v>High</v>
      </c>
      <c r="O6299" t="str">
        <f t="shared" si="394"/>
        <v>Zero Balance</v>
      </c>
      <c r="P6299" t="str">
        <f t="shared" si="395"/>
        <v>New</v>
      </c>
    </row>
    <row r="6300" spans="1:16" x14ac:dyDescent="0.25">
      <c r="A6300">
        <v>2025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  <c r="M6300" t="str">
        <f t="shared" si="392"/>
        <v>46-60</v>
      </c>
      <c r="N6300" t="str">
        <f t="shared" si="393"/>
        <v>High</v>
      </c>
      <c r="O6300" t="str">
        <f t="shared" si="394"/>
        <v>Zero Balance</v>
      </c>
      <c r="P6300" t="str">
        <f t="shared" si="395"/>
        <v>New</v>
      </c>
    </row>
    <row r="6301" spans="1:16" x14ac:dyDescent="0.25">
      <c r="A6301">
        <v>2025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  <c r="M6301" t="str">
        <f t="shared" si="392"/>
        <v>&lt;30</v>
      </c>
      <c r="N6301" t="str">
        <f t="shared" si="393"/>
        <v>Medium</v>
      </c>
      <c r="O6301" t="str">
        <f t="shared" si="394"/>
        <v>High Balance</v>
      </c>
      <c r="P6301" t="str">
        <f t="shared" si="395"/>
        <v>Mid-term</v>
      </c>
    </row>
    <row r="6302" spans="1:16" x14ac:dyDescent="0.25">
      <c r="A6302">
        <v>2025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  <c r="M6302" t="str">
        <f t="shared" si="392"/>
        <v>30-45</v>
      </c>
      <c r="N6302" t="str">
        <f t="shared" si="393"/>
        <v>Medium</v>
      </c>
      <c r="O6302" t="str">
        <f t="shared" si="394"/>
        <v>High Balance</v>
      </c>
      <c r="P6302" t="str">
        <f t="shared" si="395"/>
        <v>New</v>
      </c>
    </row>
    <row r="6303" spans="1:16" x14ac:dyDescent="0.25">
      <c r="A6303">
        <v>2025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  <c r="M6303" t="str">
        <f t="shared" si="392"/>
        <v>30-45</v>
      </c>
      <c r="N6303" t="str">
        <f t="shared" si="393"/>
        <v>High</v>
      </c>
      <c r="O6303" t="str">
        <f t="shared" si="394"/>
        <v>Low Balance</v>
      </c>
      <c r="P6303" t="str">
        <f t="shared" si="395"/>
        <v>Mid-term</v>
      </c>
    </row>
    <row r="6304" spans="1:16" x14ac:dyDescent="0.25">
      <c r="A6304">
        <v>2025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  <c r="M6304" t="str">
        <f t="shared" si="392"/>
        <v>30-45</v>
      </c>
      <c r="N6304" t="str">
        <f t="shared" si="393"/>
        <v>Medium</v>
      </c>
      <c r="O6304" t="str">
        <f t="shared" si="394"/>
        <v>Zero Balance</v>
      </c>
      <c r="P6304" t="str">
        <f t="shared" si="395"/>
        <v>Mid-term</v>
      </c>
    </row>
    <row r="6305" spans="1:16" x14ac:dyDescent="0.25">
      <c r="A6305">
        <v>2025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  <c r="M6305" t="str">
        <f t="shared" si="392"/>
        <v>46-60</v>
      </c>
      <c r="N6305" t="str">
        <f t="shared" si="393"/>
        <v>High</v>
      </c>
      <c r="O6305" t="str">
        <f t="shared" si="394"/>
        <v>High Balance</v>
      </c>
      <c r="P6305" t="str">
        <f t="shared" si="395"/>
        <v>Mid-term</v>
      </c>
    </row>
    <row r="6306" spans="1:16" x14ac:dyDescent="0.25">
      <c r="A6306">
        <v>2025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  <c r="M6306" t="str">
        <f t="shared" si="392"/>
        <v>30-45</v>
      </c>
      <c r="N6306" t="str">
        <f t="shared" si="393"/>
        <v>Medium</v>
      </c>
      <c r="O6306" t="str">
        <f t="shared" si="394"/>
        <v>Zero Balance</v>
      </c>
      <c r="P6306" t="str">
        <f t="shared" si="395"/>
        <v>New</v>
      </c>
    </row>
    <row r="6307" spans="1:16" x14ac:dyDescent="0.25">
      <c r="A6307">
        <v>2025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  <c r="M6307" t="str">
        <f t="shared" si="392"/>
        <v>30-45</v>
      </c>
      <c r="N6307" t="str">
        <f t="shared" si="393"/>
        <v>High</v>
      </c>
      <c r="O6307" t="str">
        <f t="shared" si="394"/>
        <v>Low Balance</v>
      </c>
      <c r="P6307" t="str">
        <f t="shared" si="395"/>
        <v>Mid-term</v>
      </c>
    </row>
    <row r="6308" spans="1:16" x14ac:dyDescent="0.25">
      <c r="A6308">
        <v>2025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  <c r="M6308" t="str">
        <f t="shared" si="392"/>
        <v>30-45</v>
      </c>
      <c r="N6308" t="str">
        <f t="shared" si="393"/>
        <v>High</v>
      </c>
      <c r="O6308" t="str">
        <f t="shared" si="394"/>
        <v>Zero Balance</v>
      </c>
      <c r="P6308" t="str">
        <f t="shared" si="395"/>
        <v>Long-term</v>
      </c>
    </row>
    <row r="6309" spans="1:16" x14ac:dyDescent="0.25">
      <c r="A6309">
        <v>2025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  <c r="M6309" t="str">
        <f t="shared" si="392"/>
        <v>&lt;30</v>
      </c>
      <c r="N6309" t="str">
        <f t="shared" si="393"/>
        <v>Medium</v>
      </c>
      <c r="O6309" t="str">
        <f t="shared" si="394"/>
        <v>High Balance</v>
      </c>
      <c r="P6309" t="str">
        <f t="shared" si="395"/>
        <v>Mid-term</v>
      </c>
    </row>
    <row r="6310" spans="1:16" x14ac:dyDescent="0.25">
      <c r="A6310">
        <v>2025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  <c r="M6310" t="str">
        <f t="shared" si="392"/>
        <v>46-60</v>
      </c>
      <c r="N6310" t="str">
        <f t="shared" si="393"/>
        <v>Medium</v>
      </c>
      <c r="O6310" t="str">
        <f t="shared" si="394"/>
        <v>Low Balance</v>
      </c>
      <c r="P6310" t="str">
        <f t="shared" si="395"/>
        <v>Mid-term</v>
      </c>
    </row>
    <row r="6311" spans="1:16" x14ac:dyDescent="0.25">
      <c r="A6311">
        <v>2025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  <c r="M6311" t="str">
        <f t="shared" si="392"/>
        <v>&lt;30</v>
      </c>
      <c r="N6311" t="str">
        <f t="shared" si="393"/>
        <v>High</v>
      </c>
      <c r="O6311" t="str">
        <f t="shared" si="394"/>
        <v>Zero Balance</v>
      </c>
      <c r="P6311" t="str">
        <f t="shared" si="395"/>
        <v>Long-term</v>
      </c>
    </row>
    <row r="6312" spans="1:16" x14ac:dyDescent="0.25">
      <c r="A6312">
        <v>2025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  <c r="M6312" t="str">
        <f t="shared" si="392"/>
        <v>30-45</v>
      </c>
      <c r="N6312" t="str">
        <f t="shared" si="393"/>
        <v>Medium</v>
      </c>
      <c r="O6312" t="str">
        <f t="shared" si="394"/>
        <v>Low Balance</v>
      </c>
      <c r="P6312" t="str">
        <f t="shared" si="395"/>
        <v>Mid-term</v>
      </c>
    </row>
    <row r="6313" spans="1:16" x14ac:dyDescent="0.25">
      <c r="A6313">
        <v>2025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  <c r="M6313" t="str">
        <f t="shared" si="392"/>
        <v>&lt;30</v>
      </c>
      <c r="N6313" t="str">
        <f t="shared" si="393"/>
        <v>High</v>
      </c>
      <c r="O6313" t="str">
        <f t="shared" si="394"/>
        <v>Zero Balance</v>
      </c>
      <c r="P6313" t="str">
        <f t="shared" si="395"/>
        <v>Long-term</v>
      </c>
    </row>
    <row r="6314" spans="1:16" x14ac:dyDescent="0.25">
      <c r="A6314">
        <v>2025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  <c r="M6314" t="str">
        <f t="shared" si="392"/>
        <v>&lt;30</v>
      </c>
      <c r="N6314" t="str">
        <f t="shared" si="393"/>
        <v>Medium</v>
      </c>
      <c r="O6314" t="str">
        <f t="shared" si="394"/>
        <v>High Balance</v>
      </c>
      <c r="P6314" t="str">
        <f t="shared" si="395"/>
        <v>Long-term</v>
      </c>
    </row>
    <row r="6315" spans="1:16" x14ac:dyDescent="0.25">
      <c r="A6315">
        <v>2025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  <c r="M6315" t="str">
        <f t="shared" si="392"/>
        <v>&lt;30</v>
      </c>
      <c r="N6315" t="str">
        <f t="shared" si="393"/>
        <v>Medium</v>
      </c>
      <c r="O6315" t="str">
        <f t="shared" si="394"/>
        <v>High Balance</v>
      </c>
      <c r="P6315" t="str">
        <f t="shared" si="395"/>
        <v>New</v>
      </c>
    </row>
    <row r="6316" spans="1:16" x14ac:dyDescent="0.25">
      <c r="A6316">
        <v>2025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  <c r="M6316" t="str">
        <f t="shared" si="392"/>
        <v>30-45</v>
      </c>
      <c r="N6316" t="str">
        <f t="shared" si="393"/>
        <v>High</v>
      </c>
      <c r="O6316" t="str">
        <f t="shared" si="394"/>
        <v>Low Balance</v>
      </c>
      <c r="P6316" t="str">
        <f t="shared" si="395"/>
        <v>Long-term</v>
      </c>
    </row>
    <row r="6317" spans="1:16" x14ac:dyDescent="0.25">
      <c r="A6317">
        <v>2025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  <c r="M6317" t="str">
        <f t="shared" si="392"/>
        <v>60+</v>
      </c>
      <c r="N6317" t="str">
        <f t="shared" si="393"/>
        <v>Medium</v>
      </c>
      <c r="O6317" t="str">
        <f t="shared" si="394"/>
        <v>High Balance</v>
      </c>
      <c r="P6317" t="str">
        <f t="shared" si="395"/>
        <v>Long-term</v>
      </c>
    </row>
    <row r="6318" spans="1:16" x14ac:dyDescent="0.25">
      <c r="A6318">
        <v>2025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  <c r="M6318" t="str">
        <f t="shared" si="392"/>
        <v>30-45</v>
      </c>
      <c r="N6318" t="str">
        <f t="shared" si="393"/>
        <v>High</v>
      </c>
      <c r="O6318" t="str">
        <f t="shared" si="394"/>
        <v>High Balance</v>
      </c>
      <c r="P6318" t="str">
        <f t="shared" si="395"/>
        <v>Mid-term</v>
      </c>
    </row>
    <row r="6319" spans="1:16" x14ac:dyDescent="0.25">
      <c r="A6319">
        <v>2025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  <c r="M6319" t="str">
        <f t="shared" si="392"/>
        <v>&lt;30</v>
      </c>
      <c r="N6319" t="str">
        <f t="shared" si="393"/>
        <v>Low</v>
      </c>
      <c r="O6319" t="str">
        <f t="shared" si="394"/>
        <v>High Balance</v>
      </c>
      <c r="P6319" t="str">
        <f t="shared" si="395"/>
        <v>Mid-term</v>
      </c>
    </row>
    <row r="6320" spans="1:16" x14ac:dyDescent="0.25">
      <c r="A6320">
        <v>2025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  <c r="M6320" t="str">
        <f t="shared" si="392"/>
        <v>46-60</v>
      </c>
      <c r="N6320" t="str">
        <f t="shared" si="393"/>
        <v>High</v>
      </c>
      <c r="O6320" t="str">
        <f t="shared" si="394"/>
        <v>High Balance</v>
      </c>
      <c r="P6320" t="str">
        <f t="shared" si="395"/>
        <v>Long-term</v>
      </c>
    </row>
    <row r="6321" spans="1:16" x14ac:dyDescent="0.25">
      <c r="A6321">
        <v>2025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  <c r="M6321" t="str">
        <f t="shared" si="392"/>
        <v>&lt;30</v>
      </c>
      <c r="N6321" t="str">
        <f t="shared" si="393"/>
        <v>Medium</v>
      </c>
      <c r="O6321" t="str">
        <f t="shared" si="394"/>
        <v>High Balance</v>
      </c>
      <c r="P6321" t="str">
        <f t="shared" si="395"/>
        <v>New</v>
      </c>
    </row>
    <row r="6322" spans="1:16" x14ac:dyDescent="0.25">
      <c r="A6322">
        <v>2025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  <c r="M6322" t="str">
        <f t="shared" si="392"/>
        <v>30-45</v>
      </c>
      <c r="N6322" t="str">
        <f t="shared" si="393"/>
        <v>Medium</v>
      </c>
      <c r="O6322" t="str">
        <f t="shared" si="394"/>
        <v>High Balance</v>
      </c>
      <c r="P6322" t="str">
        <f t="shared" si="395"/>
        <v>Mid-term</v>
      </c>
    </row>
    <row r="6323" spans="1:16" x14ac:dyDescent="0.25">
      <c r="A6323">
        <v>2025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  <c r="M6323" t="str">
        <f t="shared" si="392"/>
        <v>46-60</v>
      </c>
      <c r="N6323" t="str">
        <f t="shared" si="393"/>
        <v>Medium</v>
      </c>
      <c r="O6323" t="str">
        <f t="shared" si="394"/>
        <v>High Balance</v>
      </c>
      <c r="P6323" t="str">
        <f t="shared" si="395"/>
        <v>New</v>
      </c>
    </row>
    <row r="6324" spans="1:16" x14ac:dyDescent="0.25">
      <c r="A6324">
        <v>2025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  <c r="M6324" t="str">
        <f t="shared" si="392"/>
        <v>46-60</v>
      </c>
      <c r="N6324" t="str">
        <f t="shared" si="393"/>
        <v>High</v>
      </c>
      <c r="O6324" t="str">
        <f t="shared" si="394"/>
        <v>Zero Balance</v>
      </c>
      <c r="P6324" t="str">
        <f t="shared" si="395"/>
        <v>New</v>
      </c>
    </row>
    <row r="6325" spans="1:16" x14ac:dyDescent="0.25">
      <c r="A6325">
        <v>2025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  <c r="M6325" t="str">
        <f t="shared" si="392"/>
        <v>30-45</v>
      </c>
      <c r="N6325" t="str">
        <f t="shared" si="393"/>
        <v>Medium</v>
      </c>
      <c r="O6325" t="str">
        <f t="shared" si="394"/>
        <v>High Balance</v>
      </c>
      <c r="P6325" t="str">
        <f t="shared" si="395"/>
        <v>Long-term</v>
      </c>
    </row>
    <row r="6326" spans="1:16" x14ac:dyDescent="0.25">
      <c r="A6326">
        <v>2025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  <c r="M6326" t="str">
        <f t="shared" si="392"/>
        <v>&lt;30</v>
      </c>
      <c r="N6326" t="str">
        <f t="shared" si="393"/>
        <v>High</v>
      </c>
      <c r="O6326" t="str">
        <f t="shared" si="394"/>
        <v>Zero Balance</v>
      </c>
      <c r="P6326" t="str">
        <f t="shared" si="395"/>
        <v>New</v>
      </c>
    </row>
    <row r="6327" spans="1:16" x14ac:dyDescent="0.25">
      <c r="A6327">
        <v>2025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  <c r="M6327" t="str">
        <f t="shared" si="392"/>
        <v>46-60</v>
      </c>
      <c r="N6327" t="str">
        <f t="shared" si="393"/>
        <v>High</v>
      </c>
      <c r="O6327" t="str">
        <f t="shared" si="394"/>
        <v>High Balance</v>
      </c>
      <c r="P6327" t="str">
        <f t="shared" si="395"/>
        <v>Mid-term</v>
      </c>
    </row>
    <row r="6328" spans="1:16" x14ac:dyDescent="0.25">
      <c r="A6328">
        <v>2025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  <c r="M6328" t="str">
        <f t="shared" si="392"/>
        <v>30-45</v>
      </c>
      <c r="N6328" t="str">
        <f t="shared" si="393"/>
        <v>Medium</v>
      </c>
      <c r="O6328" t="str">
        <f t="shared" si="394"/>
        <v>High Balance</v>
      </c>
      <c r="P6328" t="str">
        <f t="shared" si="395"/>
        <v>Long-term</v>
      </c>
    </row>
    <row r="6329" spans="1:16" x14ac:dyDescent="0.25">
      <c r="A6329">
        <v>2025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  <c r="M6329" t="str">
        <f t="shared" si="392"/>
        <v>30-45</v>
      </c>
      <c r="N6329" t="str">
        <f t="shared" si="393"/>
        <v>Medium</v>
      </c>
      <c r="O6329" t="str">
        <f t="shared" si="394"/>
        <v>High Balance</v>
      </c>
      <c r="P6329" t="str">
        <f t="shared" si="395"/>
        <v>New</v>
      </c>
    </row>
    <row r="6330" spans="1:16" x14ac:dyDescent="0.25">
      <c r="A6330">
        <v>2025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  <c r="M6330" t="str">
        <f t="shared" si="392"/>
        <v>30-45</v>
      </c>
      <c r="N6330" t="str">
        <f t="shared" si="393"/>
        <v>High</v>
      </c>
      <c r="O6330" t="str">
        <f t="shared" si="394"/>
        <v>High Balance</v>
      </c>
      <c r="P6330" t="str">
        <f t="shared" si="395"/>
        <v>Mid-term</v>
      </c>
    </row>
    <row r="6331" spans="1:16" x14ac:dyDescent="0.25">
      <c r="A6331">
        <v>2025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  <c r="M6331" t="str">
        <f t="shared" si="392"/>
        <v>30-45</v>
      </c>
      <c r="N6331" t="str">
        <f t="shared" si="393"/>
        <v>High</v>
      </c>
      <c r="O6331" t="str">
        <f t="shared" si="394"/>
        <v>High Balance</v>
      </c>
      <c r="P6331" t="str">
        <f t="shared" si="395"/>
        <v>New</v>
      </c>
    </row>
    <row r="6332" spans="1:16" x14ac:dyDescent="0.25">
      <c r="A6332">
        <v>2025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  <c r="M6332" t="str">
        <f t="shared" si="392"/>
        <v>30-45</v>
      </c>
      <c r="N6332" t="str">
        <f t="shared" si="393"/>
        <v>High</v>
      </c>
      <c r="O6332" t="str">
        <f t="shared" si="394"/>
        <v>Zero Balance</v>
      </c>
      <c r="P6332" t="str">
        <f t="shared" si="395"/>
        <v>Mid-term</v>
      </c>
    </row>
    <row r="6333" spans="1:16" x14ac:dyDescent="0.25">
      <c r="A6333">
        <v>2025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  <c r="M6333" t="str">
        <f t="shared" si="392"/>
        <v>30-45</v>
      </c>
      <c r="N6333" t="str">
        <f t="shared" si="393"/>
        <v>Medium</v>
      </c>
      <c r="O6333" t="str">
        <f t="shared" si="394"/>
        <v>High Balance</v>
      </c>
      <c r="P6333" t="str">
        <f t="shared" si="395"/>
        <v>Long-term</v>
      </c>
    </row>
    <row r="6334" spans="1:16" x14ac:dyDescent="0.25">
      <c r="A6334">
        <v>2025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  <c r="M6334" t="str">
        <f t="shared" si="392"/>
        <v>30-45</v>
      </c>
      <c r="N6334" t="str">
        <f t="shared" si="393"/>
        <v>Medium</v>
      </c>
      <c r="O6334" t="str">
        <f t="shared" si="394"/>
        <v>Low Balance</v>
      </c>
      <c r="P6334" t="str">
        <f t="shared" si="395"/>
        <v>Mid-term</v>
      </c>
    </row>
    <row r="6335" spans="1:16" x14ac:dyDescent="0.25">
      <c r="A6335">
        <v>2025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  <c r="M6335" t="str">
        <f t="shared" si="392"/>
        <v>30-45</v>
      </c>
      <c r="N6335" t="str">
        <f t="shared" si="393"/>
        <v>Medium</v>
      </c>
      <c r="O6335" t="str">
        <f t="shared" si="394"/>
        <v>High Balance</v>
      </c>
      <c r="P6335" t="str">
        <f t="shared" si="395"/>
        <v>Long-term</v>
      </c>
    </row>
    <row r="6336" spans="1:16" x14ac:dyDescent="0.25">
      <c r="A6336">
        <v>2025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  <c r="M6336" t="str">
        <f t="shared" si="392"/>
        <v>30-45</v>
      </c>
      <c r="N6336" t="str">
        <f t="shared" si="393"/>
        <v>Medium</v>
      </c>
      <c r="O6336" t="str">
        <f t="shared" si="394"/>
        <v>Zero Balance</v>
      </c>
      <c r="P6336" t="str">
        <f t="shared" si="395"/>
        <v>Mid-term</v>
      </c>
    </row>
    <row r="6337" spans="1:16" x14ac:dyDescent="0.25">
      <c r="A6337">
        <v>2025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  <c r="M6337" t="str">
        <f t="shared" si="392"/>
        <v>30-45</v>
      </c>
      <c r="N6337" t="str">
        <f t="shared" si="393"/>
        <v>Medium</v>
      </c>
      <c r="O6337" t="str">
        <f t="shared" si="394"/>
        <v>Zero Balance</v>
      </c>
      <c r="P6337" t="str">
        <f t="shared" si="395"/>
        <v>New</v>
      </c>
    </row>
    <row r="6338" spans="1:16" x14ac:dyDescent="0.25">
      <c r="A6338">
        <v>2025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  <c r="M6338" t="str">
        <f t="shared" si="392"/>
        <v>30-45</v>
      </c>
      <c r="N6338" t="str">
        <f t="shared" si="393"/>
        <v>Medium</v>
      </c>
      <c r="O6338" t="str">
        <f t="shared" si="394"/>
        <v>High Balance</v>
      </c>
      <c r="P6338" t="str">
        <f t="shared" si="395"/>
        <v>Mid-term</v>
      </c>
    </row>
    <row r="6339" spans="1:16" x14ac:dyDescent="0.25">
      <c r="A6339">
        <v>2025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  <c r="M6339" t="str">
        <f t="shared" ref="M6339:M6402" si="396">IF(E6339&lt;30,"&lt;30",IF(E6339&lt;=45,"30-45",IF(E6339&lt;=60,"46-60","60+")))</f>
        <v>30-45</v>
      </c>
      <c r="N6339" t="str">
        <f t="shared" ref="N6339:N6402" si="397">IF(B6339&lt;500,"Low",IF(B6339&lt;700,"Medium","High"))</f>
        <v>High</v>
      </c>
      <c r="O6339" t="str">
        <f t="shared" ref="O6339:O6402" si="398">IF(G6339=0,"Zero Balance",IF(G6339&lt;100000,"Low Balance","High Balance"))</f>
        <v>High Balance</v>
      </c>
      <c r="P6339" t="str">
        <f t="shared" ref="P6339:P6402" si="399">IF(F6339&lt;=3,"New",IF(F6339&lt;=7,"Mid-term","Long-term"))</f>
        <v>New</v>
      </c>
    </row>
    <row r="6340" spans="1:16" x14ac:dyDescent="0.25">
      <c r="A6340">
        <v>2025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  <c r="M6340" t="str">
        <f t="shared" si="396"/>
        <v>30-45</v>
      </c>
      <c r="N6340" t="str">
        <f t="shared" si="397"/>
        <v>Medium</v>
      </c>
      <c r="O6340" t="str">
        <f t="shared" si="398"/>
        <v>High Balance</v>
      </c>
      <c r="P6340" t="str">
        <f t="shared" si="399"/>
        <v>Long-term</v>
      </c>
    </row>
    <row r="6341" spans="1:16" x14ac:dyDescent="0.25">
      <c r="A6341">
        <v>2025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  <c r="M6341" t="str">
        <f t="shared" si="396"/>
        <v>&lt;30</v>
      </c>
      <c r="N6341" t="str">
        <f t="shared" si="397"/>
        <v>Medium</v>
      </c>
      <c r="O6341" t="str">
        <f t="shared" si="398"/>
        <v>Low Balance</v>
      </c>
      <c r="P6341" t="str">
        <f t="shared" si="399"/>
        <v>Long-term</v>
      </c>
    </row>
    <row r="6342" spans="1:16" x14ac:dyDescent="0.25">
      <c r="A6342">
        <v>2025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  <c r="M6342" t="str">
        <f t="shared" si="396"/>
        <v>30-45</v>
      </c>
      <c r="N6342" t="str">
        <f t="shared" si="397"/>
        <v>High</v>
      </c>
      <c r="O6342" t="str">
        <f t="shared" si="398"/>
        <v>Zero Balance</v>
      </c>
      <c r="P6342" t="str">
        <f t="shared" si="399"/>
        <v>Long-term</v>
      </c>
    </row>
    <row r="6343" spans="1:16" x14ac:dyDescent="0.25">
      <c r="A6343">
        <v>2025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  <c r="M6343" t="str">
        <f t="shared" si="396"/>
        <v>30-45</v>
      </c>
      <c r="N6343" t="str">
        <f t="shared" si="397"/>
        <v>High</v>
      </c>
      <c r="O6343" t="str">
        <f t="shared" si="398"/>
        <v>High Balance</v>
      </c>
      <c r="P6343" t="str">
        <f t="shared" si="399"/>
        <v>New</v>
      </c>
    </row>
    <row r="6344" spans="1:16" x14ac:dyDescent="0.25">
      <c r="A6344">
        <v>2025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  <c r="M6344" t="str">
        <f t="shared" si="396"/>
        <v>30-45</v>
      </c>
      <c r="N6344" t="str">
        <f t="shared" si="397"/>
        <v>Medium</v>
      </c>
      <c r="O6344" t="str">
        <f t="shared" si="398"/>
        <v>High Balance</v>
      </c>
      <c r="P6344" t="str">
        <f t="shared" si="399"/>
        <v>Long-term</v>
      </c>
    </row>
    <row r="6345" spans="1:16" x14ac:dyDescent="0.25">
      <c r="A6345">
        <v>2025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  <c r="M6345" t="str">
        <f t="shared" si="396"/>
        <v>46-60</v>
      </c>
      <c r="N6345" t="str">
        <f t="shared" si="397"/>
        <v>Medium</v>
      </c>
      <c r="O6345" t="str">
        <f t="shared" si="398"/>
        <v>Zero Balance</v>
      </c>
      <c r="P6345" t="str">
        <f t="shared" si="399"/>
        <v>Mid-term</v>
      </c>
    </row>
    <row r="6346" spans="1:16" x14ac:dyDescent="0.25">
      <c r="A6346">
        <v>2025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  <c r="M6346" t="str">
        <f t="shared" si="396"/>
        <v>30-45</v>
      </c>
      <c r="N6346" t="str">
        <f t="shared" si="397"/>
        <v>High</v>
      </c>
      <c r="O6346" t="str">
        <f t="shared" si="398"/>
        <v>Zero Balance</v>
      </c>
      <c r="P6346" t="str">
        <f t="shared" si="399"/>
        <v>New</v>
      </c>
    </row>
    <row r="6347" spans="1:16" x14ac:dyDescent="0.25">
      <c r="A6347">
        <v>2025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  <c r="M6347" t="str">
        <f t="shared" si="396"/>
        <v>30-45</v>
      </c>
      <c r="N6347" t="str">
        <f t="shared" si="397"/>
        <v>High</v>
      </c>
      <c r="O6347" t="str">
        <f t="shared" si="398"/>
        <v>Zero Balance</v>
      </c>
      <c r="P6347" t="str">
        <f t="shared" si="399"/>
        <v>Mid-term</v>
      </c>
    </row>
    <row r="6348" spans="1:16" x14ac:dyDescent="0.25">
      <c r="A6348">
        <v>2025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  <c r="M6348" t="str">
        <f t="shared" si="396"/>
        <v>46-60</v>
      </c>
      <c r="N6348" t="str">
        <f t="shared" si="397"/>
        <v>Medium</v>
      </c>
      <c r="O6348" t="str">
        <f t="shared" si="398"/>
        <v>High Balance</v>
      </c>
      <c r="P6348" t="str">
        <f t="shared" si="399"/>
        <v>New</v>
      </c>
    </row>
    <row r="6349" spans="1:16" x14ac:dyDescent="0.25">
      <c r="A6349">
        <v>2025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  <c r="M6349" t="str">
        <f t="shared" si="396"/>
        <v>30-45</v>
      </c>
      <c r="N6349" t="str">
        <f t="shared" si="397"/>
        <v>Medium</v>
      </c>
      <c r="O6349" t="str">
        <f t="shared" si="398"/>
        <v>High Balance</v>
      </c>
      <c r="P6349" t="str">
        <f t="shared" si="399"/>
        <v>Long-term</v>
      </c>
    </row>
    <row r="6350" spans="1:16" x14ac:dyDescent="0.25">
      <c r="A6350">
        <v>2025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  <c r="M6350" t="str">
        <f t="shared" si="396"/>
        <v>30-45</v>
      </c>
      <c r="N6350" t="str">
        <f t="shared" si="397"/>
        <v>Medium</v>
      </c>
      <c r="O6350" t="str">
        <f t="shared" si="398"/>
        <v>High Balance</v>
      </c>
      <c r="P6350" t="str">
        <f t="shared" si="399"/>
        <v>Long-term</v>
      </c>
    </row>
    <row r="6351" spans="1:16" x14ac:dyDescent="0.25">
      <c r="A6351">
        <v>2025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  <c r="M6351" t="str">
        <f t="shared" si="396"/>
        <v>&lt;30</v>
      </c>
      <c r="N6351" t="str">
        <f t="shared" si="397"/>
        <v>Medium</v>
      </c>
      <c r="O6351" t="str">
        <f t="shared" si="398"/>
        <v>Zero Balance</v>
      </c>
      <c r="P6351" t="str">
        <f t="shared" si="399"/>
        <v>Mid-term</v>
      </c>
    </row>
    <row r="6352" spans="1:16" x14ac:dyDescent="0.25">
      <c r="A6352">
        <v>2025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  <c r="M6352" t="str">
        <f t="shared" si="396"/>
        <v>46-60</v>
      </c>
      <c r="N6352" t="str">
        <f t="shared" si="397"/>
        <v>Medium</v>
      </c>
      <c r="O6352" t="str">
        <f t="shared" si="398"/>
        <v>High Balance</v>
      </c>
      <c r="P6352" t="str">
        <f t="shared" si="399"/>
        <v>New</v>
      </c>
    </row>
    <row r="6353" spans="1:16" x14ac:dyDescent="0.25">
      <c r="A6353">
        <v>2025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  <c r="M6353" t="str">
        <f t="shared" si="396"/>
        <v>&lt;30</v>
      </c>
      <c r="N6353" t="str">
        <f t="shared" si="397"/>
        <v>Medium</v>
      </c>
      <c r="O6353" t="str">
        <f t="shared" si="398"/>
        <v>Zero Balance</v>
      </c>
      <c r="P6353" t="str">
        <f t="shared" si="399"/>
        <v>New</v>
      </c>
    </row>
    <row r="6354" spans="1:16" x14ac:dyDescent="0.25">
      <c r="A6354">
        <v>2025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  <c r="M6354" t="str">
        <f t="shared" si="396"/>
        <v>30-45</v>
      </c>
      <c r="N6354" t="str">
        <f t="shared" si="397"/>
        <v>High</v>
      </c>
      <c r="O6354" t="str">
        <f t="shared" si="398"/>
        <v>Zero Balance</v>
      </c>
      <c r="P6354" t="str">
        <f t="shared" si="399"/>
        <v>Long-term</v>
      </c>
    </row>
    <row r="6355" spans="1:16" x14ac:dyDescent="0.25">
      <c r="A6355">
        <v>2025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  <c r="M6355" t="str">
        <f t="shared" si="396"/>
        <v>30-45</v>
      </c>
      <c r="N6355" t="str">
        <f t="shared" si="397"/>
        <v>Medium</v>
      </c>
      <c r="O6355" t="str">
        <f t="shared" si="398"/>
        <v>High Balance</v>
      </c>
      <c r="P6355" t="str">
        <f t="shared" si="399"/>
        <v>Long-term</v>
      </c>
    </row>
    <row r="6356" spans="1:16" x14ac:dyDescent="0.25">
      <c r="A6356">
        <v>2025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  <c r="M6356" t="str">
        <f t="shared" si="396"/>
        <v>30-45</v>
      </c>
      <c r="N6356" t="str">
        <f t="shared" si="397"/>
        <v>Medium</v>
      </c>
      <c r="O6356" t="str">
        <f t="shared" si="398"/>
        <v>Zero Balance</v>
      </c>
      <c r="P6356" t="str">
        <f t="shared" si="399"/>
        <v>Mid-term</v>
      </c>
    </row>
    <row r="6357" spans="1:16" x14ac:dyDescent="0.25">
      <c r="A6357">
        <v>2025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  <c r="M6357" t="str">
        <f t="shared" si="396"/>
        <v>30-45</v>
      </c>
      <c r="N6357" t="str">
        <f t="shared" si="397"/>
        <v>Medium</v>
      </c>
      <c r="O6357" t="str">
        <f t="shared" si="398"/>
        <v>High Balance</v>
      </c>
      <c r="P6357" t="str">
        <f t="shared" si="399"/>
        <v>Mid-term</v>
      </c>
    </row>
    <row r="6358" spans="1:16" x14ac:dyDescent="0.25">
      <c r="A6358">
        <v>2025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  <c r="M6358" t="str">
        <f t="shared" si="396"/>
        <v>30-45</v>
      </c>
      <c r="N6358" t="str">
        <f t="shared" si="397"/>
        <v>Medium</v>
      </c>
      <c r="O6358" t="str">
        <f t="shared" si="398"/>
        <v>Zero Balance</v>
      </c>
      <c r="P6358" t="str">
        <f t="shared" si="399"/>
        <v>Long-term</v>
      </c>
    </row>
    <row r="6359" spans="1:16" x14ac:dyDescent="0.25">
      <c r="A6359">
        <v>2025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  <c r="M6359" t="str">
        <f t="shared" si="396"/>
        <v>60+</v>
      </c>
      <c r="N6359" t="str">
        <f t="shared" si="397"/>
        <v>Low</v>
      </c>
      <c r="O6359" t="str">
        <f t="shared" si="398"/>
        <v>High Balance</v>
      </c>
      <c r="P6359" t="str">
        <f t="shared" si="399"/>
        <v>New</v>
      </c>
    </row>
    <row r="6360" spans="1:16" x14ac:dyDescent="0.25">
      <c r="A6360">
        <v>2025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  <c r="M6360" t="str">
        <f t="shared" si="396"/>
        <v>30-45</v>
      </c>
      <c r="N6360" t="str">
        <f t="shared" si="397"/>
        <v>Medium</v>
      </c>
      <c r="O6360" t="str">
        <f t="shared" si="398"/>
        <v>Zero Balance</v>
      </c>
      <c r="P6360" t="str">
        <f t="shared" si="399"/>
        <v>New</v>
      </c>
    </row>
    <row r="6361" spans="1:16" x14ac:dyDescent="0.25">
      <c r="A6361">
        <v>2025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  <c r="M6361" t="str">
        <f t="shared" si="396"/>
        <v>30-45</v>
      </c>
      <c r="N6361" t="str">
        <f t="shared" si="397"/>
        <v>Medium</v>
      </c>
      <c r="O6361" t="str">
        <f t="shared" si="398"/>
        <v>High Balance</v>
      </c>
      <c r="P6361" t="str">
        <f t="shared" si="399"/>
        <v>Long-term</v>
      </c>
    </row>
    <row r="6362" spans="1:16" x14ac:dyDescent="0.25">
      <c r="A6362">
        <v>2025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  <c r="M6362" t="str">
        <f t="shared" si="396"/>
        <v>30-45</v>
      </c>
      <c r="N6362" t="str">
        <f t="shared" si="397"/>
        <v>Low</v>
      </c>
      <c r="O6362" t="str">
        <f t="shared" si="398"/>
        <v>High Balance</v>
      </c>
      <c r="P6362" t="str">
        <f t="shared" si="399"/>
        <v>New</v>
      </c>
    </row>
    <row r="6363" spans="1:16" x14ac:dyDescent="0.25">
      <c r="A6363">
        <v>2025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  <c r="M6363" t="str">
        <f t="shared" si="396"/>
        <v>&lt;30</v>
      </c>
      <c r="N6363" t="str">
        <f t="shared" si="397"/>
        <v>Low</v>
      </c>
      <c r="O6363" t="str">
        <f t="shared" si="398"/>
        <v>Low Balance</v>
      </c>
      <c r="P6363" t="str">
        <f t="shared" si="399"/>
        <v>New</v>
      </c>
    </row>
    <row r="6364" spans="1:16" x14ac:dyDescent="0.25">
      <c r="A6364">
        <v>2025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  <c r="M6364" t="str">
        <f t="shared" si="396"/>
        <v>30-45</v>
      </c>
      <c r="N6364" t="str">
        <f t="shared" si="397"/>
        <v>Medium</v>
      </c>
      <c r="O6364" t="str">
        <f t="shared" si="398"/>
        <v>Zero Balance</v>
      </c>
      <c r="P6364" t="str">
        <f t="shared" si="399"/>
        <v>Long-term</v>
      </c>
    </row>
    <row r="6365" spans="1:16" x14ac:dyDescent="0.25">
      <c r="A6365">
        <v>2025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  <c r="M6365" t="str">
        <f t="shared" si="396"/>
        <v>30-45</v>
      </c>
      <c r="N6365" t="str">
        <f t="shared" si="397"/>
        <v>Medium</v>
      </c>
      <c r="O6365" t="str">
        <f t="shared" si="398"/>
        <v>High Balance</v>
      </c>
      <c r="P6365" t="str">
        <f t="shared" si="399"/>
        <v>Mid-term</v>
      </c>
    </row>
    <row r="6366" spans="1:16" x14ac:dyDescent="0.25">
      <c r="A6366">
        <v>2025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  <c r="M6366" t="str">
        <f t="shared" si="396"/>
        <v>&lt;30</v>
      </c>
      <c r="N6366" t="str">
        <f t="shared" si="397"/>
        <v>Medium</v>
      </c>
      <c r="O6366" t="str">
        <f t="shared" si="398"/>
        <v>High Balance</v>
      </c>
      <c r="P6366" t="str">
        <f t="shared" si="399"/>
        <v>Mid-term</v>
      </c>
    </row>
    <row r="6367" spans="1:16" x14ac:dyDescent="0.25">
      <c r="A6367">
        <v>2025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  <c r="M6367" t="str">
        <f t="shared" si="396"/>
        <v>46-60</v>
      </c>
      <c r="N6367" t="str">
        <f t="shared" si="397"/>
        <v>High</v>
      </c>
      <c r="O6367" t="str">
        <f t="shared" si="398"/>
        <v>High Balance</v>
      </c>
      <c r="P6367" t="str">
        <f t="shared" si="399"/>
        <v>Mid-term</v>
      </c>
    </row>
    <row r="6368" spans="1:16" x14ac:dyDescent="0.25">
      <c r="A6368">
        <v>2025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  <c r="M6368" t="str">
        <f t="shared" si="396"/>
        <v>60+</v>
      </c>
      <c r="N6368" t="str">
        <f t="shared" si="397"/>
        <v>Medium</v>
      </c>
      <c r="O6368" t="str">
        <f t="shared" si="398"/>
        <v>High Balance</v>
      </c>
      <c r="P6368" t="str">
        <f t="shared" si="399"/>
        <v>Long-term</v>
      </c>
    </row>
    <row r="6369" spans="1:16" x14ac:dyDescent="0.25">
      <c r="A6369">
        <v>2025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  <c r="M6369" t="str">
        <f t="shared" si="396"/>
        <v>30-45</v>
      </c>
      <c r="N6369" t="str">
        <f t="shared" si="397"/>
        <v>Medium</v>
      </c>
      <c r="O6369" t="str">
        <f t="shared" si="398"/>
        <v>Zero Balance</v>
      </c>
      <c r="P6369" t="str">
        <f t="shared" si="399"/>
        <v>Long-term</v>
      </c>
    </row>
    <row r="6370" spans="1:16" x14ac:dyDescent="0.25">
      <c r="A6370">
        <v>2025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  <c r="M6370" t="str">
        <f t="shared" si="396"/>
        <v>46-60</v>
      </c>
      <c r="N6370" t="str">
        <f t="shared" si="397"/>
        <v>Medium</v>
      </c>
      <c r="O6370" t="str">
        <f t="shared" si="398"/>
        <v>High Balance</v>
      </c>
      <c r="P6370" t="str">
        <f t="shared" si="399"/>
        <v>New</v>
      </c>
    </row>
    <row r="6371" spans="1:16" x14ac:dyDescent="0.25">
      <c r="A6371">
        <v>2025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  <c r="M6371" t="str">
        <f t="shared" si="396"/>
        <v>30-45</v>
      </c>
      <c r="N6371" t="str">
        <f t="shared" si="397"/>
        <v>Medium</v>
      </c>
      <c r="O6371" t="str">
        <f t="shared" si="398"/>
        <v>Zero Balance</v>
      </c>
      <c r="P6371" t="str">
        <f t="shared" si="399"/>
        <v>New</v>
      </c>
    </row>
    <row r="6372" spans="1:16" x14ac:dyDescent="0.25">
      <c r="A6372">
        <v>2025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  <c r="M6372" t="str">
        <f t="shared" si="396"/>
        <v>30-45</v>
      </c>
      <c r="N6372" t="str">
        <f t="shared" si="397"/>
        <v>High</v>
      </c>
      <c r="O6372" t="str">
        <f t="shared" si="398"/>
        <v>Zero Balance</v>
      </c>
      <c r="P6372" t="str">
        <f t="shared" si="399"/>
        <v>New</v>
      </c>
    </row>
    <row r="6373" spans="1:16" x14ac:dyDescent="0.25">
      <c r="A6373">
        <v>2025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  <c r="M6373" t="str">
        <f t="shared" si="396"/>
        <v>30-45</v>
      </c>
      <c r="N6373" t="str">
        <f t="shared" si="397"/>
        <v>Medium</v>
      </c>
      <c r="O6373" t="str">
        <f t="shared" si="398"/>
        <v>Zero Balance</v>
      </c>
      <c r="P6373" t="str">
        <f t="shared" si="399"/>
        <v>Mid-term</v>
      </c>
    </row>
    <row r="6374" spans="1:16" x14ac:dyDescent="0.25">
      <c r="A6374">
        <v>2025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  <c r="M6374" t="str">
        <f t="shared" si="396"/>
        <v>46-60</v>
      </c>
      <c r="N6374" t="str">
        <f t="shared" si="397"/>
        <v>Medium</v>
      </c>
      <c r="O6374" t="str">
        <f t="shared" si="398"/>
        <v>High Balance</v>
      </c>
      <c r="P6374" t="str">
        <f t="shared" si="399"/>
        <v>New</v>
      </c>
    </row>
    <row r="6375" spans="1:16" x14ac:dyDescent="0.25">
      <c r="A6375">
        <v>2025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  <c r="M6375" t="str">
        <f t="shared" si="396"/>
        <v>60+</v>
      </c>
      <c r="N6375" t="str">
        <f t="shared" si="397"/>
        <v>Medium</v>
      </c>
      <c r="O6375" t="str">
        <f t="shared" si="398"/>
        <v>Zero Balance</v>
      </c>
      <c r="P6375" t="str">
        <f t="shared" si="399"/>
        <v>New</v>
      </c>
    </row>
    <row r="6376" spans="1:16" x14ac:dyDescent="0.25">
      <c r="A6376">
        <v>2025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  <c r="M6376" t="str">
        <f t="shared" si="396"/>
        <v>30-45</v>
      </c>
      <c r="N6376" t="str">
        <f t="shared" si="397"/>
        <v>Medium</v>
      </c>
      <c r="O6376" t="str">
        <f t="shared" si="398"/>
        <v>Zero Balance</v>
      </c>
      <c r="P6376" t="str">
        <f t="shared" si="399"/>
        <v>New</v>
      </c>
    </row>
    <row r="6377" spans="1:16" x14ac:dyDescent="0.25">
      <c r="A6377">
        <v>2025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  <c r="M6377" t="str">
        <f t="shared" si="396"/>
        <v>60+</v>
      </c>
      <c r="N6377" t="str">
        <f t="shared" si="397"/>
        <v>Medium</v>
      </c>
      <c r="O6377" t="str">
        <f t="shared" si="398"/>
        <v>Zero Balance</v>
      </c>
      <c r="P6377" t="str">
        <f t="shared" si="399"/>
        <v>Mid-term</v>
      </c>
    </row>
    <row r="6378" spans="1:16" x14ac:dyDescent="0.25">
      <c r="A6378">
        <v>2025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  <c r="M6378" t="str">
        <f t="shared" si="396"/>
        <v>46-60</v>
      </c>
      <c r="N6378" t="str">
        <f t="shared" si="397"/>
        <v>High</v>
      </c>
      <c r="O6378" t="str">
        <f t="shared" si="398"/>
        <v>Low Balance</v>
      </c>
      <c r="P6378" t="str">
        <f t="shared" si="399"/>
        <v>Mid-term</v>
      </c>
    </row>
    <row r="6379" spans="1:16" x14ac:dyDescent="0.25">
      <c r="A6379">
        <v>2025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  <c r="M6379" t="str">
        <f t="shared" si="396"/>
        <v>30-45</v>
      </c>
      <c r="N6379" t="str">
        <f t="shared" si="397"/>
        <v>Medium</v>
      </c>
      <c r="O6379" t="str">
        <f t="shared" si="398"/>
        <v>Zero Balance</v>
      </c>
      <c r="P6379" t="str">
        <f t="shared" si="399"/>
        <v>Long-term</v>
      </c>
    </row>
    <row r="6380" spans="1:16" x14ac:dyDescent="0.25">
      <c r="A6380">
        <v>2025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  <c r="M6380" t="str">
        <f t="shared" si="396"/>
        <v>30-45</v>
      </c>
      <c r="N6380" t="str">
        <f t="shared" si="397"/>
        <v>Medium</v>
      </c>
      <c r="O6380" t="str">
        <f t="shared" si="398"/>
        <v>Zero Balance</v>
      </c>
      <c r="P6380" t="str">
        <f t="shared" si="399"/>
        <v>New</v>
      </c>
    </row>
    <row r="6381" spans="1:16" x14ac:dyDescent="0.25">
      <c r="A6381">
        <v>2025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  <c r="M6381" t="str">
        <f t="shared" si="396"/>
        <v>30-45</v>
      </c>
      <c r="N6381" t="str">
        <f t="shared" si="397"/>
        <v>Medium</v>
      </c>
      <c r="O6381" t="str">
        <f t="shared" si="398"/>
        <v>Low Balance</v>
      </c>
      <c r="P6381" t="str">
        <f t="shared" si="399"/>
        <v>Mid-term</v>
      </c>
    </row>
    <row r="6382" spans="1:16" x14ac:dyDescent="0.25">
      <c r="A6382">
        <v>2025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  <c r="M6382" t="str">
        <f t="shared" si="396"/>
        <v>30-45</v>
      </c>
      <c r="N6382" t="str">
        <f t="shared" si="397"/>
        <v>Medium</v>
      </c>
      <c r="O6382" t="str">
        <f t="shared" si="398"/>
        <v>High Balance</v>
      </c>
      <c r="P6382" t="str">
        <f t="shared" si="399"/>
        <v>New</v>
      </c>
    </row>
    <row r="6383" spans="1:16" x14ac:dyDescent="0.25">
      <c r="A6383">
        <v>2025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  <c r="M6383" t="str">
        <f t="shared" si="396"/>
        <v>30-45</v>
      </c>
      <c r="N6383" t="str">
        <f t="shared" si="397"/>
        <v>High</v>
      </c>
      <c r="O6383" t="str">
        <f t="shared" si="398"/>
        <v>High Balance</v>
      </c>
      <c r="P6383" t="str">
        <f t="shared" si="399"/>
        <v>New</v>
      </c>
    </row>
    <row r="6384" spans="1:16" x14ac:dyDescent="0.25">
      <c r="A6384">
        <v>2025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  <c r="M6384" t="str">
        <f t="shared" si="396"/>
        <v>&lt;30</v>
      </c>
      <c r="N6384" t="str">
        <f t="shared" si="397"/>
        <v>High</v>
      </c>
      <c r="O6384" t="str">
        <f t="shared" si="398"/>
        <v>Zero Balance</v>
      </c>
      <c r="P6384" t="str">
        <f t="shared" si="399"/>
        <v>Mid-term</v>
      </c>
    </row>
    <row r="6385" spans="1:16" x14ac:dyDescent="0.25">
      <c r="A6385">
        <v>2025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  <c r="M6385" t="str">
        <f t="shared" si="396"/>
        <v>30-45</v>
      </c>
      <c r="N6385" t="str">
        <f t="shared" si="397"/>
        <v>Medium</v>
      </c>
      <c r="O6385" t="str">
        <f t="shared" si="398"/>
        <v>High Balance</v>
      </c>
      <c r="P6385" t="str">
        <f t="shared" si="399"/>
        <v>Mid-term</v>
      </c>
    </row>
    <row r="6386" spans="1:16" x14ac:dyDescent="0.25">
      <c r="A6386">
        <v>2025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  <c r="M6386" t="str">
        <f t="shared" si="396"/>
        <v>30-45</v>
      </c>
      <c r="N6386" t="str">
        <f t="shared" si="397"/>
        <v>Medium</v>
      </c>
      <c r="O6386" t="str">
        <f t="shared" si="398"/>
        <v>Zero Balance</v>
      </c>
      <c r="P6386" t="str">
        <f t="shared" si="399"/>
        <v>Mid-term</v>
      </c>
    </row>
    <row r="6387" spans="1:16" x14ac:dyDescent="0.25">
      <c r="A6387">
        <v>2025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  <c r="M6387" t="str">
        <f t="shared" si="396"/>
        <v>30-45</v>
      </c>
      <c r="N6387" t="str">
        <f t="shared" si="397"/>
        <v>Medium</v>
      </c>
      <c r="O6387" t="str">
        <f t="shared" si="398"/>
        <v>High Balance</v>
      </c>
      <c r="P6387" t="str">
        <f t="shared" si="399"/>
        <v>New</v>
      </c>
    </row>
    <row r="6388" spans="1:16" x14ac:dyDescent="0.25">
      <c r="A6388">
        <v>2025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  <c r="M6388" t="str">
        <f t="shared" si="396"/>
        <v>30-45</v>
      </c>
      <c r="N6388" t="str">
        <f t="shared" si="397"/>
        <v>Medium</v>
      </c>
      <c r="O6388" t="str">
        <f t="shared" si="398"/>
        <v>Zero Balance</v>
      </c>
      <c r="P6388" t="str">
        <f t="shared" si="399"/>
        <v>Mid-term</v>
      </c>
    </row>
    <row r="6389" spans="1:16" x14ac:dyDescent="0.25">
      <c r="A6389">
        <v>2025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  <c r="M6389" t="str">
        <f t="shared" si="396"/>
        <v>30-45</v>
      </c>
      <c r="N6389" t="str">
        <f t="shared" si="397"/>
        <v>Medium</v>
      </c>
      <c r="O6389" t="str">
        <f t="shared" si="398"/>
        <v>Zero Balance</v>
      </c>
      <c r="P6389" t="str">
        <f t="shared" si="399"/>
        <v>Long-term</v>
      </c>
    </row>
    <row r="6390" spans="1:16" x14ac:dyDescent="0.25">
      <c r="A6390">
        <v>2025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  <c r="M6390" t="str">
        <f t="shared" si="396"/>
        <v>30-45</v>
      </c>
      <c r="N6390" t="str">
        <f t="shared" si="397"/>
        <v>High</v>
      </c>
      <c r="O6390" t="str">
        <f t="shared" si="398"/>
        <v>High Balance</v>
      </c>
      <c r="P6390" t="str">
        <f t="shared" si="399"/>
        <v>New</v>
      </c>
    </row>
    <row r="6391" spans="1:16" x14ac:dyDescent="0.25">
      <c r="A6391">
        <v>2025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  <c r="M6391" t="str">
        <f t="shared" si="396"/>
        <v>30-45</v>
      </c>
      <c r="N6391" t="str">
        <f t="shared" si="397"/>
        <v>Medium</v>
      </c>
      <c r="O6391" t="str">
        <f t="shared" si="398"/>
        <v>High Balance</v>
      </c>
      <c r="P6391" t="str">
        <f t="shared" si="399"/>
        <v>Long-term</v>
      </c>
    </row>
    <row r="6392" spans="1:16" x14ac:dyDescent="0.25">
      <c r="A6392">
        <v>2025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  <c r="M6392" t="str">
        <f t="shared" si="396"/>
        <v>30-45</v>
      </c>
      <c r="N6392" t="str">
        <f t="shared" si="397"/>
        <v>Medium</v>
      </c>
      <c r="O6392" t="str">
        <f t="shared" si="398"/>
        <v>Zero Balance</v>
      </c>
      <c r="P6392" t="str">
        <f t="shared" si="399"/>
        <v>Mid-term</v>
      </c>
    </row>
    <row r="6393" spans="1:16" x14ac:dyDescent="0.25">
      <c r="A6393">
        <v>2025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  <c r="M6393" t="str">
        <f t="shared" si="396"/>
        <v>30-45</v>
      </c>
      <c r="N6393" t="str">
        <f t="shared" si="397"/>
        <v>High</v>
      </c>
      <c r="O6393" t="str">
        <f t="shared" si="398"/>
        <v>High Balance</v>
      </c>
      <c r="P6393" t="str">
        <f t="shared" si="399"/>
        <v>Mid-term</v>
      </c>
    </row>
    <row r="6394" spans="1:16" x14ac:dyDescent="0.25">
      <c r="A6394">
        <v>2025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  <c r="M6394" t="str">
        <f t="shared" si="396"/>
        <v>&lt;30</v>
      </c>
      <c r="N6394" t="str">
        <f t="shared" si="397"/>
        <v>Medium</v>
      </c>
      <c r="O6394" t="str">
        <f t="shared" si="398"/>
        <v>Low Balance</v>
      </c>
      <c r="P6394" t="str">
        <f t="shared" si="399"/>
        <v>New</v>
      </c>
    </row>
    <row r="6395" spans="1:16" x14ac:dyDescent="0.25">
      <c r="A6395">
        <v>2025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  <c r="M6395" t="str">
        <f t="shared" si="396"/>
        <v>30-45</v>
      </c>
      <c r="N6395" t="str">
        <f t="shared" si="397"/>
        <v>Medium</v>
      </c>
      <c r="O6395" t="str">
        <f t="shared" si="398"/>
        <v>High Balance</v>
      </c>
      <c r="P6395" t="str">
        <f t="shared" si="399"/>
        <v>Mid-term</v>
      </c>
    </row>
    <row r="6396" spans="1:16" x14ac:dyDescent="0.25">
      <c r="A6396">
        <v>2025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  <c r="M6396" t="str">
        <f t="shared" si="396"/>
        <v>30-45</v>
      </c>
      <c r="N6396" t="str">
        <f t="shared" si="397"/>
        <v>Low</v>
      </c>
      <c r="O6396" t="str">
        <f t="shared" si="398"/>
        <v>High Balance</v>
      </c>
      <c r="P6396" t="str">
        <f t="shared" si="399"/>
        <v>New</v>
      </c>
    </row>
    <row r="6397" spans="1:16" x14ac:dyDescent="0.25">
      <c r="A6397">
        <v>2025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  <c r="M6397" t="str">
        <f t="shared" si="396"/>
        <v>30-45</v>
      </c>
      <c r="N6397" t="str">
        <f t="shared" si="397"/>
        <v>High</v>
      </c>
      <c r="O6397" t="str">
        <f t="shared" si="398"/>
        <v>High Balance</v>
      </c>
      <c r="P6397" t="str">
        <f t="shared" si="399"/>
        <v>New</v>
      </c>
    </row>
    <row r="6398" spans="1:16" x14ac:dyDescent="0.25">
      <c r="A6398">
        <v>2025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  <c r="M6398" t="str">
        <f t="shared" si="396"/>
        <v>30-45</v>
      </c>
      <c r="N6398" t="str">
        <f t="shared" si="397"/>
        <v>Medium</v>
      </c>
      <c r="O6398" t="str">
        <f t="shared" si="398"/>
        <v>High Balance</v>
      </c>
      <c r="P6398" t="str">
        <f t="shared" si="399"/>
        <v>New</v>
      </c>
    </row>
    <row r="6399" spans="1:16" x14ac:dyDescent="0.25">
      <c r="A6399">
        <v>2025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  <c r="M6399" t="str">
        <f t="shared" si="396"/>
        <v>30-45</v>
      </c>
      <c r="N6399" t="str">
        <f t="shared" si="397"/>
        <v>Medium</v>
      </c>
      <c r="O6399" t="str">
        <f t="shared" si="398"/>
        <v>Low Balance</v>
      </c>
      <c r="P6399" t="str">
        <f t="shared" si="399"/>
        <v>Long-term</v>
      </c>
    </row>
    <row r="6400" spans="1:16" x14ac:dyDescent="0.25">
      <c r="A6400">
        <v>2025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  <c r="M6400" t="str">
        <f t="shared" si="396"/>
        <v>&lt;30</v>
      </c>
      <c r="N6400" t="str">
        <f t="shared" si="397"/>
        <v>Medium</v>
      </c>
      <c r="O6400" t="str">
        <f t="shared" si="398"/>
        <v>Low Balance</v>
      </c>
      <c r="P6400" t="str">
        <f t="shared" si="399"/>
        <v>Long-term</v>
      </c>
    </row>
    <row r="6401" spans="1:16" x14ac:dyDescent="0.25">
      <c r="A6401">
        <v>2025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  <c r="M6401" t="str">
        <f t="shared" si="396"/>
        <v>46-60</v>
      </c>
      <c r="N6401" t="str">
        <f t="shared" si="397"/>
        <v>Medium</v>
      </c>
      <c r="O6401" t="str">
        <f t="shared" si="398"/>
        <v>High Balance</v>
      </c>
      <c r="P6401" t="str">
        <f t="shared" si="399"/>
        <v>Long-term</v>
      </c>
    </row>
    <row r="6402" spans="1:16" x14ac:dyDescent="0.25">
      <c r="A6402">
        <v>2025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  <c r="M6402" t="str">
        <f t="shared" si="396"/>
        <v>30-45</v>
      </c>
      <c r="N6402" t="str">
        <f t="shared" si="397"/>
        <v>Medium</v>
      </c>
      <c r="O6402" t="str">
        <f t="shared" si="398"/>
        <v>Zero Balance</v>
      </c>
      <c r="P6402" t="str">
        <f t="shared" si="399"/>
        <v>Mid-term</v>
      </c>
    </row>
    <row r="6403" spans="1:16" x14ac:dyDescent="0.25">
      <c r="A6403">
        <v>2025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  <c r="M6403" t="str">
        <f t="shared" ref="M6403:M6466" si="400">IF(E6403&lt;30,"&lt;30",IF(E6403&lt;=45,"30-45",IF(E6403&lt;=60,"46-60","60+")))</f>
        <v>46-60</v>
      </c>
      <c r="N6403" t="str">
        <f t="shared" ref="N6403:N6466" si="401">IF(B6403&lt;500,"Low",IF(B6403&lt;700,"Medium","High"))</f>
        <v>Medium</v>
      </c>
      <c r="O6403" t="str">
        <f t="shared" ref="O6403:O6466" si="402">IF(G6403=0,"Zero Balance",IF(G6403&lt;100000,"Low Balance","High Balance"))</f>
        <v>Zero Balance</v>
      </c>
      <c r="P6403" t="str">
        <f t="shared" ref="P6403:P6466" si="403">IF(F6403&lt;=3,"New",IF(F6403&lt;=7,"Mid-term","Long-term"))</f>
        <v>Long-term</v>
      </c>
    </row>
    <row r="6404" spans="1:16" x14ac:dyDescent="0.25">
      <c r="A6404">
        <v>2025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  <c r="M6404" t="str">
        <f t="shared" si="400"/>
        <v>30-45</v>
      </c>
      <c r="N6404" t="str">
        <f t="shared" si="401"/>
        <v>High</v>
      </c>
      <c r="O6404" t="str">
        <f t="shared" si="402"/>
        <v>High Balance</v>
      </c>
      <c r="P6404" t="str">
        <f t="shared" si="403"/>
        <v>New</v>
      </c>
    </row>
    <row r="6405" spans="1:16" x14ac:dyDescent="0.25">
      <c r="A6405">
        <v>2025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  <c r="M6405" t="str">
        <f t="shared" si="400"/>
        <v>46-60</v>
      </c>
      <c r="N6405" t="str">
        <f t="shared" si="401"/>
        <v>High</v>
      </c>
      <c r="O6405" t="str">
        <f t="shared" si="402"/>
        <v>Low Balance</v>
      </c>
      <c r="P6405" t="str">
        <f t="shared" si="403"/>
        <v>New</v>
      </c>
    </row>
    <row r="6406" spans="1:16" x14ac:dyDescent="0.25">
      <c r="A6406">
        <v>2025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  <c r="M6406" t="str">
        <f t="shared" si="400"/>
        <v>46-60</v>
      </c>
      <c r="N6406" t="str">
        <f t="shared" si="401"/>
        <v>Medium</v>
      </c>
      <c r="O6406" t="str">
        <f t="shared" si="402"/>
        <v>Zero Balance</v>
      </c>
      <c r="P6406" t="str">
        <f t="shared" si="403"/>
        <v>New</v>
      </c>
    </row>
    <row r="6407" spans="1:16" x14ac:dyDescent="0.25">
      <c r="A6407">
        <v>2025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  <c r="M6407" t="str">
        <f t="shared" si="400"/>
        <v>30-45</v>
      </c>
      <c r="N6407" t="str">
        <f t="shared" si="401"/>
        <v>Medium</v>
      </c>
      <c r="O6407" t="str">
        <f t="shared" si="402"/>
        <v>High Balance</v>
      </c>
      <c r="P6407" t="str">
        <f t="shared" si="403"/>
        <v>Mid-term</v>
      </c>
    </row>
    <row r="6408" spans="1:16" x14ac:dyDescent="0.25">
      <c r="A6408">
        <v>2025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  <c r="M6408" t="str">
        <f t="shared" si="400"/>
        <v>30-45</v>
      </c>
      <c r="N6408" t="str">
        <f t="shared" si="401"/>
        <v>Medium</v>
      </c>
      <c r="O6408" t="str">
        <f t="shared" si="402"/>
        <v>High Balance</v>
      </c>
      <c r="P6408" t="str">
        <f t="shared" si="403"/>
        <v>Mid-term</v>
      </c>
    </row>
    <row r="6409" spans="1:16" x14ac:dyDescent="0.25">
      <c r="A6409">
        <v>2025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  <c r="M6409" t="str">
        <f t="shared" si="400"/>
        <v>30-45</v>
      </c>
      <c r="N6409" t="str">
        <f t="shared" si="401"/>
        <v>High</v>
      </c>
      <c r="O6409" t="str">
        <f t="shared" si="402"/>
        <v>High Balance</v>
      </c>
      <c r="P6409" t="str">
        <f t="shared" si="403"/>
        <v>Long-term</v>
      </c>
    </row>
    <row r="6410" spans="1:16" x14ac:dyDescent="0.25">
      <c r="A6410">
        <v>2025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  <c r="M6410" t="str">
        <f t="shared" si="400"/>
        <v>30-45</v>
      </c>
      <c r="N6410" t="str">
        <f t="shared" si="401"/>
        <v>High</v>
      </c>
      <c r="O6410" t="str">
        <f t="shared" si="402"/>
        <v>High Balance</v>
      </c>
      <c r="P6410" t="str">
        <f t="shared" si="403"/>
        <v>Mid-term</v>
      </c>
    </row>
    <row r="6411" spans="1:16" x14ac:dyDescent="0.25">
      <c r="A6411">
        <v>2025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  <c r="M6411" t="str">
        <f t="shared" si="400"/>
        <v>30-45</v>
      </c>
      <c r="N6411" t="str">
        <f t="shared" si="401"/>
        <v>Medium</v>
      </c>
      <c r="O6411" t="str">
        <f t="shared" si="402"/>
        <v>Zero Balance</v>
      </c>
      <c r="P6411" t="str">
        <f t="shared" si="403"/>
        <v>Long-term</v>
      </c>
    </row>
    <row r="6412" spans="1:16" x14ac:dyDescent="0.25">
      <c r="A6412">
        <v>2025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  <c r="M6412" t="str">
        <f t="shared" si="400"/>
        <v>60+</v>
      </c>
      <c r="N6412" t="str">
        <f t="shared" si="401"/>
        <v>Medium</v>
      </c>
      <c r="O6412" t="str">
        <f t="shared" si="402"/>
        <v>Zero Balance</v>
      </c>
      <c r="P6412" t="str">
        <f t="shared" si="403"/>
        <v>New</v>
      </c>
    </row>
    <row r="6413" spans="1:16" x14ac:dyDescent="0.25">
      <c r="A6413">
        <v>2025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  <c r="M6413" t="str">
        <f t="shared" si="400"/>
        <v>&lt;30</v>
      </c>
      <c r="N6413" t="str">
        <f t="shared" si="401"/>
        <v>Medium</v>
      </c>
      <c r="O6413" t="str">
        <f t="shared" si="402"/>
        <v>Low Balance</v>
      </c>
      <c r="P6413" t="str">
        <f t="shared" si="403"/>
        <v>New</v>
      </c>
    </row>
    <row r="6414" spans="1:16" x14ac:dyDescent="0.25">
      <c r="A6414">
        <v>2025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  <c r="M6414" t="str">
        <f t="shared" si="400"/>
        <v>46-60</v>
      </c>
      <c r="N6414" t="str">
        <f t="shared" si="401"/>
        <v>Medium</v>
      </c>
      <c r="O6414" t="str">
        <f t="shared" si="402"/>
        <v>Low Balance</v>
      </c>
      <c r="P6414" t="str">
        <f t="shared" si="403"/>
        <v>Mid-term</v>
      </c>
    </row>
    <row r="6415" spans="1:16" x14ac:dyDescent="0.25">
      <c r="A6415">
        <v>2025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  <c r="M6415" t="str">
        <f t="shared" si="400"/>
        <v>&lt;30</v>
      </c>
      <c r="N6415" t="str">
        <f t="shared" si="401"/>
        <v>High</v>
      </c>
      <c r="O6415" t="str">
        <f t="shared" si="402"/>
        <v>High Balance</v>
      </c>
      <c r="P6415" t="str">
        <f t="shared" si="403"/>
        <v>Mid-term</v>
      </c>
    </row>
    <row r="6416" spans="1:16" x14ac:dyDescent="0.25">
      <c r="A6416">
        <v>2025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  <c r="M6416" t="str">
        <f t="shared" si="400"/>
        <v>&lt;30</v>
      </c>
      <c r="N6416" t="str">
        <f t="shared" si="401"/>
        <v>Medium</v>
      </c>
      <c r="O6416" t="str">
        <f t="shared" si="402"/>
        <v>High Balance</v>
      </c>
      <c r="P6416" t="str">
        <f t="shared" si="403"/>
        <v>New</v>
      </c>
    </row>
    <row r="6417" spans="1:16" x14ac:dyDescent="0.25">
      <c r="A6417">
        <v>2025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  <c r="M6417" t="str">
        <f t="shared" si="400"/>
        <v>30-45</v>
      </c>
      <c r="N6417" t="str">
        <f t="shared" si="401"/>
        <v>Medium</v>
      </c>
      <c r="O6417" t="str">
        <f t="shared" si="402"/>
        <v>Zero Balance</v>
      </c>
      <c r="P6417" t="str">
        <f t="shared" si="403"/>
        <v>Long-term</v>
      </c>
    </row>
    <row r="6418" spans="1:16" x14ac:dyDescent="0.25">
      <c r="A6418">
        <v>2025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  <c r="M6418" t="str">
        <f t="shared" si="400"/>
        <v>&lt;30</v>
      </c>
      <c r="N6418" t="str">
        <f t="shared" si="401"/>
        <v>High</v>
      </c>
      <c r="O6418" t="str">
        <f t="shared" si="402"/>
        <v>High Balance</v>
      </c>
      <c r="P6418" t="str">
        <f t="shared" si="403"/>
        <v>Mid-term</v>
      </c>
    </row>
    <row r="6419" spans="1:16" x14ac:dyDescent="0.25">
      <c r="A6419">
        <v>2025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  <c r="M6419" t="str">
        <f t="shared" si="400"/>
        <v>30-45</v>
      </c>
      <c r="N6419" t="str">
        <f t="shared" si="401"/>
        <v>High</v>
      </c>
      <c r="O6419" t="str">
        <f t="shared" si="402"/>
        <v>Zero Balance</v>
      </c>
      <c r="P6419" t="str">
        <f t="shared" si="403"/>
        <v>Mid-term</v>
      </c>
    </row>
    <row r="6420" spans="1:16" x14ac:dyDescent="0.25">
      <c r="A6420">
        <v>2025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  <c r="M6420" t="str">
        <f t="shared" si="400"/>
        <v>&lt;30</v>
      </c>
      <c r="N6420" t="str">
        <f t="shared" si="401"/>
        <v>High</v>
      </c>
      <c r="O6420" t="str">
        <f t="shared" si="402"/>
        <v>Zero Balance</v>
      </c>
      <c r="P6420" t="str">
        <f t="shared" si="403"/>
        <v>Long-term</v>
      </c>
    </row>
    <row r="6421" spans="1:16" x14ac:dyDescent="0.25">
      <c r="A6421">
        <v>2025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  <c r="M6421" t="str">
        <f t="shared" si="400"/>
        <v>30-45</v>
      </c>
      <c r="N6421" t="str">
        <f t="shared" si="401"/>
        <v>High</v>
      </c>
      <c r="O6421" t="str">
        <f t="shared" si="402"/>
        <v>Zero Balance</v>
      </c>
      <c r="P6421" t="str">
        <f t="shared" si="403"/>
        <v>Mid-term</v>
      </c>
    </row>
    <row r="6422" spans="1:16" x14ac:dyDescent="0.25">
      <c r="A6422">
        <v>2025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  <c r="M6422" t="str">
        <f t="shared" si="400"/>
        <v>46-60</v>
      </c>
      <c r="N6422" t="str">
        <f t="shared" si="401"/>
        <v>Medium</v>
      </c>
      <c r="O6422" t="str">
        <f t="shared" si="402"/>
        <v>High Balance</v>
      </c>
      <c r="P6422" t="str">
        <f t="shared" si="403"/>
        <v>New</v>
      </c>
    </row>
    <row r="6423" spans="1:16" x14ac:dyDescent="0.25">
      <c r="A6423">
        <v>2025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  <c r="M6423" t="str">
        <f t="shared" si="400"/>
        <v>&lt;30</v>
      </c>
      <c r="N6423" t="str">
        <f t="shared" si="401"/>
        <v>Medium</v>
      </c>
      <c r="O6423" t="str">
        <f t="shared" si="402"/>
        <v>Low Balance</v>
      </c>
      <c r="P6423" t="str">
        <f t="shared" si="403"/>
        <v>Long-term</v>
      </c>
    </row>
    <row r="6424" spans="1:16" x14ac:dyDescent="0.25">
      <c r="A6424">
        <v>2025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  <c r="M6424" t="str">
        <f t="shared" si="400"/>
        <v>46-60</v>
      </c>
      <c r="N6424" t="str">
        <f t="shared" si="401"/>
        <v>High</v>
      </c>
      <c r="O6424" t="str">
        <f t="shared" si="402"/>
        <v>High Balance</v>
      </c>
      <c r="P6424" t="str">
        <f t="shared" si="403"/>
        <v>Long-term</v>
      </c>
    </row>
    <row r="6425" spans="1:16" x14ac:dyDescent="0.25">
      <c r="A6425">
        <v>2025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  <c r="M6425" t="str">
        <f t="shared" si="400"/>
        <v>30-45</v>
      </c>
      <c r="N6425" t="str">
        <f t="shared" si="401"/>
        <v>Medium</v>
      </c>
      <c r="O6425" t="str">
        <f t="shared" si="402"/>
        <v>High Balance</v>
      </c>
      <c r="P6425" t="str">
        <f t="shared" si="403"/>
        <v>Long-term</v>
      </c>
    </row>
    <row r="6426" spans="1:16" x14ac:dyDescent="0.25">
      <c r="A6426">
        <v>2025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  <c r="M6426" t="str">
        <f t="shared" si="400"/>
        <v>30-45</v>
      </c>
      <c r="N6426" t="str">
        <f t="shared" si="401"/>
        <v>High</v>
      </c>
      <c r="O6426" t="str">
        <f t="shared" si="402"/>
        <v>Zero Balance</v>
      </c>
      <c r="P6426" t="str">
        <f t="shared" si="403"/>
        <v>Mid-term</v>
      </c>
    </row>
    <row r="6427" spans="1:16" x14ac:dyDescent="0.25">
      <c r="A6427">
        <v>2025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  <c r="M6427" t="str">
        <f t="shared" si="400"/>
        <v>30-45</v>
      </c>
      <c r="N6427" t="str">
        <f t="shared" si="401"/>
        <v>High</v>
      </c>
      <c r="O6427" t="str">
        <f t="shared" si="402"/>
        <v>High Balance</v>
      </c>
      <c r="P6427" t="str">
        <f t="shared" si="403"/>
        <v>New</v>
      </c>
    </row>
    <row r="6428" spans="1:16" x14ac:dyDescent="0.25">
      <c r="A6428">
        <v>2025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  <c r="M6428" t="str">
        <f t="shared" si="400"/>
        <v>30-45</v>
      </c>
      <c r="N6428" t="str">
        <f t="shared" si="401"/>
        <v>High</v>
      </c>
      <c r="O6428" t="str">
        <f t="shared" si="402"/>
        <v>High Balance</v>
      </c>
      <c r="P6428" t="str">
        <f t="shared" si="403"/>
        <v>Mid-term</v>
      </c>
    </row>
    <row r="6429" spans="1:16" x14ac:dyDescent="0.25">
      <c r="A6429">
        <v>2025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  <c r="M6429" t="str">
        <f t="shared" si="400"/>
        <v>30-45</v>
      </c>
      <c r="N6429" t="str">
        <f t="shared" si="401"/>
        <v>High</v>
      </c>
      <c r="O6429" t="str">
        <f t="shared" si="402"/>
        <v>Zero Balance</v>
      </c>
      <c r="P6429" t="str">
        <f t="shared" si="403"/>
        <v>New</v>
      </c>
    </row>
    <row r="6430" spans="1:16" x14ac:dyDescent="0.25">
      <c r="A6430">
        <v>2025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  <c r="M6430" t="str">
        <f t="shared" si="400"/>
        <v>30-45</v>
      </c>
      <c r="N6430" t="str">
        <f t="shared" si="401"/>
        <v>Medium</v>
      </c>
      <c r="O6430" t="str">
        <f t="shared" si="402"/>
        <v>High Balance</v>
      </c>
      <c r="P6430" t="str">
        <f t="shared" si="403"/>
        <v>Mid-term</v>
      </c>
    </row>
    <row r="6431" spans="1:16" x14ac:dyDescent="0.25">
      <c r="A6431">
        <v>2025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  <c r="M6431" t="str">
        <f t="shared" si="400"/>
        <v>30-45</v>
      </c>
      <c r="N6431" t="str">
        <f t="shared" si="401"/>
        <v>High</v>
      </c>
      <c r="O6431" t="str">
        <f t="shared" si="402"/>
        <v>High Balance</v>
      </c>
      <c r="P6431" t="str">
        <f t="shared" si="403"/>
        <v>Mid-term</v>
      </c>
    </row>
    <row r="6432" spans="1:16" x14ac:dyDescent="0.25">
      <c r="A6432">
        <v>2025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  <c r="M6432" t="str">
        <f t="shared" si="400"/>
        <v>30-45</v>
      </c>
      <c r="N6432" t="str">
        <f t="shared" si="401"/>
        <v>Medium</v>
      </c>
      <c r="O6432" t="str">
        <f t="shared" si="402"/>
        <v>High Balance</v>
      </c>
      <c r="P6432" t="str">
        <f t="shared" si="403"/>
        <v>New</v>
      </c>
    </row>
    <row r="6433" spans="1:16" x14ac:dyDescent="0.25">
      <c r="A6433">
        <v>2025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  <c r="M6433" t="str">
        <f t="shared" si="400"/>
        <v>30-45</v>
      </c>
      <c r="N6433" t="str">
        <f t="shared" si="401"/>
        <v>Medium</v>
      </c>
      <c r="O6433" t="str">
        <f t="shared" si="402"/>
        <v>Zero Balance</v>
      </c>
      <c r="P6433" t="str">
        <f t="shared" si="403"/>
        <v>New</v>
      </c>
    </row>
    <row r="6434" spans="1:16" x14ac:dyDescent="0.25">
      <c r="A6434">
        <v>2025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  <c r="M6434" t="str">
        <f t="shared" si="400"/>
        <v>30-45</v>
      </c>
      <c r="N6434" t="str">
        <f t="shared" si="401"/>
        <v>Medium</v>
      </c>
      <c r="O6434" t="str">
        <f t="shared" si="402"/>
        <v>High Balance</v>
      </c>
      <c r="P6434" t="str">
        <f t="shared" si="403"/>
        <v>New</v>
      </c>
    </row>
    <row r="6435" spans="1:16" x14ac:dyDescent="0.25">
      <c r="A6435">
        <v>2025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  <c r="M6435" t="str">
        <f t="shared" si="400"/>
        <v>46-60</v>
      </c>
      <c r="N6435" t="str">
        <f t="shared" si="401"/>
        <v>Low</v>
      </c>
      <c r="O6435" t="str">
        <f t="shared" si="402"/>
        <v>High Balance</v>
      </c>
      <c r="P6435" t="str">
        <f t="shared" si="403"/>
        <v>Mid-term</v>
      </c>
    </row>
    <row r="6436" spans="1:16" x14ac:dyDescent="0.25">
      <c r="A6436">
        <v>2025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  <c r="M6436" t="str">
        <f t="shared" si="400"/>
        <v>30-45</v>
      </c>
      <c r="N6436" t="str">
        <f t="shared" si="401"/>
        <v>Medium</v>
      </c>
      <c r="O6436" t="str">
        <f t="shared" si="402"/>
        <v>Zero Balance</v>
      </c>
      <c r="P6436" t="str">
        <f t="shared" si="403"/>
        <v>Long-term</v>
      </c>
    </row>
    <row r="6437" spans="1:16" x14ac:dyDescent="0.25">
      <c r="A6437">
        <v>2025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  <c r="M6437" t="str">
        <f t="shared" si="400"/>
        <v>&lt;30</v>
      </c>
      <c r="N6437" t="str">
        <f t="shared" si="401"/>
        <v>High</v>
      </c>
      <c r="O6437" t="str">
        <f t="shared" si="402"/>
        <v>High Balance</v>
      </c>
      <c r="P6437" t="str">
        <f t="shared" si="403"/>
        <v>Mid-term</v>
      </c>
    </row>
    <row r="6438" spans="1:16" x14ac:dyDescent="0.25">
      <c r="A6438">
        <v>2025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  <c r="M6438" t="str">
        <f t="shared" si="400"/>
        <v>30-45</v>
      </c>
      <c r="N6438" t="str">
        <f t="shared" si="401"/>
        <v>Medium</v>
      </c>
      <c r="O6438" t="str">
        <f t="shared" si="402"/>
        <v>Low Balance</v>
      </c>
      <c r="P6438" t="str">
        <f t="shared" si="403"/>
        <v>New</v>
      </c>
    </row>
    <row r="6439" spans="1:16" x14ac:dyDescent="0.25">
      <c r="A6439">
        <v>2025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  <c r="M6439" t="str">
        <f t="shared" si="400"/>
        <v>30-45</v>
      </c>
      <c r="N6439" t="str">
        <f t="shared" si="401"/>
        <v>Medium</v>
      </c>
      <c r="O6439" t="str">
        <f t="shared" si="402"/>
        <v>High Balance</v>
      </c>
      <c r="P6439" t="str">
        <f t="shared" si="403"/>
        <v>Mid-term</v>
      </c>
    </row>
    <row r="6440" spans="1:16" x14ac:dyDescent="0.25">
      <c r="A6440">
        <v>2025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  <c r="M6440" t="str">
        <f t="shared" si="400"/>
        <v>30-45</v>
      </c>
      <c r="N6440" t="str">
        <f t="shared" si="401"/>
        <v>Medium</v>
      </c>
      <c r="O6440" t="str">
        <f t="shared" si="402"/>
        <v>High Balance</v>
      </c>
      <c r="P6440" t="str">
        <f t="shared" si="403"/>
        <v>New</v>
      </c>
    </row>
    <row r="6441" spans="1:16" x14ac:dyDescent="0.25">
      <c r="A6441">
        <v>2025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  <c r="M6441" t="str">
        <f t="shared" si="400"/>
        <v>30-45</v>
      </c>
      <c r="N6441" t="str">
        <f t="shared" si="401"/>
        <v>Medium</v>
      </c>
      <c r="O6441" t="str">
        <f t="shared" si="402"/>
        <v>High Balance</v>
      </c>
      <c r="P6441" t="str">
        <f t="shared" si="403"/>
        <v>New</v>
      </c>
    </row>
    <row r="6442" spans="1:16" x14ac:dyDescent="0.25">
      <c r="A6442">
        <v>2025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  <c r="M6442" t="str">
        <f t="shared" si="400"/>
        <v>46-60</v>
      </c>
      <c r="N6442" t="str">
        <f t="shared" si="401"/>
        <v>High</v>
      </c>
      <c r="O6442" t="str">
        <f t="shared" si="402"/>
        <v>High Balance</v>
      </c>
      <c r="P6442" t="str">
        <f t="shared" si="403"/>
        <v>Long-term</v>
      </c>
    </row>
    <row r="6443" spans="1:16" x14ac:dyDescent="0.25">
      <c r="A6443">
        <v>2025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  <c r="M6443" t="str">
        <f t="shared" si="400"/>
        <v>30-45</v>
      </c>
      <c r="N6443" t="str">
        <f t="shared" si="401"/>
        <v>Medium</v>
      </c>
      <c r="O6443" t="str">
        <f t="shared" si="402"/>
        <v>High Balance</v>
      </c>
      <c r="P6443" t="str">
        <f t="shared" si="403"/>
        <v>New</v>
      </c>
    </row>
    <row r="6444" spans="1:16" x14ac:dyDescent="0.25">
      <c r="A6444">
        <v>2025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  <c r="M6444" t="str">
        <f t="shared" si="400"/>
        <v>30-45</v>
      </c>
      <c r="N6444" t="str">
        <f t="shared" si="401"/>
        <v>Low</v>
      </c>
      <c r="O6444" t="str">
        <f t="shared" si="402"/>
        <v>Low Balance</v>
      </c>
      <c r="P6444" t="str">
        <f t="shared" si="403"/>
        <v>Mid-term</v>
      </c>
    </row>
    <row r="6445" spans="1:16" x14ac:dyDescent="0.25">
      <c r="A6445">
        <v>2025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  <c r="M6445" t="str">
        <f t="shared" si="400"/>
        <v>60+</v>
      </c>
      <c r="N6445" t="str">
        <f t="shared" si="401"/>
        <v>High</v>
      </c>
      <c r="O6445" t="str">
        <f t="shared" si="402"/>
        <v>High Balance</v>
      </c>
      <c r="P6445" t="str">
        <f t="shared" si="403"/>
        <v>New</v>
      </c>
    </row>
    <row r="6446" spans="1:16" x14ac:dyDescent="0.25">
      <c r="A6446">
        <v>2025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  <c r="M6446" t="str">
        <f t="shared" si="400"/>
        <v>30-45</v>
      </c>
      <c r="N6446" t="str">
        <f t="shared" si="401"/>
        <v>Medium</v>
      </c>
      <c r="O6446" t="str">
        <f t="shared" si="402"/>
        <v>Low Balance</v>
      </c>
      <c r="P6446" t="str">
        <f t="shared" si="403"/>
        <v>Mid-term</v>
      </c>
    </row>
    <row r="6447" spans="1:16" x14ac:dyDescent="0.25">
      <c r="A6447">
        <v>2025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  <c r="M6447" t="str">
        <f t="shared" si="400"/>
        <v>30-45</v>
      </c>
      <c r="N6447" t="str">
        <f t="shared" si="401"/>
        <v>Medium</v>
      </c>
      <c r="O6447" t="str">
        <f t="shared" si="402"/>
        <v>High Balance</v>
      </c>
      <c r="P6447" t="str">
        <f t="shared" si="403"/>
        <v>New</v>
      </c>
    </row>
    <row r="6448" spans="1:16" x14ac:dyDescent="0.25">
      <c r="A6448">
        <v>2025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  <c r="M6448" t="str">
        <f t="shared" si="400"/>
        <v>30-45</v>
      </c>
      <c r="N6448" t="str">
        <f t="shared" si="401"/>
        <v>Medium</v>
      </c>
      <c r="O6448" t="str">
        <f t="shared" si="402"/>
        <v>Zero Balance</v>
      </c>
      <c r="P6448" t="str">
        <f t="shared" si="403"/>
        <v>Long-term</v>
      </c>
    </row>
    <row r="6449" spans="1:16" x14ac:dyDescent="0.25">
      <c r="A6449">
        <v>2025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  <c r="M6449" t="str">
        <f t="shared" si="400"/>
        <v>30-45</v>
      </c>
      <c r="N6449" t="str">
        <f t="shared" si="401"/>
        <v>Medium</v>
      </c>
      <c r="O6449" t="str">
        <f t="shared" si="402"/>
        <v>High Balance</v>
      </c>
      <c r="P6449" t="str">
        <f t="shared" si="403"/>
        <v>New</v>
      </c>
    </row>
    <row r="6450" spans="1:16" x14ac:dyDescent="0.25">
      <c r="A6450">
        <v>2025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  <c r="M6450" t="str">
        <f t="shared" si="400"/>
        <v>30-45</v>
      </c>
      <c r="N6450" t="str">
        <f t="shared" si="401"/>
        <v>Medium</v>
      </c>
      <c r="O6450" t="str">
        <f t="shared" si="402"/>
        <v>High Balance</v>
      </c>
      <c r="P6450" t="str">
        <f t="shared" si="403"/>
        <v>Mid-term</v>
      </c>
    </row>
    <row r="6451" spans="1:16" x14ac:dyDescent="0.25">
      <c r="A6451">
        <v>2025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  <c r="M6451" t="str">
        <f t="shared" si="400"/>
        <v>30-45</v>
      </c>
      <c r="N6451" t="str">
        <f t="shared" si="401"/>
        <v>Medium</v>
      </c>
      <c r="O6451" t="str">
        <f t="shared" si="402"/>
        <v>High Balance</v>
      </c>
      <c r="P6451" t="str">
        <f t="shared" si="403"/>
        <v>New</v>
      </c>
    </row>
    <row r="6452" spans="1:16" x14ac:dyDescent="0.25">
      <c r="A6452">
        <v>2025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  <c r="M6452" t="str">
        <f t="shared" si="400"/>
        <v>&lt;30</v>
      </c>
      <c r="N6452" t="str">
        <f t="shared" si="401"/>
        <v>High</v>
      </c>
      <c r="O6452" t="str">
        <f t="shared" si="402"/>
        <v>Zero Balance</v>
      </c>
      <c r="P6452" t="str">
        <f t="shared" si="403"/>
        <v>Mid-term</v>
      </c>
    </row>
    <row r="6453" spans="1:16" x14ac:dyDescent="0.25">
      <c r="A6453">
        <v>2025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  <c r="M6453" t="str">
        <f t="shared" si="400"/>
        <v>&lt;30</v>
      </c>
      <c r="N6453" t="str">
        <f t="shared" si="401"/>
        <v>Medium</v>
      </c>
      <c r="O6453" t="str">
        <f t="shared" si="402"/>
        <v>High Balance</v>
      </c>
      <c r="P6453" t="str">
        <f t="shared" si="403"/>
        <v>Mid-term</v>
      </c>
    </row>
    <row r="6454" spans="1:16" x14ac:dyDescent="0.25">
      <c r="A6454">
        <v>2025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  <c r="M6454" t="str">
        <f t="shared" si="400"/>
        <v>30-45</v>
      </c>
      <c r="N6454" t="str">
        <f t="shared" si="401"/>
        <v>Medium</v>
      </c>
      <c r="O6454" t="str">
        <f t="shared" si="402"/>
        <v>Zero Balance</v>
      </c>
      <c r="P6454" t="str">
        <f t="shared" si="403"/>
        <v>Mid-term</v>
      </c>
    </row>
    <row r="6455" spans="1:16" x14ac:dyDescent="0.25">
      <c r="A6455">
        <v>2025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  <c r="M6455" t="str">
        <f t="shared" si="400"/>
        <v>30-45</v>
      </c>
      <c r="N6455" t="str">
        <f t="shared" si="401"/>
        <v>Medium</v>
      </c>
      <c r="O6455" t="str">
        <f t="shared" si="402"/>
        <v>High Balance</v>
      </c>
      <c r="P6455" t="str">
        <f t="shared" si="403"/>
        <v>Mid-term</v>
      </c>
    </row>
    <row r="6456" spans="1:16" x14ac:dyDescent="0.25">
      <c r="A6456">
        <v>2025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  <c r="M6456" t="str">
        <f t="shared" si="400"/>
        <v>30-45</v>
      </c>
      <c r="N6456" t="str">
        <f t="shared" si="401"/>
        <v>Medium</v>
      </c>
      <c r="O6456" t="str">
        <f t="shared" si="402"/>
        <v>High Balance</v>
      </c>
      <c r="P6456" t="str">
        <f t="shared" si="403"/>
        <v>New</v>
      </c>
    </row>
    <row r="6457" spans="1:16" x14ac:dyDescent="0.25">
      <c r="A6457">
        <v>2025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  <c r="M6457" t="str">
        <f t="shared" si="400"/>
        <v>&lt;30</v>
      </c>
      <c r="N6457" t="str">
        <f t="shared" si="401"/>
        <v>High</v>
      </c>
      <c r="O6457" t="str">
        <f t="shared" si="402"/>
        <v>Zero Balance</v>
      </c>
      <c r="P6457" t="str">
        <f t="shared" si="403"/>
        <v>Long-term</v>
      </c>
    </row>
    <row r="6458" spans="1:16" x14ac:dyDescent="0.25">
      <c r="A6458">
        <v>2025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  <c r="M6458" t="str">
        <f t="shared" si="400"/>
        <v>30-45</v>
      </c>
      <c r="N6458" t="str">
        <f t="shared" si="401"/>
        <v>Medium</v>
      </c>
      <c r="O6458" t="str">
        <f t="shared" si="402"/>
        <v>Zero Balance</v>
      </c>
      <c r="P6458" t="str">
        <f t="shared" si="403"/>
        <v>Long-term</v>
      </c>
    </row>
    <row r="6459" spans="1:16" x14ac:dyDescent="0.25">
      <c r="A6459">
        <v>2025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  <c r="M6459" t="str">
        <f t="shared" si="400"/>
        <v>46-60</v>
      </c>
      <c r="N6459" t="str">
        <f t="shared" si="401"/>
        <v>Medium</v>
      </c>
      <c r="O6459" t="str">
        <f t="shared" si="402"/>
        <v>Low Balance</v>
      </c>
      <c r="P6459" t="str">
        <f t="shared" si="403"/>
        <v>Mid-term</v>
      </c>
    </row>
    <row r="6460" spans="1:16" x14ac:dyDescent="0.25">
      <c r="A6460">
        <v>2025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  <c r="M6460" t="str">
        <f t="shared" si="400"/>
        <v>30-45</v>
      </c>
      <c r="N6460" t="str">
        <f t="shared" si="401"/>
        <v>Medium</v>
      </c>
      <c r="O6460" t="str">
        <f t="shared" si="402"/>
        <v>High Balance</v>
      </c>
      <c r="P6460" t="str">
        <f t="shared" si="403"/>
        <v>New</v>
      </c>
    </row>
    <row r="6461" spans="1:16" x14ac:dyDescent="0.25">
      <c r="A6461">
        <v>2025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  <c r="M6461" t="str">
        <f t="shared" si="400"/>
        <v>30-45</v>
      </c>
      <c r="N6461" t="str">
        <f t="shared" si="401"/>
        <v>Medium</v>
      </c>
      <c r="O6461" t="str">
        <f t="shared" si="402"/>
        <v>Low Balance</v>
      </c>
      <c r="P6461" t="str">
        <f t="shared" si="403"/>
        <v>Mid-term</v>
      </c>
    </row>
    <row r="6462" spans="1:16" x14ac:dyDescent="0.25">
      <c r="A6462">
        <v>2025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  <c r="M6462" t="str">
        <f t="shared" si="400"/>
        <v>&lt;30</v>
      </c>
      <c r="N6462" t="str">
        <f t="shared" si="401"/>
        <v>Medium</v>
      </c>
      <c r="O6462" t="str">
        <f t="shared" si="402"/>
        <v>Zero Balance</v>
      </c>
      <c r="P6462" t="str">
        <f t="shared" si="403"/>
        <v>Mid-term</v>
      </c>
    </row>
    <row r="6463" spans="1:16" x14ac:dyDescent="0.25">
      <c r="A6463">
        <v>2025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  <c r="M6463" t="str">
        <f t="shared" si="400"/>
        <v>30-45</v>
      </c>
      <c r="N6463" t="str">
        <f t="shared" si="401"/>
        <v>High</v>
      </c>
      <c r="O6463" t="str">
        <f t="shared" si="402"/>
        <v>High Balance</v>
      </c>
      <c r="P6463" t="str">
        <f t="shared" si="403"/>
        <v>Mid-term</v>
      </c>
    </row>
    <row r="6464" spans="1:16" x14ac:dyDescent="0.25">
      <c r="A6464">
        <v>2025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  <c r="M6464" t="str">
        <f t="shared" si="400"/>
        <v>46-60</v>
      </c>
      <c r="N6464" t="str">
        <f t="shared" si="401"/>
        <v>Low</v>
      </c>
      <c r="O6464" t="str">
        <f t="shared" si="402"/>
        <v>Zero Balance</v>
      </c>
      <c r="P6464" t="str">
        <f t="shared" si="403"/>
        <v>New</v>
      </c>
    </row>
    <row r="6465" spans="1:16" x14ac:dyDescent="0.25">
      <c r="A6465">
        <v>2025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  <c r="M6465" t="str">
        <f t="shared" si="400"/>
        <v>30-45</v>
      </c>
      <c r="N6465" t="str">
        <f t="shared" si="401"/>
        <v>High</v>
      </c>
      <c r="O6465" t="str">
        <f t="shared" si="402"/>
        <v>Zero Balance</v>
      </c>
      <c r="P6465" t="str">
        <f t="shared" si="403"/>
        <v>New</v>
      </c>
    </row>
    <row r="6466" spans="1:16" x14ac:dyDescent="0.25">
      <c r="A6466">
        <v>2025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  <c r="M6466" t="str">
        <f t="shared" si="400"/>
        <v>30-45</v>
      </c>
      <c r="N6466" t="str">
        <f t="shared" si="401"/>
        <v>Medium</v>
      </c>
      <c r="O6466" t="str">
        <f t="shared" si="402"/>
        <v>High Balance</v>
      </c>
      <c r="P6466" t="str">
        <f t="shared" si="403"/>
        <v>New</v>
      </c>
    </row>
    <row r="6467" spans="1:16" x14ac:dyDescent="0.25">
      <c r="A6467">
        <v>2025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  <c r="M6467" t="str">
        <f t="shared" ref="M6467:M6530" si="404">IF(E6467&lt;30,"&lt;30",IF(E6467&lt;=45,"30-45",IF(E6467&lt;=60,"46-60","60+")))</f>
        <v>&lt;30</v>
      </c>
      <c r="N6467" t="str">
        <f t="shared" ref="N6467:N6530" si="405">IF(B6467&lt;500,"Low",IF(B6467&lt;700,"Medium","High"))</f>
        <v>High</v>
      </c>
      <c r="O6467" t="str">
        <f t="shared" ref="O6467:O6530" si="406">IF(G6467=0,"Zero Balance",IF(G6467&lt;100000,"Low Balance","High Balance"))</f>
        <v>Zero Balance</v>
      </c>
      <c r="P6467" t="str">
        <f t="shared" ref="P6467:P6530" si="407">IF(F6467&lt;=3,"New",IF(F6467&lt;=7,"Mid-term","Long-term"))</f>
        <v>Mid-term</v>
      </c>
    </row>
    <row r="6468" spans="1:16" x14ac:dyDescent="0.25">
      <c r="A6468">
        <v>2025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  <c r="M6468" t="str">
        <f t="shared" si="404"/>
        <v>30-45</v>
      </c>
      <c r="N6468" t="str">
        <f t="shared" si="405"/>
        <v>Medium</v>
      </c>
      <c r="O6468" t="str">
        <f t="shared" si="406"/>
        <v>High Balance</v>
      </c>
      <c r="P6468" t="str">
        <f t="shared" si="407"/>
        <v>Mid-term</v>
      </c>
    </row>
    <row r="6469" spans="1:16" x14ac:dyDescent="0.25">
      <c r="A6469">
        <v>2025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  <c r="M6469" t="str">
        <f t="shared" si="404"/>
        <v>30-45</v>
      </c>
      <c r="N6469" t="str">
        <f t="shared" si="405"/>
        <v>Medium</v>
      </c>
      <c r="O6469" t="str">
        <f t="shared" si="406"/>
        <v>Zero Balance</v>
      </c>
      <c r="P6469" t="str">
        <f t="shared" si="407"/>
        <v>Mid-term</v>
      </c>
    </row>
    <row r="6470" spans="1:16" x14ac:dyDescent="0.25">
      <c r="A6470">
        <v>2025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  <c r="M6470" t="str">
        <f t="shared" si="404"/>
        <v>30-45</v>
      </c>
      <c r="N6470" t="str">
        <f t="shared" si="405"/>
        <v>High</v>
      </c>
      <c r="O6470" t="str">
        <f t="shared" si="406"/>
        <v>High Balance</v>
      </c>
      <c r="P6470" t="str">
        <f t="shared" si="407"/>
        <v>Mid-term</v>
      </c>
    </row>
    <row r="6471" spans="1:16" x14ac:dyDescent="0.25">
      <c r="A6471">
        <v>2025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  <c r="M6471" t="str">
        <f t="shared" si="404"/>
        <v>&lt;30</v>
      </c>
      <c r="N6471" t="str">
        <f t="shared" si="405"/>
        <v>Medium</v>
      </c>
      <c r="O6471" t="str">
        <f t="shared" si="406"/>
        <v>Zero Balance</v>
      </c>
      <c r="P6471" t="str">
        <f t="shared" si="407"/>
        <v>Mid-term</v>
      </c>
    </row>
    <row r="6472" spans="1:16" x14ac:dyDescent="0.25">
      <c r="A6472">
        <v>2025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  <c r="M6472" t="str">
        <f t="shared" si="404"/>
        <v>30-45</v>
      </c>
      <c r="N6472" t="str">
        <f t="shared" si="405"/>
        <v>Medium</v>
      </c>
      <c r="O6472" t="str">
        <f t="shared" si="406"/>
        <v>Low Balance</v>
      </c>
      <c r="P6472" t="str">
        <f t="shared" si="407"/>
        <v>Mid-term</v>
      </c>
    </row>
    <row r="6473" spans="1:16" x14ac:dyDescent="0.25">
      <c r="A6473">
        <v>2025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  <c r="M6473" t="str">
        <f t="shared" si="404"/>
        <v>30-45</v>
      </c>
      <c r="N6473" t="str">
        <f t="shared" si="405"/>
        <v>High</v>
      </c>
      <c r="O6473" t="str">
        <f t="shared" si="406"/>
        <v>Zero Balance</v>
      </c>
      <c r="P6473" t="str">
        <f t="shared" si="407"/>
        <v>Mid-term</v>
      </c>
    </row>
    <row r="6474" spans="1:16" x14ac:dyDescent="0.25">
      <c r="A6474">
        <v>2025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  <c r="M6474" t="str">
        <f t="shared" si="404"/>
        <v>30-45</v>
      </c>
      <c r="N6474" t="str">
        <f t="shared" si="405"/>
        <v>Medium</v>
      </c>
      <c r="O6474" t="str">
        <f t="shared" si="406"/>
        <v>High Balance</v>
      </c>
      <c r="P6474" t="str">
        <f t="shared" si="407"/>
        <v>Long-term</v>
      </c>
    </row>
    <row r="6475" spans="1:16" x14ac:dyDescent="0.25">
      <c r="A6475">
        <v>2025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  <c r="M6475" t="str">
        <f t="shared" si="404"/>
        <v>&lt;30</v>
      </c>
      <c r="N6475" t="str">
        <f t="shared" si="405"/>
        <v>High</v>
      </c>
      <c r="O6475" t="str">
        <f t="shared" si="406"/>
        <v>Zero Balance</v>
      </c>
      <c r="P6475" t="str">
        <f t="shared" si="407"/>
        <v>Long-term</v>
      </c>
    </row>
    <row r="6476" spans="1:16" x14ac:dyDescent="0.25">
      <c r="A6476">
        <v>2025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  <c r="M6476" t="str">
        <f t="shared" si="404"/>
        <v>30-45</v>
      </c>
      <c r="N6476" t="str">
        <f t="shared" si="405"/>
        <v>Medium</v>
      </c>
      <c r="O6476" t="str">
        <f t="shared" si="406"/>
        <v>Zero Balance</v>
      </c>
      <c r="P6476" t="str">
        <f t="shared" si="407"/>
        <v>New</v>
      </c>
    </row>
    <row r="6477" spans="1:16" x14ac:dyDescent="0.25">
      <c r="A6477">
        <v>2025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  <c r="M6477" t="str">
        <f t="shared" si="404"/>
        <v>30-45</v>
      </c>
      <c r="N6477" t="str">
        <f t="shared" si="405"/>
        <v>Low</v>
      </c>
      <c r="O6477" t="str">
        <f t="shared" si="406"/>
        <v>Low Balance</v>
      </c>
      <c r="P6477" t="str">
        <f t="shared" si="407"/>
        <v>Mid-term</v>
      </c>
    </row>
    <row r="6478" spans="1:16" x14ac:dyDescent="0.25">
      <c r="A6478">
        <v>2025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  <c r="M6478" t="str">
        <f t="shared" si="404"/>
        <v>30-45</v>
      </c>
      <c r="N6478" t="str">
        <f t="shared" si="405"/>
        <v>High</v>
      </c>
      <c r="O6478" t="str">
        <f t="shared" si="406"/>
        <v>Zero Balance</v>
      </c>
      <c r="P6478" t="str">
        <f t="shared" si="407"/>
        <v>Mid-term</v>
      </c>
    </row>
    <row r="6479" spans="1:16" x14ac:dyDescent="0.25">
      <c r="A6479">
        <v>2025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  <c r="M6479" t="str">
        <f t="shared" si="404"/>
        <v>30-45</v>
      </c>
      <c r="N6479" t="str">
        <f t="shared" si="405"/>
        <v>Medium</v>
      </c>
      <c r="O6479" t="str">
        <f t="shared" si="406"/>
        <v>Zero Balance</v>
      </c>
      <c r="P6479" t="str">
        <f t="shared" si="407"/>
        <v>Mid-term</v>
      </c>
    </row>
    <row r="6480" spans="1:16" x14ac:dyDescent="0.25">
      <c r="A6480">
        <v>2025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  <c r="M6480" t="str">
        <f t="shared" si="404"/>
        <v>30-45</v>
      </c>
      <c r="N6480" t="str">
        <f t="shared" si="405"/>
        <v>High</v>
      </c>
      <c r="O6480" t="str">
        <f t="shared" si="406"/>
        <v>High Balance</v>
      </c>
      <c r="P6480" t="str">
        <f t="shared" si="407"/>
        <v>Long-term</v>
      </c>
    </row>
    <row r="6481" spans="1:16" x14ac:dyDescent="0.25">
      <c r="A6481">
        <v>2025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  <c r="M6481" t="str">
        <f t="shared" si="404"/>
        <v>46-60</v>
      </c>
      <c r="N6481" t="str">
        <f t="shared" si="405"/>
        <v>Medium</v>
      </c>
      <c r="O6481" t="str">
        <f t="shared" si="406"/>
        <v>Zero Balance</v>
      </c>
      <c r="P6481" t="str">
        <f t="shared" si="407"/>
        <v>Mid-term</v>
      </c>
    </row>
    <row r="6482" spans="1:16" x14ac:dyDescent="0.25">
      <c r="A6482">
        <v>2025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  <c r="M6482" t="str">
        <f t="shared" si="404"/>
        <v>&lt;30</v>
      </c>
      <c r="N6482" t="str">
        <f t="shared" si="405"/>
        <v>Medium</v>
      </c>
      <c r="O6482" t="str">
        <f t="shared" si="406"/>
        <v>High Balance</v>
      </c>
      <c r="P6482" t="str">
        <f t="shared" si="407"/>
        <v>Mid-term</v>
      </c>
    </row>
    <row r="6483" spans="1:16" x14ac:dyDescent="0.25">
      <c r="A6483">
        <v>2025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  <c r="M6483" t="str">
        <f t="shared" si="404"/>
        <v>30-45</v>
      </c>
      <c r="N6483" t="str">
        <f t="shared" si="405"/>
        <v>Medium</v>
      </c>
      <c r="O6483" t="str">
        <f t="shared" si="406"/>
        <v>High Balance</v>
      </c>
      <c r="P6483" t="str">
        <f t="shared" si="407"/>
        <v>Long-term</v>
      </c>
    </row>
    <row r="6484" spans="1:16" x14ac:dyDescent="0.25">
      <c r="A6484">
        <v>2025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  <c r="M6484" t="str">
        <f t="shared" si="404"/>
        <v>30-45</v>
      </c>
      <c r="N6484" t="str">
        <f t="shared" si="405"/>
        <v>High</v>
      </c>
      <c r="O6484" t="str">
        <f t="shared" si="406"/>
        <v>High Balance</v>
      </c>
      <c r="P6484" t="str">
        <f t="shared" si="407"/>
        <v>Mid-term</v>
      </c>
    </row>
    <row r="6485" spans="1:16" x14ac:dyDescent="0.25">
      <c r="A6485">
        <v>2025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  <c r="M6485" t="str">
        <f t="shared" si="404"/>
        <v>30-45</v>
      </c>
      <c r="N6485" t="str">
        <f t="shared" si="405"/>
        <v>Medium</v>
      </c>
      <c r="O6485" t="str">
        <f t="shared" si="406"/>
        <v>High Balance</v>
      </c>
      <c r="P6485" t="str">
        <f t="shared" si="407"/>
        <v>New</v>
      </c>
    </row>
    <row r="6486" spans="1:16" x14ac:dyDescent="0.25">
      <c r="A6486">
        <v>2025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  <c r="M6486" t="str">
        <f t="shared" si="404"/>
        <v>30-45</v>
      </c>
      <c r="N6486" t="str">
        <f t="shared" si="405"/>
        <v>High</v>
      </c>
      <c r="O6486" t="str">
        <f t="shared" si="406"/>
        <v>Zero Balance</v>
      </c>
      <c r="P6486" t="str">
        <f t="shared" si="407"/>
        <v>New</v>
      </c>
    </row>
    <row r="6487" spans="1:16" x14ac:dyDescent="0.25">
      <c r="A6487">
        <v>2025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  <c r="M6487" t="str">
        <f t="shared" si="404"/>
        <v>&lt;30</v>
      </c>
      <c r="N6487" t="str">
        <f t="shared" si="405"/>
        <v>Medium</v>
      </c>
      <c r="O6487" t="str">
        <f t="shared" si="406"/>
        <v>Low Balance</v>
      </c>
      <c r="P6487" t="str">
        <f t="shared" si="407"/>
        <v>Mid-term</v>
      </c>
    </row>
    <row r="6488" spans="1:16" x14ac:dyDescent="0.25">
      <c r="A6488">
        <v>2025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  <c r="M6488" t="str">
        <f t="shared" si="404"/>
        <v>30-45</v>
      </c>
      <c r="N6488" t="str">
        <f t="shared" si="405"/>
        <v>High</v>
      </c>
      <c r="O6488" t="str">
        <f t="shared" si="406"/>
        <v>Zero Balance</v>
      </c>
      <c r="P6488" t="str">
        <f t="shared" si="407"/>
        <v>Mid-term</v>
      </c>
    </row>
    <row r="6489" spans="1:16" x14ac:dyDescent="0.25">
      <c r="A6489">
        <v>2025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  <c r="M6489" t="str">
        <f t="shared" si="404"/>
        <v>30-45</v>
      </c>
      <c r="N6489" t="str">
        <f t="shared" si="405"/>
        <v>Medium</v>
      </c>
      <c r="O6489" t="str">
        <f t="shared" si="406"/>
        <v>Zero Balance</v>
      </c>
      <c r="P6489" t="str">
        <f t="shared" si="407"/>
        <v>New</v>
      </c>
    </row>
    <row r="6490" spans="1:16" x14ac:dyDescent="0.25">
      <c r="A6490">
        <v>2025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  <c r="M6490" t="str">
        <f t="shared" si="404"/>
        <v>30-45</v>
      </c>
      <c r="N6490" t="str">
        <f t="shared" si="405"/>
        <v>Medium</v>
      </c>
      <c r="O6490" t="str">
        <f t="shared" si="406"/>
        <v>Zero Balance</v>
      </c>
      <c r="P6490" t="str">
        <f t="shared" si="407"/>
        <v>Long-term</v>
      </c>
    </row>
    <row r="6491" spans="1:16" x14ac:dyDescent="0.25">
      <c r="A6491">
        <v>2025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  <c r="M6491" t="str">
        <f t="shared" si="404"/>
        <v>30-45</v>
      </c>
      <c r="N6491" t="str">
        <f t="shared" si="405"/>
        <v>High</v>
      </c>
      <c r="O6491" t="str">
        <f t="shared" si="406"/>
        <v>High Balance</v>
      </c>
      <c r="P6491" t="str">
        <f t="shared" si="407"/>
        <v>New</v>
      </c>
    </row>
    <row r="6492" spans="1:16" x14ac:dyDescent="0.25">
      <c r="A6492">
        <v>2025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  <c r="M6492" t="str">
        <f t="shared" si="404"/>
        <v>30-45</v>
      </c>
      <c r="N6492" t="str">
        <f t="shared" si="405"/>
        <v>High</v>
      </c>
      <c r="O6492" t="str">
        <f t="shared" si="406"/>
        <v>Zero Balance</v>
      </c>
      <c r="P6492" t="str">
        <f t="shared" si="407"/>
        <v>New</v>
      </c>
    </row>
    <row r="6493" spans="1:16" x14ac:dyDescent="0.25">
      <c r="A6493">
        <v>2025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  <c r="M6493" t="str">
        <f t="shared" si="404"/>
        <v>30-45</v>
      </c>
      <c r="N6493" t="str">
        <f t="shared" si="405"/>
        <v>Medium</v>
      </c>
      <c r="O6493" t="str">
        <f t="shared" si="406"/>
        <v>Zero Balance</v>
      </c>
      <c r="P6493" t="str">
        <f t="shared" si="407"/>
        <v>Mid-term</v>
      </c>
    </row>
    <row r="6494" spans="1:16" x14ac:dyDescent="0.25">
      <c r="A6494">
        <v>2025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  <c r="M6494" t="str">
        <f t="shared" si="404"/>
        <v>30-45</v>
      </c>
      <c r="N6494" t="str">
        <f t="shared" si="405"/>
        <v>High</v>
      </c>
      <c r="O6494" t="str">
        <f t="shared" si="406"/>
        <v>Low Balance</v>
      </c>
      <c r="P6494" t="str">
        <f t="shared" si="407"/>
        <v>Mid-term</v>
      </c>
    </row>
    <row r="6495" spans="1:16" x14ac:dyDescent="0.25">
      <c r="A6495">
        <v>2025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  <c r="M6495" t="str">
        <f t="shared" si="404"/>
        <v>30-45</v>
      </c>
      <c r="N6495" t="str">
        <f t="shared" si="405"/>
        <v>Medium</v>
      </c>
      <c r="O6495" t="str">
        <f t="shared" si="406"/>
        <v>High Balance</v>
      </c>
      <c r="P6495" t="str">
        <f t="shared" si="407"/>
        <v>Long-term</v>
      </c>
    </row>
    <row r="6496" spans="1:16" x14ac:dyDescent="0.25">
      <c r="A6496">
        <v>2025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  <c r="M6496" t="str">
        <f t="shared" si="404"/>
        <v>&lt;30</v>
      </c>
      <c r="N6496" t="str">
        <f t="shared" si="405"/>
        <v>Medium</v>
      </c>
      <c r="O6496" t="str">
        <f t="shared" si="406"/>
        <v>Zero Balance</v>
      </c>
      <c r="P6496" t="str">
        <f t="shared" si="407"/>
        <v>Mid-term</v>
      </c>
    </row>
    <row r="6497" spans="1:16" x14ac:dyDescent="0.25">
      <c r="A6497">
        <v>2025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  <c r="M6497" t="str">
        <f t="shared" si="404"/>
        <v>30-45</v>
      </c>
      <c r="N6497" t="str">
        <f t="shared" si="405"/>
        <v>Medium</v>
      </c>
      <c r="O6497" t="str">
        <f t="shared" si="406"/>
        <v>Low Balance</v>
      </c>
      <c r="P6497" t="str">
        <f t="shared" si="407"/>
        <v>Mid-term</v>
      </c>
    </row>
    <row r="6498" spans="1:16" x14ac:dyDescent="0.25">
      <c r="A6498">
        <v>2025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  <c r="M6498" t="str">
        <f t="shared" si="404"/>
        <v>30-45</v>
      </c>
      <c r="N6498" t="str">
        <f t="shared" si="405"/>
        <v>Medium</v>
      </c>
      <c r="O6498" t="str">
        <f t="shared" si="406"/>
        <v>Low Balance</v>
      </c>
      <c r="P6498" t="str">
        <f t="shared" si="407"/>
        <v>Mid-term</v>
      </c>
    </row>
    <row r="6499" spans="1:16" x14ac:dyDescent="0.25">
      <c r="A6499">
        <v>2025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  <c r="M6499" t="str">
        <f t="shared" si="404"/>
        <v>46-60</v>
      </c>
      <c r="N6499" t="str">
        <f t="shared" si="405"/>
        <v>Medium</v>
      </c>
      <c r="O6499" t="str">
        <f t="shared" si="406"/>
        <v>High Balance</v>
      </c>
      <c r="P6499" t="str">
        <f t="shared" si="407"/>
        <v>Long-term</v>
      </c>
    </row>
    <row r="6500" spans="1:16" x14ac:dyDescent="0.25">
      <c r="A6500">
        <v>2025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  <c r="M6500" t="str">
        <f t="shared" si="404"/>
        <v>&lt;30</v>
      </c>
      <c r="N6500" t="str">
        <f t="shared" si="405"/>
        <v>Medium</v>
      </c>
      <c r="O6500" t="str">
        <f t="shared" si="406"/>
        <v>High Balance</v>
      </c>
      <c r="P6500" t="str">
        <f t="shared" si="407"/>
        <v>Mid-term</v>
      </c>
    </row>
    <row r="6501" spans="1:16" x14ac:dyDescent="0.25">
      <c r="A6501">
        <v>2025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  <c r="M6501" t="str">
        <f t="shared" si="404"/>
        <v>30-45</v>
      </c>
      <c r="N6501" t="str">
        <f t="shared" si="405"/>
        <v>High</v>
      </c>
      <c r="O6501" t="str">
        <f t="shared" si="406"/>
        <v>Zero Balance</v>
      </c>
      <c r="P6501" t="str">
        <f t="shared" si="407"/>
        <v>Long-term</v>
      </c>
    </row>
    <row r="6502" spans="1:16" x14ac:dyDescent="0.25">
      <c r="A6502">
        <v>2025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  <c r="M6502" t="str">
        <f t="shared" si="404"/>
        <v>30-45</v>
      </c>
      <c r="N6502" t="str">
        <f t="shared" si="405"/>
        <v>Medium</v>
      </c>
      <c r="O6502" t="str">
        <f t="shared" si="406"/>
        <v>High Balance</v>
      </c>
      <c r="P6502" t="str">
        <f t="shared" si="407"/>
        <v>Mid-term</v>
      </c>
    </row>
    <row r="6503" spans="1:16" x14ac:dyDescent="0.25">
      <c r="A6503">
        <v>2025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  <c r="M6503" t="str">
        <f t="shared" si="404"/>
        <v>30-45</v>
      </c>
      <c r="N6503" t="str">
        <f t="shared" si="405"/>
        <v>Medium</v>
      </c>
      <c r="O6503" t="str">
        <f t="shared" si="406"/>
        <v>Zero Balance</v>
      </c>
      <c r="P6503" t="str">
        <f t="shared" si="407"/>
        <v>Long-term</v>
      </c>
    </row>
    <row r="6504" spans="1:16" x14ac:dyDescent="0.25">
      <c r="A6504">
        <v>2025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  <c r="M6504" t="str">
        <f t="shared" si="404"/>
        <v>30-45</v>
      </c>
      <c r="N6504" t="str">
        <f t="shared" si="405"/>
        <v>Medium</v>
      </c>
      <c r="O6504" t="str">
        <f t="shared" si="406"/>
        <v>High Balance</v>
      </c>
      <c r="P6504" t="str">
        <f t="shared" si="407"/>
        <v>New</v>
      </c>
    </row>
    <row r="6505" spans="1:16" x14ac:dyDescent="0.25">
      <c r="A6505">
        <v>2025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  <c r="M6505" t="str">
        <f t="shared" si="404"/>
        <v>30-45</v>
      </c>
      <c r="N6505" t="str">
        <f t="shared" si="405"/>
        <v>Low</v>
      </c>
      <c r="O6505" t="str">
        <f t="shared" si="406"/>
        <v>High Balance</v>
      </c>
      <c r="P6505" t="str">
        <f t="shared" si="407"/>
        <v>Mid-term</v>
      </c>
    </row>
    <row r="6506" spans="1:16" x14ac:dyDescent="0.25">
      <c r="A6506">
        <v>2025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  <c r="M6506" t="str">
        <f t="shared" si="404"/>
        <v>30-45</v>
      </c>
      <c r="N6506" t="str">
        <f t="shared" si="405"/>
        <v>Medium</v>
      </c>
      <c r="O6506" t="str">
        <f t="shared" si="406"/>
        <v>Zero Balance</v>
      </c>
      <c r="P6506" t="str">
        <f t="shared" si="407"/>
        <v>New</v>
      </c>
    </row>
    <row r="6507" spans="1:16" x14ac:dyDescent="0.25">
      <c r="A6507">
        <v>2025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  <c r="M6507" t="str">
        <f t="shared" si="404"/>
        <v>46-60</v>
      </c>
      <c r="N6507" t="str">
        <f t="shared" si="405"/>
        <v>Medium</v>
      </c>
      <c r="O6507" t="str">
        <f t="shared" si="406"/>
        <v>High Balance</v>
      </c>
      <c r="P6507" t="str">
        <f t="shared" si="407"/>
        <v>New</v>
      </c>
    </row>
    <row r="6508" spans="1:16" x14ac:dyDescent="0.25">
      <c r="A6508">
        <v>2025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  <c r="M6508" t="str">
        <f t="shared" si="404"/>
        <v>46-60</v>
      </c>
      <c r="N6508" t="str">
        <f t="shared" si="405"/>
        <v>Medium</v>
      </c>
      <c r="O6508" t="str">
        <f t="shared" si="406"/>
        <v>High Balance</v>
      </c>
      <c r="P6508" t="str">
        <f t="shared" si="407"/>
        <v>New</v>
      </c>
    </row>
    <row r="6509" spans="1:16" x14ac:dyDescent="0.25">
      <c r="A6509">
        <v>2025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  <c r="M6509" t="str">
        <f t="shared" si="404"/>
        <v>30-45</v>
      </c>
      <c r="N6509" t="str">
        <f t="shared" si="405"/>
        <v>High</v>
      </c>
      <c r="O6509" t="str">
        <f t="shared" si="406"/>
        <v>High Balance</v>
      </c>
      <c r="P6509" t="str">
        <f t="shared" si="407"/>
        <v>Mid-term</v>
      </c>
    </row>
    <row r="6510" spans="1:16" x14ac:dyDescent="0.25">
      <c r="A6510">
        <v>2025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  <c r="M6510" t="str">
        <f t="shared" si="404"/>
        <v>30-45</v>
      </c>
      <c r="N6510" t="str">
        <f t="shared" si="405"/>
        <v>High</v>
      </c>
      <c r="O6510" t="str">
        <f t="shared" si="406"/>
        <v>Low Balance</v>
      </c>
      <c r="P6510" t="str">
        <f t="shared" si="407"/>
        <v>Mid-term</v>
      </c>
    </row>
    <row r="6511" spans="1:16" x14ac:dyDescent="0.25">
      <c r="A6511">
        <v>2025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  <c r="M6511" t="str">
        <f t="shared" si="404"/>
        <v>30-45</v>
      </c>
      <c r="N6511" t="str">
        <f t="shared" si="405"/>
        <v>High</v>
      </c>
      <c r="O6511" t="str">
        <f t="shared" si="406"/>
        <v>High Balance</v>
      </c>
      <c r="P6511" t="str">
        <f t="shared" si="407"/>
        <v>New</v>
      </c>
    </row>
    <row r="6512" spans="1:16" x14ac:dyDescent="0.25">
      <c r="A6512">
        <v>2025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  <c r="M6512" t="str">
        <f t="shared" si="404"/>
        <v>46-60</v>
      </c>
      <c r="N6512" t="str">
        <f t="shared" si="405"/>
        <v>Medium</v>
      </c>
      <c r="O6512" t="str">
        <f t="shared" si="406"/>
        <v>Low Balance</v>
      </c>
      <c r="P6512" t="str">
        <f t="shared" si="407"/>
        <v>Long-term</v>
      </c>
    </row>
    <row r="6513" spans="1:16" x14ac:dyDescent="0.25">
      <c r="A6513">
        <v>2025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  <c r="M6513" t="str">
        <f t="shared" si="404"/>
        <v>46-60</v>
      </c>
      <c r="N6513" t="str">
        <f t="shared" si="405"/>
        <v>Medium</v>
      </c>
      <c r="O6513" t="str">
        <f t="shared" si="406"/>
        <v>High Balance</v>
      </c>
      <c r="P6513" t="str">
        <f t="shared" si="407"/>
        <v>Mid-term</v>
      </c>
    </row>
    <row r="6514" spans="1:16" x14ac:dyDescent="0.25">
      <c r="A6514">
        <v>2025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  <c r="M6514" t="str">
        <f t="shared" si="404"/>
        <v>&lt;30</v>
      </c>
      <c r="N6514" t="str">
        <f t="shared" si="405"/>
        <v>Low</v>
      </c>
      <c r="O6514" t="str">
        <f t="shared" si="406"/>
        <v>High Balance</v>
      </c>
      <c r="P6514" t="str">
        <f t="shared" si="407"/>
        <v>Mid-term</v>
      </c>
    </row>
    <row r="6515" spans="1:16" x14ac:dyDescent="0.25">
      <c r="A6515">
        <v>2025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  <c r="M6515" t="str">
        <f t="shared" si="404"/>
        <v>30-45</v>
      </c>
      <c r="N6515" t="str">
        <f t="shared" si="405"/>
        <v>Medium</v>
      </c>
      <c r="O6515" t="str">
        <f t="shared" si="406"/>
        <v>High Balance</v>
      </c>
      <c r="P6515" t="str">
        <f t="shared" si="407"/>
        <v>Long-term</v>
      </c>
    </row>
    <row r="6516" spans="1:16" x14ac:dyDescent="0.25">
      <c r="A6516">
        <v>2025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  <c r="M6516" t="str">
        <f t="shared" si="404"/>
        <v>&lt;30</v>
      </c>
      <c r="N6516" t="str">
        <f t="shared" si="405"/>
        <v>Medium</v>
      </c>
      <c r="O6516" t="str">
        <f t="shared" si="406"/>
        <v>Zero Balance</v>
      </c>
      <c r="P6516" t="str">
        <f t="shared" si="407"/>
        <v>Mid-term</v>
      </c>
    </row>
    <row r="6517" spans="1:16" x14ac:dyDescent="0.25">
      <c r="A6517">
        <v>2025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  <c r="M6517" t="str">
        <f t="shared" si="404"/>
        <v>60+</v>
      </c>
      <c r="N6517" t="str">
        <f t="shared" si="405"/>
        <v>High</v>
      </c>
      <c r="O6517" t="str">
        <f t="shared" si="406"/>
        <v>High Balance</v>
      </c>
      <c r="P6517" t="str">
        <f t="shared" si="407"/>
        <v>New</v>
      </c>
    </row>
    <row r="6518" spans="1:16" x14ac:dyDescent="0.25">
      <c r="A6518">
        <v>2025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  <c r="M6518" t="str">
        <f t="shared" si="404"/>
        <v>30-45</v>
      </c>
      <c r="N6518" t="str">
        <f t="shared" si="405"/>
        <v>Medium</v>
      </c>
      <c r="O6518" t="str">
        <f t="shared" si="406"/>
        <v>Zero Balance</v>
      </c>
      <c r="P6518" t="str">
        <f t="shared" si="407"/>
        <v>Mid-term</v>
      </c>
    </row>
    <row r="6519" spans="1:16" x14ac:dyDescent="0.25">
      <c r="A6519">
        <v>2025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  <c r="M6519" t="str">
        <f t="shared" si="404"/>
        <v>46-60</v>
      </c>
      <c r="N6519" t="str">
        <f t="shared" si="405"/>
        <v>Medium</v>
      </c>
      <c r="O6519" t="str">
        <f t="shared" si="406"/>
        <v>High Balance</v>
      </c>
      <c r="P6519" t="str">
        <f t="shared" si="407"/>
        <v>Long-term</v>
      </c>
    </row>
    <row r="6520" spans="1:16" x14ac:dyDescent="0.25">
      <c r="A6520">
        <v>2025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  <c r="M6520" t="str">
        <f t="shared" si="404"/>
        <v>46-60</v>
      </c>
      <c r="N6520" t="str">
        <f t="shared" si="405"/>
        <v>Medium</v>
      </c>
      <c r="O6520" t="str">
        <f t="shared" si="406"/>
        <v>Low Balance</v>
      </c>
      <c r="P6520" t="str">
        <f t="shared" si="407"/>
        <v>Mid-term</v>
      </c>
    </row>
    <row r="6521" spans="1:16" x14ac:dyDescent="0.25">
      <c r="A6521">
        <v>2025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  <c r="M6521" t="str">
        <f t="shared" si="404"/>
        <v>46-60</v>
      </c>
      <c r="N6521" t="str">
        <f t="shared" si="405"/>
        <v>Medium</v>
      </c>
      <c r="O6521" t="str">
        <f t="shared" si="406"/>
        <v>High Balance</v>
      </c>
      <c r="P6521" t="str">
        <f t="shared" si="407"/>
        <v>Mid-term</v>
      </c>
    </row>
    <row r="6522" spans="1:16" x14ac:dyDescent="0.25">
      <c r="A6522">
        <v>2025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  <c r="M6522" t="str">
        <f t="shared" si="404"/>
        <v>30-45</v>
      </c>
      <c r="N6522" t="str">
        <f t="shared" si="405"/>
        <v>Medium</v>
      </c>
      <c r="O6522" t="str">
        <f t="shared" si="406"/>
        <v>Zero Balance</v>
      </c>
      <c r="P6522" t="str">
        <f t="shared" si="407"/>
        <v>Long-term</v>
      </c>
    </row>
    <row r="6523" spans="1:16" x14ac:dyDescent="0.25">
      <c r="A6523">
        <v>2025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  <c r="M6523" t="str">
        <f t="shared" si="404"/>
        <v>30-45</v>
      </c>
      <c r="N6523" t="str">
        <f t="shared" si="405"/>
        <v>High</v>
      </c>
      <c r="O6523" t="str">
        <f t="shared" si="406"/>
        <v>Low Balance</v>
      </c>
      <c r="P6523" t="str">
        <f t="shared" si="407"/>
        <v>Mid-term</v>
      </c>
    </row>
    <row r="6524" spans="1:16" x14ac:dyDescent="0.25">
      <c r="A6524">
        <v>2025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  <c r="M6524" t="str">
        <f t="shared" si="404"/>
        <v>30-45</v>
      </c>
      <c r="N6524" t="str">
        <f t="shared" si="405"/>
        <v>Medium</v>
      </c>
      <c r="O6524" t="str">
        <f t="shared" si="406"/>
        <v>Low Balance</v>
      </c>
      <c r="P6524" t="str">
        <f t="shared" si="407"/>
        <v>New</v>
      </c>
    </row>
    <row r="6525" spans="1:16" x14ac:dyDescent="0.25">
      <c r="A6525">
        <v>2025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  <c r="M6525" t="str">
        <f t="shared" si="404"/>
        <v>30-45</v>
      </c>
      <c r="N6525" t="str">
        <f t="shared" si="405"/>
        <v>Medium</v>
      </c>
      <c r="O6525" t="str">
        <f t="shared" si="406"/>
        <v>Zero Balance</v>
      </c>
      <c r="P6525" t="str">
        <f t="shared" si="407"/>
        <v>Mid-term</v>
      </c>
    </row>
    <row r="6526" spans="1:16" x14ac:dyDescent="0.25">
      <c r="A6526">
        <v>2025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  <c r="M6526" t="str">
        <f t="shared" si="404"/>
        <v>30-45</v>
      </c>
      <c r="N6526" t="str">
        <f t="shared" si="405"/>
        <v>Medium</v>
      </c>
      <c r="O6526" t="str">
        <f t="shared" si="406"/>
        <v>High Balance</v>
      </c>
      <c r="P6526" t="str">
        <f t="shared" si="407"/>
        <v>New</v>
      </c>
    </row>
    <row r="6527" spans="1:16" x14ac:dyDescent="0.25">
      <c r="A6527">
        <v>2025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  <c r="M6527" t="str">
        <f t="shared" si="404"/>
        <v>30-45</v>
      </c>
      <c r="N6527" t="str">
        <f t="shared" si="405"/>
        <v>High</v>
      </c>
      <c r="O6527" t="str">
        <f t="shared" si="406"/>
        <v>High Balance</v>
      </c>
      <c r="P6527" t="str">
        <f t="shared" si="407"/>
        <v>Mid-term</v>
      </c>
    </row>
    <row r="6528" spans="1:16" x14ac:dyDescent="0.25">
      <c r="A6528">
        <v>2025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  <c r="M6528" t="str">
        <f t="shared" si="404"/>
        <v>30-45</v>
      </c>
      <c r="N6528" t="str">
        <f t="shared" si="405"/>
        <v>Medium</v>
      </c>
      <c r="O6528" t="str">
        <f t="shared" si="406"/>
        <v>High Balance</v>
      </c>
      <c r="P6528" t="str">
        <f t="shared" si="407"/>
        <v>Mid-term</v>
      </c>
    </row>
    <row r="6529" spans="1:16" x14ac:dyDescent="0.25">
      <c r="A6529">
        <v>2025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  <c r="M6529" t="str">
        <f t="shared" si="404"/>
        <v>30-45</v>
      </c>
      <c r="N6529" t="str">
        <f t="shared" si="405"/>
        <v>Low</v>
      </c>
      <c r="O6529" t="str">
        <f t="shared" si="406"/>
        <v>High Balance</v>
      </c>
      <c r="P6529" t="str">
        <f t="shared" si="407"/>
        <v>New</v>
      </c>
    </row>
    <row r="6530" spans="1:16" x14ac:dyDescent="0.25">
      <c r="A6530">
        <v>2025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  <c r="M6530" t="str">
        <f t="shared" si="404"/>
        <v>&lt;30</v>
      </c>
      <c r="N6530" t="str">
        <f t="shared" si="405"/>
        <v>Medium</v>
      </c>
      <c r="O6530" t="str">
        <f t="shared" si="406"/>
        <v>High Balance</v>
      </c>
      <c r="P6530" t="str">
        <f t="shared" si="407"/>
        <v>Long-term</v>
      </c>
    </row>
    <row r="6531" spans="1:16" x14ac:dyDescent="0.25">
      <c r="A6531">
        <v>2025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  <c r="M6531" t="str">
        <f t="shared" ref="M6531:M6594" si="408">IF(E6531&lt;30,"&lt;30",IF(E6531&lt;=45,"30-45",IF(E6531&lt;=60,"46-60","60+")))</f>
        <v>30-45</v>
      </c>
      <c r="N6531" t="str">
        <f t="shared" ref="N6531:N6594" si="409">IF(B6531&lt;500,"Low",IF(B6531&lt;700,"Medium","High"))</f>
        <v>High</v>
      </c>
      <c r="O6531" t="str">
        <f t="shared" ref="O6531:O6594" si="410">IF(G6531=0,"Zero Balance",IF(G6531&lt;100000,"Low Balance","High Balance"))</f>
        <v>Zero Balance</v>
      </c>
      <c r="P6531" t="str">
        <f t="shared" ref="P6531:P6594" si="411">IF(F6531&lt;=3,"New",IF(F6531&lt;=7,"Mid-term","Long-term"))</f>
        <v>Long-term</v>
      </c>
    </row>
    <row r="6532" spans="1:16" x14ac:dyDescent="0.25">
      <c r="A6532">
        <v>2025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  <c r="M6532" t="str">
        <f t="shared" si="408"/>
        <v>60+</v>
      </c>
      <c r="N6532" t="str">
        <f t="shared" si="409"/>
        <v>Medium</v>
      </c>
      <c r="O6532" t="str">
        <f t="shared" si="410"/>
        <v>High Balance</v>
      </c>
      <c r="P6532" t="str">
        <f t="shared" si="411"/>
        <v>Long-term</v>
      </c>
    </row>
    <row r="6533" spans="1:16" x14ac:dyDescent="0.25">
      <c r="A6533">
        <v>2025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  <c r="M6533" t="str">
        <f t="shared" si="408"/>
        <v>30-45</v>
      </c>
      <c r="N6533" t="str">
        <f t="shared" si="409"/>
        <v>Medium</v>
      </c>
      <c r="O6533" t="str">
        <f t="shared" si="410"/>
        <v>Zero Balance</v>
      </c>
      <c r="P6533" t="str">
        <f t="shared" si="411"/>
        <v>Long-term</v>
      </c>
    </row>
    <row r="6534" spans="1:16" x14ac:dyDescent="0.25">
      <c r="A6534">
        <v>2025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  <c r="M6534" t="str">
        <f t="shared" si="408"/>
        <v>60+</v>
      </c>
      <c r="N6534" t="str">
        <f t="shared" si="409"/>
        <v>High</v>
      </c>
      <c r="O6534" t="str">
        <f t="shared" si="410"/>
        <v>Zero Balance</v>
      </c>
      <c r="P6534" t="str">
        <f t="shared" si="411"/>
        <v>Mid-term</v>
      </c>
    </row>
    <row r="6535" spans="1:16" x14ac:dyDescent="0.25">
      <c r="A6535">
        <v>2025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  <c r="M6535" t="str">
        <f t="shared" si="408"/>
        <v>46-60</v>
      </c>
      <c r="N6535" t="str">
        <f t="shared" si="409"/>
        <v>Low</v>
      </c>
      <c r="O6535" t="str">
        <f t="shared" si="410"/>
        <v>High Balance</v>
      </c>
      <c r="P6535" t="str">
        <f t="shared" si="411"/>
        <v>Long-term</v>
      </c>
    </row>
    <row r="6536" spans="1:16" x14ac:dyDescent="0.25">
      <c r="A6536">
        <v>2025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  <c r="M6536" t="str">
        <f t="shared" si="408"/>
        <v>&lt;30</v>
      </c>
      <c r="N6536" t="str">
        <f t="shared" si="409"/>
        <v>Medium</v>
      </c>
      <c r="O6536" t="str">
        <f t="shared" si="410"/>
        <v>High Balance</v>
      </c>
      <c r="P6536" t="str">
        <f t="shared" si="411"/>
        <v>Long-term</v>
      </c>
    </row>
    <row r="6537" spans="1:16" x14ac:dyDescent="0.25">
      <c r="A6537">
        <v>2025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  <c r="M6537" t="str">
        <f t="shared" si="408"/>
        <v>30-45</v>
      </c>
      <c r="N6537" t="str">
        <f t="shared" si="409"/>
        <v>Medium</v>
      </c>
      <c r="O6537" t="str">
        <f t="shared" si="410"/>
        <v>High Balance</v>
      </c>
      <c r="P6537" t="str">
        <f t="shared" si="411"/>
        <v>Mid-term</v>
      </c>
    </row>
    <row r="6538" spans="1:16" x14ac:dyDescent="0.25">
      <c r="A6538">
        <v>2025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  <c r="M6538" t="str">
        <f t="shared" si="408"/>
        <v>30-45</v>
      </c>
      <c r="N6538" t="str">
        <f t="shared" si="409"/>
        <v>Medium</v>
      </c>
      <c r="O6538" t="str">
        <f t="shared" si="410"/>
        <v>High Balance</v>
      </c>
      <c r="P6538" t="str">
        <f t="shared" si="411"/>
        <v>Mid-term</v>
      </c>
    </row>
    <row r="6539" spans="1:16" x14ac:dyDescent="0.25">
      <c r="A6539">
        <v>2025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  <c r="M6539" t="str">
        <f t="shared" si="408"/>
        <v>30-45</v>
      </c>
      <c r="N6539" t="str">
        <f t="shared" si="409"/>
        <v>Medium</v>
      </c>
      <c r="O6539" t="str">
        <f t="shared" si="410"/>
        <v>High Balance</v>
      </c>
      <c r="P6539" t="str">
        <f t="shared" si="411"/>
        <v>New</v>
      </c>
    </row>
    <row r="6540" spans="1:16" x14ac:dyDescent="0.25">
      <c r="A6540">
        <v>2025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  <c r="M6540" t="str">
        <f t="shared" si="408"/>
        <v>30-45</v>
      </c>
      <c r="N6540" t="str">
        <f t="shared" si="409"/>
        <v>Medium</v>
      </c>
      <c r="O6540" t="str">
        <f t="shared" si="410"/>
        <v>High Balance</v>
      </c>
      <c r="P6540" t="str">
        <f t="shared" si="411"/>
        <v>Mid-term</v>
      </c>
    </row>
    <row r="6541" spans="1:16" x14ac:dyDescent="0.25">
      <c r="A6541">
        <v>2025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  <c r="M6541" t="str">
        <f t="shared" si="408"/>
        <v>30-45</v>
      </c>
      <c r="N6541" t="str">
        <f t="shared" si="409"/>
        <v>Medium</v>
      </c>
      <c r="O6541" t="str">
        <f t="shared" si="410"/>
        <v>Zero Balance</v>
      </c>
      <c r="P6541" t="str">
        <f t="shared" si="411"/>
        <v>New</v>
      </c>
    </row>
    <row r="6542" spans="1:16" x14ac:dyDescent="0.25">
      <c r="A6542">
        <v>2025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  <c r="M6542" t="str">
        <f t="shared" si="408"/>
        <v>30-45</v>
      </c>
      <c r="N6542" t="str">
        <f t="shared" si="409"/>
        <v>Medium</v>
      </c>
      <c r="O6542" t="str">
        <f t="shared" si="410"/>
        <v>Low Balance</v>
      </c>
      <c r="P6542" t="str">
        <f t="shared" si="411"/>
        <v>New</v>
      </c>
    </row>
    <row r="6543" spans="1:16" x14ac:dyDescent="0.25">
      <c r="A6543">
        <v>2025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  <c r="M6543" t="str">
        <f t="shared" si="408"/>
        <v>30-45</v>
      </c>
      <c r="N6543" t="str">
        <f t="shared" si="409"/>
        <v>High</v>
      </c>
      <c r="O6543" t="str">
        <f t="shared" si="410"/>
        <v>High Balance</v>
      </c>
      <c r="P6543" t="str">
        <f t="shared" si="411"/>
        <v>Mid-term</v>
      </c>
    </row>
    <row r="6544" spans="1:16" x14ac:dyDescent="0.25">
      <c r="A6544">
        <v>2025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  <c r="M6544" t="str">
        <f t="shared" si="408"/>
        <v>30-45</v>
      </c>
      <c r="N6544" t="str">
        <f t="shared" si="409"/>
        <v>Medium</v>
      </c>
      <c r="O6544" t="str">
        <f t="shared" si="410"/>
        <v>High Balance</v>
      </c>
      <c r="P6544" t="str">
        <f t="shared" si="411"/>
        <v>Mid-term</v>
      </c>
    </row>
    <row r="6545" spans="1:16" x14ac:dyDescent="0.25">
      <c r="A6545">
        <v>2025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  <c r="M6545" t="str">
        <f t="shared" si="408"/>
        <v>&lt;30</v>
      </c>
      <c r="N6545" t="str">
        <f t="shared" si="409"/>
        <v>High</v>
      </c>
      <c r="O6545" t="str">
        <f t="shared" si="410"/>
        <v>High Balance</v>
      </c>
      <c r="P6545" t="str">
        <f t="shared" si="411"/>
        <v>New</v>
      </c>
    </row>
    <row r="6546" spans="1:16" x14ac:dyDescent="0.25">
      <c r="A6546">
        <v>2025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  <c r="M6546" t="str">
        <f t="shared" si="408"/>
        <v>30-45</v>
      </c>
      <c r="N6546" t="str">
        <f t="shared" si="409"/>
        <v>High</v>
      </c>
      <c r="O6546" t="str">
        <f t="shared" si="410"/>
        <v>High Balance</v>
      </c>
      <c r="P6546" t="str">
        <f t="shared" si="411"/>
        <v>New</v>
      </c>
    </row>
    <row r="6547" spans="1:16" x14ac:dyDescent="0.25">
      <c r="A6547">
        <v>2025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  <c r="M6547" t="str">
        <f t="shared" si="408"/>
        <v>&lt;30</v>
      </c>
      <c r="N6547" t="str">
        <f t="shared" si="409"/>
        <v>Low</v>
      </c>
      <c r="O6547" t="str">
        <f t="shared" si="410"/>
        <v>Zero Balance</v>
      </c>
      <c r="P6547" t="str">
        <f t="shared" si="411"/>
        <v>New</v>
      </c>
    </row>
    <row r="6548" spans="1:16" x14ac:dyDescent="0.25">
      <c r="A6548">
        <v>2025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  <c r="M6548" t="str">
        <f t="shared" si="408"/>
        <v>&lt;30</v>
      </c>
      <c r="N6548" t="str">
        <f t="shared" si="409"/>
        <v>High</v>
      </c>
      <c r="O6548" t="str">
        <f t="shared" si="410"/>
        <v>High Balance</v>
      </c>
      <c r="P6548" t="str">
        <f t="shared" si="411"/>
        <v>New</v>
      </c>
    </row>
    <row r="6549" spans="1:16" x14ac:dyDescent="0.25">
      <c r="A6549">
        <v>2025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  <c r="M6549" t="str">
        <f t="shared" si="408"/>
        <v>30-45</v>
      </c>
      <c r="N6549" t="str">
        <f t="shared" si="409"/>
        <v>Medium</v>
      </c>
      <c r="O6549" t="str">
        <f t="shared" si="410"/>
        <v>Low Balance</v>
      </c>
      <c r="P6549" t="str">
        <f t="shared" si="411"/>
        <v>Mid-term</v>
      </c>
    </row>
    <row r="6550" spans="1:16" x14ac:dyDescent="0.25">
      <c r="A6550">
        <v>2025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  <c r="M6550" t="str">
        <f t="shared" si="408"/>
        <v>30-45</v>
      </c>
      <c r="N6550" t="str">
        <f t="shared" si="409"/>
        <v>Medium</v>
      </c>
      <c r="O6550" t="str">
        <f t="shared" si="410"/>
        <v>High Balance</v>
      </c>
      <c r="P6550" t="str">
        <f t="shared" si="411"/>
        <v>Mid-term</v>
      </c>
    </row>
    <row r="6551" spans="1:16" x14ac:dyDescent="0.25">
      <c r="A6551">
        <v>2025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  <c r="M6551" t="str">
        <f t="shared" si="408"/>
        <v>30-45</v>
      </c>
      <c r="N6551" t="str">
        <f t="shared" si="409"/>
        <v>Medium</v>
      </c>
      <c r="O6551" t="str">
        <f t="shared" si="410"/>
        <v>Zero Balance</v>
      </c>
      <c r="P6551" t="str">
        <f t="shared" si="411"/>
        <v>Mid-term</v>
      </c>
    </row>
    <row r="6552" spans="1:16" x14ac:dyDescent="0.25">
      <c r="A6552">
        <v>2025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  <c r="M6552" t="str">
        <f t="shared" si="408"/>
        <v>30-45</v>
      </c>
      <c r="N6552" t="str">
        <f t="shared" si="409"/>
        <v>Medium</v>
      </c>
      <c r="O6552" t="str">
        <f t="shared" si="410"/>
        <v>High Balance</v>
      </c>
      <c r="P6552" t="str">
        <f t="shared" si="411"/>
        <v>New</v>
      </c>
    </row>
    <row r="6553" spans="1:16" x14ac:dyDescent="0.25">
      <c r="A6553">
        <v>2025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  <c r="M6553" t="str">
        <f t="shared" si="408"/>
        <v>30-45</v>
      </c>
      <c r="N6553" t="str">
        <f t="shared" si="409"/>
        <v>Medium</v>
      </c>
      <c r="O6553" t="str">
        <f t="shared" si="410"/>
        <v>Zero Balance</v>
      </c>
      <c r="P6553" t="str">
        <f t="shared" si="411"/>
        <v>Mid-term</v>
      </c>
    </row>
    <row r="6554" spans="1:16" x14ac:dyDescent="0.25">
      <c r="A6554">
        <v>2025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  <c r="M6554" t="str">
        <f t="shared" si="408"/>
        <v>30-45</v>
      </c>
      <c r="N6554" t="str">
        <f t="shared" si="409"/>
        <v>High</v>
      </c>
      <c r="O6554" t="str">
        <f t="shared" si="410"/>
        <v>High Balance</v>
      </c>
      <c r="P6554" t="str">
        <f t="shared" si="411"/>
        <v>Mid-term</v>
      </c>
    </row>
    <row r="6555" spans="1:16" x14ac:dyDescent="0.25">
      <c r="A6555">
        <v>2025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  <c r="M6555" t="str">
        <f t="shared" si="408"/>
        <v>46-60</v>
      </c>
      <c r="N6555" t="str">
        <f t="shared" si="409"/>
        <v>Medium</v>
      </c>
      <c r="O6555" t="str">
        <f t="shared" si="410"/>
        <v>High Balance</v>
      </c>
      <c r="P6555" t="str">
        <f t="shared" si="411"/>
        <v>New</v>
      </c>
    </row>
    <row r="6556" spans="1:16" x14ac:dyDescent="0.25">
      <c r="A6556">
        <v>2025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  <c r="M6556" t="str">
        <f t="shared" si="408"/>
        <v>30-45</v>
      </c>
      <c r="N6556" t="str">
        <f t="shared" si="409"/>
        <v>Medium</v>
      </c>
      <c r="O6556" t="str">
        <f t="shared" si="410"/>
        <v>Low Balance</v>
      </c>
      <c r="P6556" t="str">
        <f t="shared" si="411"/>
        <v>Mid-term</v>
      </c>
    </row>
    <row r="6557" spans="1:16" x14ac:dyDescent="0.25">
      <c r="A6557">
        <v>2025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  <c r="M6557" t="str">
        <f t="shared" si="408"/>
        <v>30-45</v>
      </c>
      <c r="N6557" t="str">
        <f t="shared" si="409"/>
        <v>Medium</v>
      </c>
      <c r="O6557" t="str">
        <f t="shared" si="410"/>
        <v>Zero Balance</v>
      </c>
      <c r="P6557" t="str">
        <f t="shared" si="411"/>
        <v>Mid-term</v>
      </c>
    </row>
    <row r="6558" spans="1:16" x14ac:dyDescent="0.25">
      <c r="A6558">
        <v>2025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  <c r="M6558" t="str">
        <f t="shared" si="408"/>
        <v>46-60</v>
      </c>
      <c r="N6558" t="str">
        <f t="shared" si="409"/>
        <v>High</v>
      </c>
      <c r="O6558" t="str">
        <f t="shared" si="410"/>
        <v>Low Balance</v>
      </c>
      <c r="P6558" t="str">
        <f t="shared" si="411"/>
        <v>New</v>
      </c>
    </row>
    <row r="6559" spans="1:16" x14ac:dyDescent="0.25">
      <c r="A6559">
        <v>2025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  <c r="M6559" t="str">
        <f t="shared" si="408"/>
        <v>30-45</v>
      </c>
      <c r="N6559" t="str">
        <f t="shared" si="409"/>
        <v>Medium</v>
      </c>
      <c r="O6559" t="str">
        <f t="shared" si="410"/>
        <v>Zero Balance</v>
      </c>
      <c r="P6559" t="str">
        <f t="shared" si="411"/>
        <v>Mid-term</v>
      </c>
    </row>
    <row r="6560" spans="1:16" x14ac:dyDescent="0.25">
      <c r="A6560">
        <v>2025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  <c r="M6560" t="str">
        <f t="shared" si="408"/>
        <v>30-45</v>
      </c>
      <c r="N6560" t="str">
        <f t="shared" si="409"/>
        <v>Medium</v>
      </c>
      <c r="O6560" t="str">
        <f t="shared" si="410"/>
        <v>High Balance</v>
      </c>
      <c r="P6560" t="str">
        <f t="shared" si="411"/>
        <v>New</v>
      </c>
    </row>
    <row r="6561" spans="1:16" x14ac:dyDescent="0.25">
      <c r="A6561">
        <v>2025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  <c r="M6561" t="str">
        <f t="shared" si="408"/>
        <v>30-45</v>
      </c>
      <c r="N6561" t="str">
        <f t="shared" si="409"/>
        <v>Medium</v>
      </c>
      <c r="O6561" t="str">
        <f t="shared" si="410"/>
        <v>Low Balance</v>
      </c>
      <c r="P6561" t="str">
        <f t="shared" si="411"/>
        <v>Mid-term</v>
      </c>
    </row>
    <row r="6562" spans="1:16" x14ac:dyDescent="0.25">
      <c r="A6562">
        <v>2025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  <c r="M6562" t="str">
        <f t="shared" si="408"/>
        <v>30-45</v>
      </c>
      <c r="N6562" t="str">
        <f t="shared" si="409"/>
        <v>Medium</v>
      </c>
      <c r="O6562" t="str">
        <f t="shared" si="410"/>
        <v>Zero Balance</v>
      </c>
      <c r="P6562" t="str">
        <f t="shared" si="411"/>
        <v>New</v>
      </c>
    </row>
    <row r="6563" spans="1:16" x14ac:dyDescent="0.25">
      <c r="A6563">
        <v>2025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  <c r="M6563" t="str">
        <f t="shared" si="408"/>
        <v>46-60</v>
      </c>
      <c r="N6563" t="str">
        <f t="shared" si="409"/>
        <v>Low</v>
      </c>
      <c r="O6563" t="str">
        <f t="shared" si="410"/>
        <v>High Balance</v>
      </c>
      <c r="P6563" t="str">
        <f t="shared" si="411"/>
        <v>Mid-term</v>
      </c>
    </row>
    <row r="6564" spans="1:16" x14ac:dyDescent="0.25">
      <c r="A6564">
        <v>2025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  <c r="M6564" t="str">
        <f t="shared" si="408"/>
        <v>30-45</v>
      </c>
      <c r="N6564" t="str">
        <f t="shared" si="409"/>
        <v>High</v>
      </c>
      <c r="O6564" t="str">
        <f t="shared" si="410"/>
        <v>Low Balance</v>
      </c>
      <c r="P6564" t="str">
        <f t="shared" si="411"/>
        <v>New</v>
      </c>
    </row>
    <row r="6565" spans="1:16" x14ac:dyDescent="0.25">
      <c r="A6565">
        <v>2025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  <c r="M6565" t="str">
        <f t="shared" si="408"/>
        <v>&lt;30</v>
      </c>
      <c r="N6565" t="str">
        <f t="shared" si="409"/>
        <v>Medium</v>
      </c>
      <c r="O6565" t="str">
        <f t="shared" si="410"/>
        <v>High Balance</v>
      </c>
      <c r="P6565" t="str">
        <f t="shared" si="411"/>
        <v>Mid-term</v>
      </c>
    </row>
    <row r="6566" spans="1:16" x14ac:dyDescent="0.25">
      <c r="A6566">
        <v>2025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  <c r="M6566" t="str">
        <f t="shared" si="408"/>
        <v>46-60</v>
      </c>
      <c r="N6566" t="str">
        <f t="shared" si="409"/>
        <v>Medium</v>
      </c>
      <c r="O6566" t="str">
        <f t="shared" si="410"/>
        <v>High Balance</v>
      </c>
      <c r="P6566" t="str">
        <f t="shared" si="411"/>
        <v>New</v>
      </c>
    </row>
    <row r="6567" spans="1:16" x14ac:dyDescent="0.25">
      <c r="A6567">
        <v>2025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  <c r="M6567" t="str">
        <f t="shared" si="408"/>
        <v>30-45</v>
      </c>
      <c r="N6567" t="str">
        <f t="shared" si="409"/>
        <v>Medium</v>
      </c>
      <c r="O6567" t="str">
        <f t="shared" si="410"/>
        <v>Zero Balance</v>
      </c>
      <c r="P6567" t="str">
        <f t="shared" si="411"/>
        <v>New</v>
      </c>
    </row>
    <row r="6568" spans="1:16" x14ac:dyDescent="0.25">
      <c r="A6568">
        <v>2025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  <c r="M6568" t="str">
        <f t="shared" si="408"/>
        <v>30-45</v>
      </c>
      <c r="N6568" t="str">
        <f t="shared" si="409"/>
        <v>Medium</v>
      </c>
      <c r="O6568" t="str">
        <f t="shared" si="410"/>
        <v>High Balance</v>
      </c>
      <c r="P6568" t="str">
        <f t="shared" si="411"/>
        <v>New</v>
      </c>
    </row>
    <row r="6569" spans="1:16" x14ac:dyDescent="0.25">
      <c r="A6569">
        <v>2025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  <c r="M6569" t="str">
        <f t="shared" si="408"/>
        <v>46-60</v>
      </c>
      <c r="N6569" t="str">
        <f t="shared" si="409"/>
        <v>Medium</v>
      </c>
      <c r="O6569" t="str">
        <f t="shared" si="410"/>
        <v>High Balance</v>
      </c>
      <c r="P6569" t="str">
        <f t="shared" si="411"/>
        <v>New</v>
      </c>
    </row>
    <row r="6570" spans="1:16" x14ac:dyDescent="0.25">
      <c r="A6570">
        <v>2025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  <c r="M6570" t="str">
        <f t="shared" si="408"/>
        <v>46-60</v>
      </c>
      <c r="N6570" t="str">
        <f t="shared" si="409"/>
        <v>High</v>
      </c>
      <c r="O6570" t="str">
        <f t="shared" si="410"/>
        <v>High Balance</v>
      </c>
      <c r="P6570" t="str">
        <f t="shared" si="411"/>
        <v>Long-term</v>
      </c>
    </row>
    <row r="6571" spans="1:16" x14ac:dyDescent="0.25">
      <c r="A6571">
        <v>2025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  <c r="M6571" t="str">
        <f t="shared" si="408"/>
        <v>30-45</v>
      </c>
      <c r="N6571" t="str">
        <f t="shared" si="409"/>
        <v>Medium</v>
      </c>
      <c r="O6571" t="str">
        <f t="shared" si="410"/>
        <v>High Balance</v>
      </c>
      <c r="P6571" t="str">
        <f t="shared" si="411"/>
        <v>New</v>
      </c>
    </row>
    <row r="6572" spans="1:16" x14ac:dyDescent="0.25">
      <c r="A6572">
        <v>2025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  <c r="M6572" t="str">
        <f t="shared" si="408"/>
        <v>30-45</v>
      </c>
      <c r="N6572" t="str">
        <f t="shared" si="409"/>
        <v>Medium</v>
      </c>
      <c r="O6572" t="str">
        <f t="shared" si="410"/>
        <v>Zero Balance</v>
      </c>
      <c r="P6572" t="str">
        <f t="shared" si="411"/>
        <v>Mid-term</v>
      </c>
    </row>
    <row r="6573" spans="1:16" x14ac:dyDescent="0.25">
      <c r="A6573">
        <v>2025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  <c r="M6573" t="str">
        <f t="shared" si="408"/>
        <v>46-60</v>
      </c>
      <c r="N6573" t="str">
        <f t="shared" si="409"/>
        <v>Medium</v>
      </c>
      <c r="O6573" t="str">
        <f t="shared" si="410"/>
        <v>Zero Balance</v>
      </c>
      <c r="P6573" t="str">
        <f t="shared" si="411"/>
        <v>Long-term</v>
      </c>
    </row>
    <row r="6574" spans="1:16" x14ac:dyDescent="0.25">
      <c r="A6574">
        <v>2025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  <c r="M6574" t="str">
        <f t="shared" si="408"/>
        <v>&lt;30</v>
      </c>
      <c r="N6574" t="str">
        <f t="shared" si="409"/>
        <v>Medium</v>
      </c>
      <c r="O6574" t="str">
        <f t="shared" si="410"/>
        <v>Zero Balance</v>
      </c>
      <c r="P6574" t="str">
        <f t="shared" si="411"/>
        <v>Long-term</v>
      </c>
    </row>
    <row r="6575" spans="1:16" x14ac:dyDescent="0.25">
      <c r="A6575">
        <v>2025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  <c r="M6575" t="str">
        <f t="shared" si="408"/>
        <v>30-45</v>
      </c>
      <c r="N6575" t="str">
        <f t="shared" si="409"/>
        <v>Medium</v>
      </c>
      <c r="O6575" t="str">
        <f t="shared" si="410"/>
        <v>High Balance</v>
      </c>
      <c r="P6575" t="str">
        <f t="shared" si="411"/>
        <v>New</v>
      </c>
    </row>
    <row r="6576" spans="1:16" x14ac:dyDescent="0.25">
      <c r="A6576">
        <v>2025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  <c r="M6576" t="str">
        <f t="shared" si="408"/>
        <v>30-45</v>
      </c>
      <c r="N6576" t="str">
        <f t="shared" si="409"/>
        <v>High</v>
      </c>
      <c r="O6576" t="str">
        <f t="shared" si="410"/>
        <v>High Balance</v>
      </c>
      <c r="P6576" t="str">
        <f t="shared" si="411"/>
        <v>Long-term</v>
      </c>
    </row>
    <row r="6577" spans="1:16" x14ac:dyDescent="0.25">
      <c r="A6577">
        <v>2025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  <c r="M6577" t="str">
        <f t="shared" si="408"/>
        <v>46-60</v>
      </c>
      <c r="N6577" t="str">
        <f t="shared" si="409"/>
        <v>High</v>
      </c>
      <c r="O6577" t="str">
        <f t="shared" si="410"/>
        <v>High Balance</v>
      </c>
      <c r="P6577" t="str">
        <f t="shared" si="411"/>
        <v>Mid-term</v>
      </c>
    </row>
    <row r="6578" spans="1:16" x14ac:dyDescent="0.25">
      <c r="A6578">
        <v>2025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  <c r="M6578" t="str">
        <f t="shared" si="408"/>
        <v>30-45</v>
      </c>
      <c r="N6578" t="str">
        <f t="shared" si="409"/>
        <v>High</v>
      </c>
      <c r="O6578" t="str">
        <f t="shared" si="410"/>
        <v>High Balance</v>
      </c>
      <c r="P6578" t="str">
        <f t="shared" si="411"/>
        <v>Mid-term</v>
      </c>
    </row>
    <row r="6579" spans="1:16" x14ac:dyDescent="0.25">
      <c r="A6579">
        <v>2025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  <c r="M6579" t="str">
        <f t="shared" si="408"/>
        <v>30-45</v>
      </c>
      <c r="N6579" t="str">
        <f t="shared" si="409"/>
        <v>Medium</v>
      </c>
      <c r="O6579" t="str">
        <f t="shared" si="410"/>
        <v>High Balance</v>
      </c>
      <c r="P6579" t="str">
        <f t="shared" si="411"/>
        <v>Mid-term</v>
      </c>
    </row>
    <row r="6580" spans="1:16" x14ac:dyDescent="0.25">
      <c r="A6580">
        <v>2025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  <c r="M6580" t="str">
        <f t="shared" si="408"/>
        <v>&lt;30</v>
      </c>
      <c r="N6580" t="str">
        <f t="shared" si="409"/>
        <v>High</v>
      </c>
      <c r="O6580" t="str">
        <f t="shared" si="410"/>
        <v>Zero Balance</v>
      </c>
      <c r="P6580" t="str">
        <f t="shared" si="411"/>
        <v>Long-term</v>
      </c>
    </row>
    <row r="6581" spans="1:16" x14ac:dyDescent="0.25">
      <c r="A6581">
        <v>2025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  <c r="M6581" t="str">
        <f t="shared" si="408"/>
        <v>30-45</v>
      </c>
      <c r="N6581" t="str">
        <f t="shared" si="409"/>
        <v>Low</v>
      </c>
      <c r="O6581" t="str">
        <f t="shared" si="410"/>
        <v>Zero Balance</v>
      </c>
      <c r="P6581" t="str">
        <f t="shared" si="411"/>
        <v>Mid-term</v>
      </c>
    </row>
    <row r="6582" spans="1:16" x14ac:dyDescent="0.25">
      <c r="A6582">
        <v>2025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  <c r="M6582" t="str">
        <f t="shared" si="408"/>
        <v>30-45</v>
      </c>
      <c r="N6582" t="str">
        <f t="shared" si="409"/>
        <v>Medium</v>
      </c>
      <c r="O6582" t="str">
        <f t="shared" si="410"/>
        <v>High Balance</v>
      </c>
      <c r="P6582" t="str">
        <f t="shared" si="411"/>
        <v>Mid-term</v>
      </c>
    </row>
    <row r="6583" spans="1:16" x14ac:dyDescent="0.25">
      <c r="A6583">
        <v>2025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  <c r="M6583" t="str">
        <f t="shared" si="408"/>
        <v>60+</v>
      </c>
      <c r="N6583" t="str">
        <f t="shared" si="409"/>
        <v>Medium</v>
      </c>
      <c r="O6583" t="str">
        <f t="shared" si="410"/>
        <v>High Balance</v>
      </c>
      <c r="P6583" t="str">
        <f t="shared" si="411"/>
        <v>Mid-term</v>
      </c>
    </row>
    <row r="6584" spans="1:16" x14ac:dyDescent="0.25">
      <c r="A6584">
        <v>2025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  <c r="M6584" t="str">
        <f t="shared" si="408"/>
        <v>46-60</v>
      </c>
      <c r="N6584" t="str">
        <f t="shared" si="409"/>
        <v>Medium</v>
      </c>
      <c r="O6584" t="str">
        <f t="shared" si="410"/>
        <v>Zero Balance</v>
      </c>
      <c r="P6584" t="str">
        <f t="shared" si="411"/>
        <v>Mid-term</v>
      </c>
    </row>
    <row r="6585" spans="1:16" x14ac:dyDescent="0.25">
      <c r="A6585">
        <v>2025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  <c r="M6585" t="str">
        <f t="shared" si="408"/>
        <v>&lt;30</v>
      </c>
      <c r="N6585" t="str">
        <f t="shared" si="409"/>
        <v>High</v>
      </c>
      <c r="O6585" t="str">
        <f t="shared" si="410"/>
        <v>High Balance</v>
      </c>
      <c r="P6585" t="str">
        <f t="shared" si="411"/>
        <v>Long-term</v>
      </c>
    </row>
    <row r="6586" spans="1:16" x14ac:dyDescent="0.25">
      <c r="A6586">
        <v>2025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  <c r="M6586" t="str">
        <f t="shared" si="408"/>
        <v>&lt;30</v>
      </c>
      <c r="N6586" t="str">
        <f t="shared" si="409"/>
        <v>Medium</v>
      </c>
      <c r="O6586" t="str">
        <f t="shared" si="410"/>
        <v>High Balance</v>
      </c>
      <c r="P6586" t="str">
        <f t="shared" si="411"/>
        <v>Long-term</v>
      </c>
    </row>
    <row r="6587" spans="1:16" x14ac:dyDescent="0.25">
      <c r="A6587">
        <v>2025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  <c r="M6587" t="str">
        <f t="shared" si="408"/>
        <v>30-45</v>
      </c>
      <c r="N6587" t="str">
        <f t="shared" si="409"/>
        <v>Medium</v>
      </c>
      <c r="O6587" t="str">
        <f t="shared" si="410"/>
        <v>Zero Balance</v>
      </c>
      <c r="P6587" t="str">
        <f t="shared" si="411"/>
        <v>Mid-term</v>
      </c>
    </row>
    <row r="6588" spans="1:16" x14ac:dyDescent="0.25">
      <c r="A6588">
        <v>2025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  <c r="M6588" t="str">
        <f t="shared" si="408"/>
        <v>30-45</v>
      </c>
      <c r="N6588" t="str">
        <f t="shared" si="409"/>
        <v>Medium</v>
      </c>
      <c r="O6588" t="str">
        <f t="shared" si="410"/>
        <v>Low Balance</v>
      </c>
      <c r="P6588" t="str">
        <f t="shared" si="411"/>
        <v>Mid-term</v>
      </c>
    </row>
    <row r="6589" spans="1:16" x14ac:dyDescent="0.25">
      <c r="A6589">
        <v>2025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  <c r="M6589" t="str">
        <f t="shared" si="408"/>
        <v>30-45</v>
      </c>
      <c r="N6589" t="str">
        <f t="shared" si="409"/>
        <v>High</v>
      </c>
      <c r="O6589" t="str">
        <f t="shared" si="410"/>
        <v>Low Balance</v>
      </c>
      <c r="P6589" t="str">
        <f t="shared" si="411"/>
        <v>New</v>
      </c>
    </row>
    <row r="6590" spans="1:16" x14ac:dyDescent="0.25">
      <c r="A6590">
        <v>2025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  <c r="M6590" t="str">
        <f t="shared" si="408"/>
        <v>&lt;30</v>
      </c>
      <c r="N6590" t="str">
        <f t="shared" si="409"/>
        <v>Medium</v>
      </c>
      <c r="O6590" t="str">
        <f t="shared" si="410"/>
        <v>Zero Balance</v>
      </c>
      <c r="P6590" t="str">
        <f t="shared" si="411"/>
        <v>Mid-term</v>
      </c>
    </row>
    <row r="6591" spans="1:16" x14ac:dyDescent="0.25">
      <c r="A6591">
        <v>2025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  <c r="M6591" t="str">
        <f t="shared" si="408"/>
        <v>30-45</v>
      </c>
      <c r="N6591" t="str">
        <f t="shared" si="409"/>
        <v>Low</v>
      </c>
      <c r="O6591" t="str">
        <f t="shared" si="410"/>
        <v>High Balance</v>
      </c>
      <c r="P6591" t="str">
        <f t="shared" si="411"/>
        <v>Mid-term</v>
      </c>
    </row>
    <row r="6592" spans="1:16" x14ac:dyDescent="0.25">
      <c r="A6592">
        <v>2025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  <c r="M6592" t="str">
        <f t="shared" si="408"/>
        <v>30-45</v>
      </c>
      <c r="N6592" t="str">
        <f t="shared" si="409"/>
        <v>Medium</v>
      </c>
      <c r="O6592" t="str">
        <f t="shared" si="410"/>
        <v>Zero Balance</v>
      </c>
      <c r="P6592" t="str">
        <f t="shared" si="411"/>
        <v>New</v>
      </c>
    </row>
    <row r="6593" spans="1:16" x14ac:dyDescent="0.25">
      <c r="A6593">
        <v>2025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  <c r="M6593" t="str">
        <f t="shared" si="408"/>
        <v>30-45</v>
      </c>
      <c r="N6593" t="str">
        <f t="shared" si="409"/>
        <v>High</v>
      </c>
      <c r="O6593" t="str">
        <f t="shared" si="410"/>
        <v>Zero Balance</v>
      </c>
      <c r="P6593" t="str">
        <f t="shared" si="411"/>
        <v>Mid-term</v>
      </c>
    </row>
    <row r="6594" spans="1:16" x14ac:dyDescent="0.25">
      <c r="A6594">
        <v>2025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  <c r="M6594" t="str">
        <f t="shared" si="408"/>
        <v>30-45</v>
      </c>
      <c r="N6594" t="str">
        <f t="shared" si="409"/>
        <v>Medium</v>
      </c>
      <c r="O6594" t="str">
        <f t="shared" si="410"/>
        <v>Zero Balance</v>
      </c>
      <c r="P6594" t="str">
        <f t="shared" si="411"/>
        <v>Mid-term</v>
      </c>
    </row>
    <row r="6595" spans="1:16" x14ac:dyDescent="0.25">
      <c r="A6595">
        <v>2025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  <c r="M6595" t="str">
        <f t="shared" ref="M6595:M6658" si="412">IF(E6595&lt;30,"&lt;30",IF(E6595&lt;=45,"30-45",IF(E6595&lt;=60,"46-60","60+")))</f>
        <v>30-45</v>
      </c>
      <c r="N6595" t="str">
        <f t="shared" ref="N6595:N6658" si="413">IF(B6595&lt;500,"Low",IF(B6595&lt;700,"Medium","High"))</f>
        <v>Medium</v>
      </c>
      <c r="O6595" t="str">
        <f t="shared" ref="O6595:O6658" si="414">IF(G6595=0,"Zero Balance",IF(G6595&lt;100000,"Low Balance","High Balance"))</f>
        <v>Low Balance</v>
      </c>
      <c r="P6595" t="str">
        <f t="shared" ref="P6595:P6658" si="415">IF(F6595&lt;=3,"New",IF(F6595&lt;=7,"Mid-term","Long-term"))</f>
        <v>New</v>
      </c>
    </row>
    <row r="6596" spans="1:16" x14ac:dyDescent="0.25">
      <c r="A6596">
        <v>2025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  <c r="M6596" t="str">
        <f t="shared" si="412"/>
        <v>30-45</v>
      </c>
      <c r="N6596" t="str">
        <f t="shared" si="413"/>
        <v>High</v>
      </c>
      <c r="O6596" t="str">
        <f t="shared" si="414"/>
        <v>Zero Balance</v>
      </c>
      <c r="P6596" t="str">
        <f t="shared" si="415"/>
        <v>New</v>
      </c>
    </row>
    <row r="6597" spans="1:16" x14ac:dyDescent="0.25">
      <c r="A6597">
        <v>2025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  <c r="M6597" t="str">
        <f t="shared" si="412"/>
        <v>&lt;30</v>
      </c>
      <c r="N6597" t="str">
        <f t="shared" si="413"/>
        <v>Medium</v>
      </c>
      <c r="O6597" t="str">
        <f t="shared" si="414"/>
        <v>Zero Balance</v>
      </c>
      <c r="P6597" t="str">
        <f t="shared" si="415"/>
        <v>Mid-term</v>
      </c>
    </row>
    <row r="6598" spans="1:16" x14ac:dyDescent="0.25">
      <c r="A6598">
        <v>2025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  <c r="M6598" t="str">
        <f t="shared" si="412"/>
        <v>&lt;30</v>
      </c>
      <c r="N6598" t="str">
        <f t="shared" si="413"/>
        <v>Low</v>
      </c>
      <c r="O6598" t="str">
        <f t="shared" si="414"/>
        <v>Low Balance</v>
      </c>
      <c r="P6598" t="str">
        <f t="shared" si="415"/>
        <v>Mid-term</v>
      </c>
    </row>
    <row r="6599" spans="1:16" x14ac:dyDescent="0.25">
      <c r="A6599">
        <v>2025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  <c r="M6599" t="str">
        <f t="shared" si="412"/>
        <v>30-45</v>
      </c>
      <c r="N6599" t="str">
        <f t="shared" si="413"/>
        <v>Medium</v>
      </c>
      <c r="O6599" t="str">
        <f t="shared" si="414"/>
        <v>Low Balance</v>
      </c>
      <c r="P6599" t="str">
        <f t="shared" si="415"/>
        <v>Mid-term</v>
      </c>
    </row>
    <row r="6600" spans="1:16" x14ac:dyDescent="0.25">
      <c r="A6600">
        <v>2025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  <c r="M6600" t="str">
        <f t="shared" si="412"/>
        <v>&lt;30</v>
      </c>
      <c r="N6600" t="str">
        <f t="shared" si="413"/>
        <v>Medium</v>
      </c>
      <c r="O6600" t="str">
        <f t="shared" si="414"/>
        <v>High Balance</v>
      </c>
      <c r="P6600" t="str">
        <f t="shared" si="415"/>
        <v>New</v>
      </c>
    </row>
    <row r="6601" spans="1:16" x14ac:dyDescent="0.25">
      <c r="A6601">
        <v>2025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  <c r="M6601" t="str">
        <f t="shared" si="412"/>
        <v>46-60</v>
      </c>
      <c r="N6601" t="str">
        <f t="shared" si="413"/>
        <v>High</v>
      </c>
      <c r="O6601" t="str">
        <f t="shared" si="414"/>
        <v>High Balance</v>
      </c>
      <c r="P6601" t="str">
        <f t="shared" si="415"/>
        <v>Mid-term</v>
      </c>
    </row>
    <row r="6602" spans="1:16" x14ac:dyDescent="0.25">
      <c r="A6602">
        <v>2025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  <c r="M6602" t="str">
        <f t="shared" si="412"/>
        <v>30-45</v>
      </c>
      <c r="N6602" t="str">
        <f t="shared" si="413"/>
        <v>Medium</v>
      </c>
      <c r="O6602" t="str">
        <f t="shared" si="414"/>
        <v>Low Balance</v>
      </c>
      <c r="P6602" t="str">
        <f t="shared" si="415"/>
        <v>New</v>
      </c>
    </row>
    <row r="6603" spans="1:16" x14ac:dyDescent="0.25">
      <c r="A6603">
        <v>2025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  <c r="M6603" t="str">
        <f t="shared" si="412"/>
        <v>46-60</v>
      </c>
      <c r="N6603" t="str">
        <f t="shared" si="413"/>
        <v>Medium</v>
      </c>
      <c r="O6603" t="str">
        <f t="shared" si="414"/>
        <v>High Balance</v>
      </c>
      <c r="P6603" t="str">
        <f t="shared" si="415"/>
        <v>Long-term</v>
      </c>
    </row>
    <row r="6604" spans="1:16" x14ac:dyDescent="0.25">
      <c r="A6604">
        <v>2025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  <c r="M6604" t="str">
        <f t="shared" si="412"/>
        <v>30-45</v>
      </c>
      <c r="N6604" t="str">
        <f t="shared" si="413"/>
        <v>High</v>
      </c>
      <c r="O6604" t="str">
        <f t="shared" si="414"/>
        <v>High Balance</v>
      </c>
      <c r="P6604" t="str">
        <f t="shared" si="415"/>
        <v>New</v>
      </c>
    </row>
    <row r="6605" spans="1:16" x14ac:dyDescent="0.25">
      <c r="A6605">
        <v>2025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  <c r="M6605" t="str">
        <f t="shared" si="412"/>
        <v>30-45</v>
      </c>
      <c r="N6605" t="str">
        <f t="shared" si="413"/>
        <v>Medium</v>
      </c>
      <c r="O6605" t="str">
        <f t="shared" si="414"/>
        <v>Low Balance</v>
      </c>
      <c r="P6605" t="str">
        <f t="shared" si="415"/>
        <v>Long-term</v>
      </c>
    </row>
    <row r="6606" spans="1:16" x14ac:dyDescent="0.25">
      <c r="A6606">
        <v>2025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  <c r="M6606" t="str">
        <f t="shared" si="412"/>
        <v>46-60</v>
      </c>
      <c r="N6606" t="str">
        <f t="shared" si="413"/>
        <v>High</v>
      </c>
      <c r="O6606" t="str">
        <f t="shared" si="414"/>
        <v>Low Balance</v>
      </c>
      <c r="P6606" t="str">
        <f t="shared" si="415"/>
        <v>Mid-term</v>
      </c>
    </row>
    <row r="6607" spans="1:16" x14ac:dyDescent="0.25">
      <c r="A6607">
        <v>2025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  <c r="M6607" t="str">
        <f t="shared" si="412"/>
        <v>30-45</v>
      </c>
      <c r="N6607" t="str">
        <f t="shared" si="413"/>
        <v>High</v>
      </c>
      <c r="O6607" t="str">
        <f t="shared" si="414"/>
        <v>Zero Balance</v>
      </c>
      <c r="P6607" t="str">
        <f t="shared" si="415"/>
        <v>Mid-term</v>
      </c>
    </row>
    <row r="6608" spans="1:16" x14ac:dyDescent="0.25">
      <c r="A6608">
        <v>2025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  <c r="M6608" t="str">
        <f t="shared" si="412"/>
        <v>30-45</v>
      </c>
      <c r="N6608" t="str">
        <f t="shared" si="413"/>
        <v>High</v>
      </c>
      <c r="O6608" t="str">
        <f t="shared" si="414"/>
        <v>Low Balance</v>
      </c>
      <c r="P6608" t="str">
        <f t="shared" si="415"/>
        <v>Mid-term</v>
      </c>
    </row>
    <row r="6609" spans="1:16" x14ac:dyDescent="0.25">
      <c r="A6609">
        <v>2025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  <c r="M6609" t="str">
        <f t="shared" si="412"/>
        <v>30-45</v>
      </c>
      <c r="N6609" t="str">
        <f t="shared" si="413"/>
        <v>Medium</v>
      </c>
      <c r="O6609" t="str">
        <f t="shared" si="414"/>
        <v>Low Balance</v>
      </c>
      <c r="P6609" t="str">
        <f t="shared" si="415"/>
        <v>Long-term</v>
      </c>
    </row>
    <row r="6610" spans="1:16" x14ac:dyDescent="0.25">
      <c r="A6610">
        <v>2025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  <c r="M6610" t="str">
        <f t="shared" si="412"/>
        <v>30-45</v>
      </c>
      <c r="N6610" t="str">
        <f t="shared" si="413"/>
        <v>High</v>
      </c>
      <c r="O6610" t="str">
        <f t="shared" si="414"/>
        <v>High Balance</v>
      </c>
      <c r="P6610" t="str">
        <f t="shared" si="415"/>
        <v>Mid-term</v>
      </c>
    </row>
    <row r="6611" spans="1:16" x14ac:dyDescent="0.25">
      <c r="A6611">
        <v>2025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  <c r="M6611" t="str">
        <f t="shared" si="412"/>
        <v>30-45</v>
      </c>
      <c r="N6611" t="str">
        <f t="shared" si="413"/>
        <v>High</v>
      </c>
      <c r="O6611" t="str">
        <f t="shared" si="414"/>
        <v>Low Balance</v>
      </c>
      <c r="P6611" t="str">
        <f t="shared" si="415"/>
        <v>New</v>
      </c>
    </row>
    <row r="6612" spans="1:16" x14ac:dyDescent="0.25">
      <c r="A6612">
        <v>2025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  <c r="M6612" t="str">
        <f t="shared" si="412"/>
        <v>46-60</v>
      </c>
      <c r="N6612" t="str">
        <f t="shared" si="413"/>
        <v>Low</v>
      </c>
      <c r="O6612" t="str">
        <f t="shared" si="414"/>
        <v>High Balance</v>
      </c>
      <c r="P6612" t="str">
        <f t="shared" si="415"/>
        <v>New</v>
      </c>
    </row>
    <row r="6613" spans="1:16" x14ac:dyDescent="0.25">
      <c r="A6613">
        <v>2025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  <c r="M6613" t="str">
        <f t="shared" si="412"/>
        <v>&lt;30</v>
      </c>
      <c r="N6613" t="str">
        <f t="shared" si="413"/>
        <v>Medium</v>
      </c>
      <c r="O6613" t="str">
        <f t="shared" si="414"/>
        <v>High Balance</v>
      </c>
      <c r="P6613" t="str">
        <f t="shared" si="415"/>
        <v>Mid-term</v>
      </c>
    </row>
    <row r="6614" spans="1:16" x14ac:dyDescent="0.25">
      <c r="A6614">
        <v>2025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  <c r="M6614" t="str">
        <f t="shared" si="412"/>
        <v>60+</v>
      </c>
      <c r="N6614" t="str">
        <f t="shared" si="413"/>
        <v>Medium</v>
      </c>
      <c r="O6614" t="str">
        <f t="shared" si="414"/>
        <v>High Balance</v>
      </c>
      <c r="P6614" t="str">
        <f t="shared" si="415"/>
        <v>New</v>
      </c>
    </row>
    <row r="6615" spans="1:16" x14ac:dyDescent="0.25">
      <c r="A6615">
        <v>2025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  <c r="M6615" t="str">
        <f t="shared" si="412"/>
        <v>&lt;30</v>
      </c>
      <c r="N6615" t="str">
        <f t="shared" si="413"/>
        <v>Medium</v>
      </c>
      <c r="O6615" t="str">
        <f t="shared" si="414"/>
        <v>Zero Balance</v>
      </c>
      <c r="P6615" t="str">
        <f t="shared" si="415"/>
        <v>Mid-term</v>
      </c>
    </row>
    <row r="6616" spans="1:16" x14ac:dyDescent="0.25">
      <c r="A6616">
        <v>2025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  <c r="M6616" t="str">
        <f t="shared" si="412"/>
        <v>30-45</v>
      </c>
      <c r="N6616" t="str">
        <f t="shared" si="413"/>
        <v>Medium</v>
      </c>
      <c r="O6616" t="str">
        <f t="shared" si="414"/>
        <v>High Balance</v>
      </c>
      <c r="P6616" t="str">
        <f t="shared" si="415"/>
        <v>New</v>
      </c>
    </row>
    <row r="6617" spans="1:16" x14ac:dyDescent="0.25">
      <c r="A6617">
        <v>2025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  <c r="M6617" t="str">
        <f t="shared" si="412"/>
        <v>&lt;30</v>
      </c>
      <c r="N6617" t="str">
        <f t="shared" si="413"/>
        <v>Medium</v>
      </c>
      <c r="O6617" t="str">
        <f t="shared" si="414"/>
        <v>Zero Balance</v>
      </c>
      <c r="P6617" t="str">
        <f t="shared" si="415"/>
        <v>Long-term</v>
      </c>
    </row>
    <row r="6618" spans="1:16" x14ac:dyDescent="0.25">
      <c r="A6618">
        <v>2025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  <c r="M6618" t="str">
        <f t="shared" si="412"/>
        <v>30-45</v>
      </c>
      <c r="N6618" t="str">
        <f t="shared" si="413"/>
        <v>Medium</v>
      </c>
      <c r="O6618" t="str">
        <f t="shared" si="414"/>
        <v>Zero Balance</v>
      </c>
      <c r="P6618" t="str">
        <f t="shared" si="415"/>
        <v>Long-term</v>
      </c>
    </row>
    <row r="6619" spans="1:16" x14ac:dyDescent="0.25">
      <c r="A6619">
        <v>2025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  <c r="M6619" t="str">
        <f t="shared" si="412"/>
        <v>46-60</v>
      </c>
      <c r="N6619" t="str">
        <f t="shared" si="413"/>
        <v>Medium</v>
      </c>
      <c r="O6619" t="str">
        <f t="shared" si="414"/>
        <v>High Balance</v>
      </c>
      <c r="P6619" t="str">
        <f t="shared" si="415"/>
        <v>New</v>
      </c>
    </row>
    <row r="6620" spans="1:16" x14ac:dyDescent="0.25">
      <c r="A6620">
        <v>2025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  <c r="M6620" t="str">
        <f t="shared" si="412"/>
        <v>&lt;30</v>
      </c>
      <c r="N6620" t="str">
        <f t="shared" si="413"/>
        <v>Medium</v>
      </c>
      <c r="O6620" t="str">
        <f t="shared" si="414"/>
        <v>Low Balance</v>
      </c>
      <c r="P6620" t="str">
        <f t="shared" si="415"/>
        <v>New</v>
      </c>
    </row>
    <row r="6621" spans="1:16" x14ac:dyDescent="0.25">
      <c r="A6621">
        <v>2025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  <c r="M6621" t="str">
        <f t="shared" si="412"/>
        <v>30-45</v>
      </c>
      <c r="N6621" t="str">
        <f t="shared" si="413"/>
        <v>Medium</v>
      </c>
      <c r="O6621" t="str">
        <f t="shared" si="414"/>
        <v>Low Balance</v>
      </c>
      <c r="P6621" t="str">
        <f t="shared" si="415"/>
        <v>Mid-term</v>
      </c>
    </row>
    <row r="6622" spans="1:16" x14ac:dyDescent="0.25">
      <c r="A6622">
        <v>2025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  <c r="M6622" t="str">
        <f t="shared" si="412"/>
        <v>30-45</v>
      </c>
      <c r="N6622" t="str">
        <f t="shared" si="413"/>
        <v>High</v>
      </c>
      <c r="O6622" t="str">
        <f t="shared" si="414"/>
        <v>Zero Balance</v>
      </c>
      <c r="P6622" t="str">
        <f t="shared" si="415"/>
        <v>Mid-term</v>
      </c>
    </row>
    <row r="6623" spans="1:16" x14ac:dyDescent="0.25">
      <c r="A6623">
        <v>2025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  <c r="M6623" t="str">
        <f t="shared" si="412"/>
        <v>46-60</v>
      </c>
      <c r="N6623" t="str">
        <f t="shared" si="413"/>
        <v>Medium</v>
      </c>
      <c r="O6623" t="str">
        <f t="shared" si="414"/>
        <v>High Balance</v>
      </c>
      <c r="P6623" t="str">
        <f t="shared" si="415"/>
        <v>New</v>
      </c>
    </row>
    <row r="6624" spans="1:16" x14ac:dyDescent="0.25">
      <c r="A6624">
        <v>2025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  <c r="M6624" t="str">
        <f t="shared" si="412"/>
        <v>30-45</v>
      </c>
      <c r="N6624" t="str">
        <f t="shared" si="413"/>
        <v>Medium</v>
      </c>
      <c r="O6624" t="str">
        <f t="shared" si="414"/>
        <v>Zero Balance</v>
      </c>
      <c r="P6624" t="str">
        <f t="shared" si="415"/>
        <v>New</v>
      </c>
    </row>
    <row r="6625" spans="1:16" x14ac:dyDescent="0.25">
      <c r="A6625">
        <v>2025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  <c r="M6625" t="str">
        <f t="shared" si="412"/>
        <v>&lt;30</v>
      </c>
      <c r="N6625" t="str">
        <f t="shared" si="413"/>
        <v>Medium</v>
      </c>
      <c r="O6625" t="str">
        <f t="shared" si="414"/>
        <v>High Balance</v>
      </c>
      <c r="P6625" t="str">
        <f t="shared" si="415"/>
        <v>New</v>
      </c>
    </row>
    <row r="6626" spans="1:16" x14ac:dyDescent="0.25">
      <c r="A6626">
        <v>2025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  <c r="M6626" t="str">
        <f t="shared" si="412"/>
        <v>46-60</v>
      </c>
      <c r="N6626" t="str">
        <f t="shared" si="413"/>
        <v>Medium</v>
      </c>
      <c r="O6626" t="str">
        <f t="shared" si="414"/>
        <v>High Balance</v>
      </c>
      <c r="P6626" t="str">
        <f t="shared" si="415"/>
        <v>Mid-term</v>
      </c>
    </row>
    <row r="6627" spans="1:16" x14ac:dyDescent="0.25">
      <c r="A6627">
        <v>2025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  <c r="M6627" t="str">
        <f t="shared" si="412"/>
        <v>30-45</v>
      </c>
      <c r="N6627" t="str">
        <f t="shared" si="413"/>
        <v>Medium</v>
      </c>
      <c r="O6627" t="str">
        <f t="shared" si="414"/>
        <v>High Balance</v>
      </c>
      <c r="P6627" t="str">
        <f t="shared" si="415"/>
        <v>Mid-term</v>
      </c>
    </row>
    <row r="6628" spans="1:16" x14ac:dyDescent="0.25">
      <c r="A6628">
        <v>2025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  <c r="M6628" t="str">
        <f t="shared" si="412"/>
        <v>60+</v>
      </c>
      <c r="N6628" t="str">
        <f t="shared" si="413"/>
        <v>High</v>
      </c>
      <c r="O6628" t="str">
        <f t="shared" si="414"/>
        <v>High Balance</v>
      </c>
      <c r="P6628" t="str">
        <f t="shared" si="415"/>
        <v>Mid-term</v>
      </c>
    </row>
    <row r="6629" spans="1:16" x14ac:dyDescent="0.25">
      <c r="A6629">
        <v>2025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  <c r="M6629" t="str">
        <f t="shared" si="412"/>
        <v>30-45</v>
      </c>
      <c r="N6629" t="str">
        <f t="shared" si="413"/>
        <v>Medium</v>
      </c>
      <c r="O6629" t="str">
        <f t="shared" si="414"/>
        <v>Zero Balance</v>
      </c>
      <c r="P6629" t="str">
        <f t="shared" si="415"/>
        <v>Mid-term</v>
      </c>
    </row>
    <row r="6630" spans="1:16" x14ac:dyDescent="0.25">
      <c r="A6630">
        <v>2025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  <c r="M6630" t="str">
        <f t="shared" si="412"/>
        <v>46-60</v>
      </c>
      <c r="N6630" t="str">
        <f t="shared" si="413"/>
        <v>Medium</v>
      </c>
      <c r="O6630" t="str">
        <f t="shared" si="414"/>
        <v>Zero Balance</v>
      </c>
      <c r="P6630" t="str">
        <f t="shared" si="415"/>
        <v>Mid-term</v>
      </c>
    </row>
    <row r="6631" spans="1:16" x14ac:dyDescent="0.25">
      <c r="A6631">
        <v>2025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  <c r="M6631" t="str">
        <f t="shared" si="412"/>
        <v>30-45</v>
      </c>
      <c r="N6631" t="str">
        <f t="shared" si="413"/>
        <v>Medium</v>
      </c>
      <c r="O6631" t="str">
        <f t="shared" si="414"/>
        <v>Zero Balance</v>
      </c>
      <c r="P6631" t="str">
        <f t="shared" si="415"/>
        <v>Mid-term</v>
      </c>
    </row>
    <row r="6632" spans="1:16" x14ac:dyDescent="0.25">
      <c r="A6632">
        <v>2025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  <c r="M6632" t="str">
        <f t="shared" si="412"/>
        <v>30-45</v>
      </c>
      <c r="N6632" t="str">
        <f t="shared" si="413"/>
        <v>High</v>
      </c>
      <c r="O6632" t="str">
        <f t="shared" si="414"/>
        <v>Zero Balance</v>
      </c>
      <c r="P6632" t="str">
        <f t="shared" si="415"/>
        <v>New</v>
      </c>
    </row>
    <row r="6633" spans="1:16" x14ac:dyDescent="0.25">
      <c r="A6633">
        <v>2025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  <c r="M6633" t="str">
        <f t="shared" si="412"/>
        <v>30-45</v>
      </c>
      <c r="N6633" t="str">
        <f t="shared" si="413"/>
        <v>Medium</v>
      </c>
      <c r="O6633" t="str">
        <f t="shared" si="414"/>
        <v>Zero Balance</v>
      </c>
      <c r="P6633" t="str">
        <f t="shared" si="415"/>
        <v>New</v>
      </c>
    </row>
    <row r="6634" spans="1:16" x14ac:dyDescent="0.25">
      <c r="A6634">
        <v>2025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  <c r="M6634" t="str">
        <f t="shared" si="412"/>
        <v>30-45</v>
      </c>
      <c r="N6634" t="str">
        <f t="shared" si="413"/>
        <v>Medium</v>
      </c>
      <c r="O6634" t="str">
        <f t="shared" si="414"/>
        <v>Zero Balance</v>
      </c>
      <c r="P6634" t="str">
        <f t="shared" si="415"/>
        <v>Mid-term</v>
      </c>
    </row>
    <row r="6635" spans="1:16" x14ac:dyDescent="0.25">
      <c r="A6635">
        <v>2025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  <c r="M6635" t="str">
        <f t="shared" si="412"/>
        <v>30-45</v>
      </c>
      <c r="N6635" t="str">
        <f t="shared" si="413"/>
        <v>High</v>
      </c>
      <c r="O6635" t="str">
        <f t="shared" si="414"/>
        <v>Zero Balance</v>
      </c>
      <c r="P6635" t="str">
        <f t="shared" si="415"/>
        <v>Mid-term</v>
      </c>
    </row>
    <row r="6636" spans="1:16" x14ac:dyDescent="0.25">
      <c r="A6636">
        <v>2025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  <c r="M6636" t="str">
        <f t="shared" si="412"/>
        <v>30-45</v>
      </c>
      <c r="N6636" t="str">
        <f t="shared" si="413"/>
        <v>Low</v>
      </c>
      <c r="O6636" t="str">
        <f t="shared" si="414"/>
        <v>High Balance</v>
      </c>
      <c r="P6636" t="str">
        <f t="shared" si="415"/>
        <v>New</v>
      </c>
    </row>
    <row r="6637" spans="1:16" x14ac:dyDescent="0.25">
      <c r="A6637">
        <v>2025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  <c r="M6637" t="str">
        <f t="shared" si="412"/>
        <v>46-60</v>
      </c>
      <c r="N6637" t="str">
        <f t="shared" si="413"/>
        <v>Medium</v>
      </c>
      <c r="O6637" t="str">
        <f t="shared" si="414"/>
        <v>Zero Balance</v>
      </c>
      <c r="P6637" t="str">
        <f t="shared" si="415"/>
        <v>Mid-term</v>
      </c>
    </row>
    <row r="6638" spans="1:16" x14ac:dyDescent="0.25">
      <c r="A6638">
        <v>2025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  <c r="M6638" t="str">
        <f t="shared" si="412"/>
        <v>&lt;30</v>
      </c>
      <c r="N6638" t="str">
        <f t="shared" si="413"/>
        <v>Medium</v>
      </c>
      <c r="O6638" t="str">
        <f t="shared" si="414"/>
        <v>Zero Balance</v>
      </c>
      <c r="P6638" t="str">
        <f t="shared" si="415"/>
        <v>New</v>
      </c>
    </row>
    <row r="6639" spans="1:16" x14ac:dyDescent="0.25">
      <c r="A6639">
        <v>2025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  <c r="M6639" t="str">
        <f t="shared" si="412"/>
        <v>30-45</v>
      </c>
      <c r="N6639" t="str">
        <f t="shared" si="413"/>
        <v>High</v>
      </c>
      <c r="O6639" t="str">
        <f t="shared" si="414"/>
        <v>Zero Balance</v>
      </c>
      <c r="P6639" t="str">
        <f t="shared" si="415"/>
        <v>New</v>
      </c>
    </row>
    <row r="6640" spans="1:16" x14ac:dyDescent="0.25">
      <c r="A6640">
        <v>2025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  <c r="M6640" t="str">
        <f t="shared" si="412"/>
        <v>30-45</v>
      </c>
      <c r="N6640" t="str">
        <f t="shared" si="413"/>
        <v>High</v>
      </c>
      <c r="O6640" t="str">
        <f t="shared" si="414"/>
        <v>High Balance</v>
      </c>
      <c r="P6640" t="str">
        <f t="shared" si="415"/>
        <v>Mid-term</v>
      </c>
    </row>
    <row r="6641" spans="1:16" x14ac:dyDescent="0.25">
      <c r="A6641">
        <v>2025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  <c r="M6641" t="str">
        <f t="shared" si="412"/>
        <v>30-45</v>
      </c>
      <c r="N6641" t="str">
        <f t="shared" si="413"/>
        <v>Medium</v>
      </c>
      <c r="O6641" t="str">
        <f t="shared" si="414"/>
        <v>High Balance</v>
      </c>
      <c r="P6641" t="str">
        <f t="shared" si="415"/>
        <v>Mid-term</v>
      </c>
    </row>
    <row r="6642" spans="1:16" x14ac:dyDescent="0.25">
      <c r="A6642">
        <v>2025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  <c r="M6642" t="str">
        <f t="shared" si="412"/>
        <v>30-45</v>
      </c>
      <c r="N6642" t="str">
        <f t="shared" si="413"/>
        <v>Medium</v>
      </c>
      <c r="O6642" t="str">
        <f t="shared" si="414"/>
        <v>High Balance</v>
      </c>
      <c r="P6642" t="str">
        <f t="shared" si="415"/>
        <v>Mid-term</v>
      </c>
    </row>
    <row r="6643" spans="1:16" x14ac:dyDescent="0.25">
      <c r="A6643">
        <v>2025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  <c r="M6643" t="str">
        <f t="shared" si="412"/>
        <v>30-45</v>
      </c>
      <c r="N6643" t="str">
        <f t="shared" si="413"/>
        <v>Medium</v>
      </c>
      <c r="O6643" t="str">
        <f t="shared" si="414"/>
        <v>Zero Balance</v>
      </c>
      <c r="P6643" t="str">
        <f t="shared" si="415"/>
        <v>Mid-term</v>
      </c>
    </row>
    <row r="6644" spans="1:16" x14ac:dyDescent="0.25">
      <c r="A6644">
        <v>2025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  <c r="M6644" t="str">
        <f t="shared" si="412"/>
        <v>30-45</v>
      </c>
      <c r="N6644" t="str">
        <f t="shared" si="413"/>
        <v>Medium</v>
      </c>
      <c r="O6644" t="str">
        <f t="shared" si="414"/>
        <v>High Balance</v>
      </c>
      <c r="P6644" t="str">
        <f t="shared" si="415"/>
        <v>Mid-term</v>
      </c>
    </row>
    <row r="6645" spans="1:16" x14ac:dyDescent="0.25">
      <c r="A6645">
        <v>2025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  <c r="M6645" t="str">
        <f t="shared" si="412"/>
        <v>30-45</v>
      </c>
      <c r="N6645" t="str">
        <f t="shared" si="413"/>
        <v>High</v>
      </c>
      <c r="O6645" t="str">
        <f t="shared" si="414"/>
        <v>Zero Balance</v>
      </c>
      <c r="P6645" t="str">
        <f t="shared" si="415"/>
        <v>New</v>
      </c>
    </row>
    <row r="6646" spans="1:16" x14ac:dyDescent="0.25">
      <c r="A6646">
        <v>2025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  <c r="M6646" t="str">
        <f t="shared" si="412"/>
        <v>30-45</v>
      </c>
      <c r="N6646" t="str">
        <f t="shared" si="413"/>
        <v>Medium</v>
      </c>
      <c r="O6646" t="str">
        <f t="shared" si="414"/>
        <v>High Balance</v>
      </c>
      <c r="P6646" t="str">
        <f t="shared" si="415"/>
        <v>New</v>
      </c>
    </row>
    <row r="6647" spans="1:16" x14ac:dyDescent="0.25">
      <c r="A6647">
        <v>2025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  <c r="M6647" t="str">
        <f t="shared" si="412"/>
        <v>30-45</v>
      </c>
      <c r="N6647" t="str">
        <f t="shared" si="413"/>
        <v>High</v>
      </c>
      <c r="O6647" t="str">
        <f t="shared" si="414"/>
        <v>High Balance</v>
      </c>
      <c r="P6647" t="str">
        <f t="shared" si="415"/>
        <v>Mid-term</v>
      </c>
    </row>
    <row r="6648" spans="1:16" x14ac:dyDescent="0.25">
      <c r="A6648">
        <v>2025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  <c r="M6648" t="str">
        <f t="shared" si="412"/>
        <v>30-45</v>
      </c>
      <c r="N6648" t="str">
        <f t="shared" si="413"/>
        <v>Medium</v>
      </c>
      <c r="O6648" t="str">
        <f t="shared" si="414"/>
        <v>Zero Balance</v>
      </c>
      <c r="P6648" t="str">
        <f t="shared" si="415"/>
        <v>New</v>
      </c>
    </row>
    <row r="6649" spans="1:16" x14ac:dyDescent="0.25">
      <c r="A6649">
        <v>2025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  <c r="M6649" t="str">
        <f t="shared" si="412"/>
        <v>30-45</v>
      </c>
      <c r="N6649" t="str">
        <f t="shared" si="413"/>
        <v>High</v>
      </c>
      <c r="O6649" t="str">
        <f t="shared" si="414"/>
        <v>Zero Balance</v>
      </c>
      <c r="P6649" t="str">
        <f t="shared" si="415"/>
        <v>Long-term</v>
      </c>
    </row>
    <row r="6650" spans="1:16" x14ac:dyDescent="0.25">
      <c r="A6650">
        <v>2025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  <c r="M6650" t="str">
        <f t="shared" si="412"/>
        <v>&lt;30</v>
      </c>
      <c r="N6650" t="str">
        <f t="shared" si="413"/>
        <v>Low</v>
      </c>
      <c r="O6650" t="str">
        <f t="shared" si="414"/>
        <v>High Balance</v>
      </c>
      <c r="P6650" t="str">
        <f t="shared" si="415"/>
        <v>New</v>
      </c>
    </row>
    <row r="6651" spans="1:16" x14ac:dyDescent="0.25">
      <c r="A6651">
        <v>2025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  <c r="M6651" t="str">
        <f t="shared" si="412"/>
        <v>46-60</v>
      </c>
      <c r="N6651" t="str">
        <f t="shared" si="413"/>
        <v>Medium</v>
      </c>
      <c r="O6651" t="str">
        <f t="shared" si="414"/>
        <v>High Balance</v>
      </c>
      <c r="P6651" t="str">
        <f t="shared" si="415"/>
        <v>Mid-term</v>
      </c>
    </row>
    <row r="6652" spans="1:16" x14ac:dyDescent="0.25">
      <c r="A6652">
        <v>2025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  <c r="M6652" t="str">
        <f t="shared" si="412"/>
        <v>30-45</v>
      </c>
      <c r="N6652" t="str">
        <f t="shared" si="413"/>
        <v>High</v>
      </c>
      <c r="O6652" t="str">
        <f t="shared" si="414"/>
        <v>Low Balance</v>
      </c>
      <c r="P6652" t="str">
        <f t="shared" si="415"/>
        <v>Long-term</v>
      </c>
    </row>
    <row r="6653" spans="1:16" x14ac:dyDescent="0.25">
      <c r="A6653">
        <v>2025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  <c r="M6653" t="str">
        <f t="shared" si="412"/>
        <v>46-60</v>
      </c>
      <c r="N6653" t="str">
        <f t="shared" si="413"/>
        <v>Medium</v>
      </c>
      <c r="O6653" t="str">
        <f t="shared" si="414"/>
        <v>Low Balance</v>
      </c>
      <c r="P6653" t="str">
        <f t="shared" si="415"/>
        <v>Long-term</v>
      </c>
    </row>
    <row r="6654" spans="1:16" x14ac:dyDescent="0.25">
      <c r="A6654">
        <v>2025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  <c r="M6654" t="str">
        <f t="shared" si="412"/>
        <v>30-45</v>
      </c>
      <c r="N6654" t="str">
        <f t="shared" si="413"/>
        <v>High</v>
      </c>
      <c r="O6654" t="str">
        <f t="shared" si="414"/>
        <v>Zero Balance</v>
      </c>
      <c r="P6654" t="str">
        <f t="shared" si="415"/>
        <v>Mid-term</v>
      </c>
    </row>
    <row r="6655" spans="1:16" x14ac:dyDescent="0.25">
      <c r="A6655">
        <v>2025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  <c r="M6655" t="str">
        <f t="shared" si="412"/>
        <v>&lt;30</v>
      </c>
      <c r="N6655" t="str">
        <f t="shared" si="413"/>
        <v>Medium</v>
      </c>
      <c r="O6655" t="str">
        <f t="shared" si="414"/>
        <v>High Balance</v>
      </c>
      <c r="P6655" t="str">
        <f t="shared" si="415"/>
        <v>Long-term</v>
      </c>
    </row>
    <row r="6656" spans="1:16" x14ac:dyDescent="0.25">
      <c r="A6656">
        <v>2025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  <c r="M6656" t="str">
        <f t="shared" si="412"/>
        <v>30-45</v>
      </c>
      <c r="N6656" t="str">
        <f t="shared" si="413"/>
        <v>Medium</v>
      </c>
      <c r="O6656" t="str">
        <f t="shared" si="414"/>
        <v>Low Balance</v>
      </c>
      <c r="P6656" t="str">
        <f t="shared" si="415"/>
        <v>Long-term</v>
      </c>
    </row>
    <row r="6657" spans="1:16" x14ac:dyDescent="0.25">
      <c r="A6657">
        <v>2025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  <c r="M6657" t="str">
        <f t="shared" si="412"/>
        <v>30-45</v>
      </c>
      <c r="N6657" t="str">
        <f t="shared" si="413"/>
        <v>Medium</v>
      </c>
      <c r="O6657" t="str">
        <f t="shared" si="414"/>
        <v>Low Balance</v>
      </c>
      <c r="P6657" t="str">
        <f t="shared" si="415"/>
        <v>Mid-term</v>
      </c>
    </row>
    <row r="6658" spans="1:16" x14ac:dyDescent="0.25">
      <c r="A6658">
        <v>2025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  <c r="M6658" t="str">
        <f t="shared" si="412"/>
        <v>30-45</v>
      </c>
      <c r="N6658" t="str">
        <f t="shared" si="413"/>
        <v>Medium</v>
      </c>
      <c r="O6658" t="str">
        <f t="shared" si="414"/>
        <v>High Balance</v>
      </c>
      <c r="P6658" t="str">
        <f t="shared" si="415"/>
        <v>New</v>
      </c>
    </row>
    <row r="6659" spans="1:16" x14ac:dyDescent="0.25">
      <c r="A6659">
        <v>2025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  <c r="M6659" t="str">
        <f t="shared" ref="M6659:M6722" si="416">IF(E6659&lt;30,"&lt;30",IF(E6659&lt;=45,"30-45",IF(E6659&lt;=60,"46-60","60+")))</f>
        <v>30-45</v>
      </c>
      <c r="N6659" t="str">
        <f t="shared" ref="N6659:N6722" si="417">IF(B6659&lt;500,"Low",IF(B6659&lt;700,"Medium","High"))</f>
        <v>Medium</v>
      </c>
      <c r="O6659" t="str">
        <f t="shared" ref="O6659:O6722" si="418">IF(G6659=0,"Zero Balance",IF(G6659&lt;100000,"Low Balance","High Balance"))</f>
        <v>Zero Balance</v>
      </c>
      <c r="P6659" t="str">
        <f t="shared" ref="P6659:P6722" si="419">IF(F6659&lt;=3,"New",IF(F6659&lt;=7,"Mid-term","Long-term"))</f>
        <v>Mid-term</v>
      </c>
    </row>
    <row r="6660" spans="1:16" x14ac:dyDescent="0.25">
      <c r="A6660">
        <v>2025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  <c r="M6660" t="str">
        <f t="shared" si="416"/>
        <v>30-45</v>
      </c>
      <c r="N6660" t="str">
        <f t="shared" si="417"/>
        <v>Medium</v>
      </c>
      <c r="O6660" t="str">
        <f t="shared" si="418"/>
        <v>Zero Balance</v>
      </c>
      <c r="P6660" t="str">
        <f t="shared" si="419"/>
        <v>Mid-term</v>
      </c>
    </row>
    <row r="6661" spans="1:16" x14ac:dyDescent="0.25">
      <c r="A6661">
        <v>2025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  <c r="M6661" t="str">
        <f t="shared" si="416"/>
        <v>30-45</v>
      </c>
      <c r="N6661" t="str">
        <f t="shared" si="417"/>
        <v>Medium</v>
      </c>
      <c r="O6661" t="str">
        <f t="shared" si="418"/>
        <v>Low Balance</v>
      </c>
      <c r="P6661" t="str">
        <f t="shared" si="419"/>
        <v>Mid-term</v>
      </c>
    </row>
    <row r="6662" spans="1:16" x14ac:dyDescent="0.25">
      <c r="A6662">
        <v>2025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  <c r="M6662" t="str">
        <f t="shared" si="416"/>
        <v>&lt;30</v>
      </c>
      <c r="N6662" t="str">
        <f t="shared" si="417"/>
        <v>High</v>
      </c>
      <c r="O6662" t="str">
        <f t="shared" si="418"/>
        <v>Zero Balance</v>
      </c>
      <c r="P6662" t="str">
        <f t="shared" si="419"/>
        <v>Mid-term</v>
      </c>
    </row>
    <row r="6663" spans="1:16" x14ac:dyDescent="0.25">
      <c r="A6663">
        <v>2025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  <c r="M6663" t="str">
        <f t="shared" si="416"/>
        <v>30-45</v>
      </c>
      <c r="N6663" t="str">
        <f t="shared" si="417"/>
        <v>High</v>
      </c>
      <c r="O6663" t="str">
        <f t="shared" si="418"/>
        <v>Zero Balance</v>
      </c>
      <c r="P6663" t="str">
        <f t="shared" si="419"/>
        <v>Mid-term</v>
      </c>
    </row>
    <row r="6664" spans="1:16" x14ac:dyDescent="0.25">
      <c r="A6664">
        <v>2025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  <c r="M6664" t="str">
        <f t="shared" si="416"/>
        <v>30-45</v>
      </c>
      <c r="N6664" t="str">
        <f t="shared" si="417"/>
        <v>Medium</v>
      </c>
      <c r="O6664" t="str">
        <f t="shared" si="418"/>
        <v>Zero Balance</v>
      </c>
      <c r="P6664" t="str">
        <f t="shared" si="419"/>
        <v>New</v>
      </c>
    </row>
    <row r="6665" spans="1:16" x14ac:dyDescent="0.25">
      <c r="A6665">
        <v>2025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  <c r="M6665" t="str">
        <f t="shared" si="416"/>
        <v>30-45</v>
      </c>
      <c r="N6665" t="str">
        <f t="shared" si="417"/>
        <v>High</v>
      </c>
      <c r="O6665" t="str">
        <f t="shared" si="418"/>
        <v>High Balance</v>
      </c>
      <c r="P6665" t="str">
        <f t="shared" si="419"/>
        <v>Mid-term</v>
      </c>
    </row>
    <row r="6666" spans="1:16" x14ac:dyDescent="0.25">
      <c r="A6666">
        <v>2025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  <c r="M6666" t="str">
        <f t="shared" si="416"/>
        <v>30-45</v>
      </c>
      <c r="N6666" t="str">
        <f t="shared" si="417"/>
        <v>High</v>
      </c>
      <c r="O6666" t="str">
        <f t="shared" si="418"/>
        <v>Zero Balance</v>
      </c>
      <c r="P6666" t="str">
        <f t="shared" si="419"/>
        <v>Mid-term</v>
      </c>
    </row>
    <row r="6667" spans="1:16" x14ac:dyDescent="0.25">
      <c r="A6667">
        <v>2025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  <c r="M6667" t="str">
        <f t="shared" si="416"/>
        <v>30-45</v>
      </c>
      <c r="N6667" t="str">
        <f t="shared" si="417"/>
        <v>Medium</v>
      </c>
      <c r="O6667" t="str">
        <f t="shared" si="418"/>
        <v>Zero Balance</v>
      </c>
      <c r="P6667" t="str">
        <f t="shared" si="419"/>
        <v>Long-term</v>
      </c>
    </row>
    <row r="6668" spans="1:16" x14ac:dyDescent="0.25">
      <c r="A6668">
        <v>2025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  <c r="M6668" t="str">
        <f t="shared" si="416"/>
        <v>30-45</v>
      </c>
      <c r="N6668" t="str">
        <f t="shared" si="417"/>
        <v>Medium</v>
      </c>
      <c r="O6668" t="str">
        <f t="shared" si="418"/>
        <v>High Balance</v>
      </c>
      <c r="P6668" t="str">
        <f t="shared" si="419"/>
        <v>New</v>
      </c>
    </row>
    <row r="6669" spans="1:16" x14ac:dyDescent="0.25">
      <c r="A6669">
        <v>2025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  <c r="M6669" t="str">
        <f t="shared" si="416"/>
        <v>&lt;30</v>
      </c>
      <c r="N6669" t="str">
        <f t="shared" si="417"/>
        <v>Medium</v>
      </c>
      <c r="O6669" t="str">
        <f t="shared" si="418"/>
        <v>Zero Balance</v>
      </c>
      <c r="P6669" t="str">
        <f t="shared" si="419"/>
        <v>Long-term</v>
      </c>
    </row>
    <row r="6670" spans="1:16" x14ac:dyDescent="0.25">
      <c r="A6670">
        <v>2025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  <c r="M6670" t="str">
        <f t="shared" si="416"/>
        <v>30-45</v>
      </c>
      <c r="N6670" t="str">
        <f t="shared" si="417"/>
        <v>Medium</v>
      </c>
      <c r="O6670" t="str">
        <f t="shared" si="418"/>
        <v>Zero Balance</v>
      </c>
      <c r="P6670" t="str">
        <f t="shared" si="419"/>
        <v>Mid-term</v>
      </c>
    </row>
    <row r="6671" spans="1:16" x14ac:dyDescent="0.25">
      <c r="A6671">
        <v>2025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  <c r="M6671" t="str">
        <f t="shared" si="416"/>
        <v>46-60</v>
      </c>
      <c r="N6671" t="str">
        <f t="shared" si="417"/>
        <v>Medium</v>
      </c>
      <c r="O6671" t="str">
        <f t="shared" si="418"/>
        <v>High Balance</v>
      </c>
      <c r="P6671" t="str">
        <f t="shared" si="419"/>
        <v>Long-term</v>
      </c>
    </row>
    <row r="6672" spans="1:16" x14ac:dyDescent="0.25">
      <c r="A6672">
        <v>2025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  <c r="M6672" t="str">
        <f t="shared" si="416"/>
        <v>30-45</v>
      </c>
      <c r="N6672" t="str">
        <f t="shared" si="417"/>
        <v>High</v>
      </c>
      <c r="O6672" t="str">
        <f t="shared" si="418"/>
        <v>Zero Balance</v>
      </c>
      <c r="P6672" t="str">
        <f t="shared" si="419"/>
        <v>Long-term</v>
      </c>
    </row>
    <row r="6673" spans="1:16" x14ac:dyDescent="0.25">
      <c r="A6673">
        <v>2025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  <c r="M6673" t="str">
        <f t="shared" si="416"/>
        <v>46-60</v>
      </c>
      <c r="N6673" t="str">
        <f t="shared" si="417"/>
        <v>Medium</v>
      </c>
      <c r="O6673" t="str">
        <f t="shared" si="418"/>
        <v>Zero Balance</v>
      </c>
      <c r="P6673" t="str">
        <f t="shared" si="419"/>
        <v>New</v>
      </c>
    </row>
    <row r="6674" spans="1:16" x14ac:dyDescent="0.25">
      <c r="A6674">
        <v>2025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  <c r="M6674" t="str">
        <f t="shared" si="416"/>
        <v>30-45</v>
      </c>
      <c r="N6674" t="str">
        <f t="shared" si="417"/>
        <v>High</v>
      </c>
      <c r="O6674" t="str">
        <f t="shared" si="418"/>
        <v>Zero Balance</v>
      </c>
      <c r="P6674" t="str">
        <f t="shared" si="419"/>
        <v>New</v>
      </c>
    </row>
    <row r="6675" spans="1:16" x14ac:dyDescent="0.25">
      <c r="A6675">
        <v>2025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  <c r="M6675" t="str">
        <f t="shared" si="416"/>
        <v>30-45</v>
      </c>
      <c r="N6675" t="str">
        <f t="shared" si="417"/>
        <v>High</v>
      </c>
      <c r="O6675" t="str">
        <f t="shared" si="418"/>
        <v>High Balance</v>
      </c>
      <c r="P6675" t="str">
        <f t="shared" si="419"/>
        <v>Long-term</v>
      </c>
    </row>
    <row r="6676" spans="1:16" x14ac:dyDescent="0.25">
      <c r="A6676">
        <v>2025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  <c r="M6676" t="str">
        <f t="shared" si="416"/>
        <v>30-45</v>
      </c>
      <c r="N6676" t="str">
        <f t="shared" si="417"/>
        <v>Medium</v>
      </c>
      <c r="O6676" t="str">
        <f t="shared" si="418"/>
        <v>High Balance</v>
      </c>
      <c r="P6676" t="str">
        <f t="shared" si="419"/>
        <v>New</v>
      </c>
    </row>
    <row r="6677" spans="1:16" x14ac:dyDescent="0.25">
      <c r="A6677">
        <v>2025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  <c r="M6677" t="str">
        <f t="shared" si="416"/>
        <v>30-45</v>
      </c>
      <c r="N6677" t="str">
        <f t="shared" si="417"/>
        <v>Medium</v>
      </c>
      <c r="O6677" t="str">
        <f t="shared" si="418"/>
        <v>Zero Balance</v>
      </c>
      <c r="P6677" t="str">
        <f t="shared" si="419"/>
        <v>Mid-term</v>
      </c>
    </row>
    <row r="6678" spans="1:16" x14ac:dyDescent="0.25">
      <c r="A6678">
        <v>2025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  <c r="M6678" t="str">
        <f t="shared" si="416"/>
        <v>46-60</v>
      </c>
      <c r="N6678" t="str">
        <f t="shared" si="417"/>
        <v>Medium</v>
      </c>
      <c r="O6678" t="str">
        <f t="shared" si="418"/>
        <v>Zero Balance</v>
      </c>
      <c r="P6678" t="str">
        <f t="shared" si="419"/>
        <v>Long-term</v>
      </c>
    </row>
    <row r="6679" spans="1:16" x14ac:dyDescent="0.25">
      <c r="A6679">
        <v>2025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  <c r="M6679" t="str">
        <f t="shared" si="416"/>
        <v>&lt;30</v>
      </c>
      <c r="N6679" t="str">
        <f t="shared" si="417"/>
        <v>Medium</v>
      </c>
      <c r="O6679" t="str">
        <f t="shared" si="418"/>
        <v>High Balance</v>
      </c>
      <c r="P6679" t="str">
        <f t="shared" si="419"/>
        <v>Long-term</v>
      </c>
    </row>
    <row r="6680" spans="1:16" x14ac:dyDescent="0.25">
      <c r="A6680">
        <v>2025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  <c r="M6680" t="str">
        <f t="shared" si="416"/>
        <v>30-45</v>
      </c>
      <c r="N6680" t="str">
        <f t="shared" si="417"/>
        <v>Low</v>
      </c>
      <c r="O6680" t="str">
        <f t="shared" si="418"/>
        <v>High Balance</v>
      </c>
      <c r="P6680" t="str">
        <f t="shared" si="419"/>
        <v>New</v>
      </c>
    </row>
    <row r="6681" spans="1:16" x14ac:dyDescent="0.25">
      <c r="A6681">
        <v>2025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  <c r="M6681" t="str">
        <f t="shared" si="416"/>
        <v>30-45</v>
      </c>
      <c r="N6681" t="str">
        <f t="shared" si="417"/>
        <v>Low</v>
      </c>
      <c r="O6681" t="str">
        <f t="shared" si="418"/>
        <v>High Balance</v>
      </c>
      <c r="P6681" t="str">
        <f t="shared" si="419"/>
        <v>Mid-term</v>
      </c>
    </row>
    <row r="6682" spans="1:16" x14ac:dyDescent="0.25">
      <c r="A6682">
        <v>2025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  <c r="M6682" t="str">
        <f t="shared" si="416"/>
        <v>46-60</v>
      </c>
      <c r="N6682" t="str">
        <f t="shared" si="417"/>
        <v>Medium</v>
      </c>
      <c r="O6682" t="str">
        <f t="shared" si="418"/>
        <v>Low Balance</v>
      </c>
      <c r="P6682" t="str">
        <f t="shared" si="419"/>
        <v>Long-term</v>
      </c>
    </row>
    <row r="6683" spans="1:16" x14ac:dyDescent="0.25">
      <c r="A6683">
        <v>2025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  <c r="M6683" t="str">
        <f t="shared" si="416"/>
        <v>30-45</v>
      </c>
      <c r="N6683" t="str">
        <f t="shared" si="417"/>
        <v>Medium</v>
      </c>
      <c r="O6683" t="str">
        <f t="shared" si="418"/>
        <v>High Balance</v>
      </c>
      <c r="P6683" t="str">
        <f t="shared" si="419"/>
        <v>Mid-term</v>
      </c>
    </row>
    <row r="6684" spans="1:16" x14ac:dyDescent="0.25">
      <c r="A6684">
        <v>2025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  <c r="M6684" t="str">
        <f t="shared" si="416"/>
        <v>&lt;30</v>
      </c>
      <c r="N6684" t="str">
        <f t="shared" si="417"/>
        <v>Medium</v>
      </c>
      <c r="O6684" t="str">
        <f t="shared" si="418"/>
        <v>High Balance</v>
      </c>
      <c r="P6684" t="str">
        <f t="shared" si="419"/>
        <v>Mid-term</v>
      </c>
    </row>
    <row r="6685" spans="1:16" x14ac:dyDescent="0.25">
      <c r="A6685">
        <v>2025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  <c r="M6685" t="str">
        <f t="shared" si="416"/>
        <v>46-60</v>
      </c>
      <c r="N6685" t="str">
        <f t="shared" si="417"/>
        <v>Low</v>
      </c>
      <c r="O6685" t="str">
        <f t="shared" si="418"/>
        <v>High Balance</v>
      </c>
      <c r="P6685" t="str">
        <f t="shared" si="419"/>
        <v>Mid-term</v>
      </c>
    </row>
    <row r="6686" spans="1:16" x14ac:dyDescent="0.25">
      <c r="A6686">
        <v>2025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  <c r="M6686" t="str">
        <f t="shared" si="416"/>
        <v>46-60</v>
      </c>
      <c r="N6686" t="str">
        <f t="shared" si="417"/>
        <v>Medium</v>
      </c>
      <c r="O6686" t="str">
        <f t="shared" si="418"/>
        <v>Zero Balance</v>
      </c>
      <c r="P6686" t="str">
        <f t="shared" si="419"/>
        <v>New</v>
      </c>
    </row>
    <row r="6687" spans="1:16" x14ac:dyDescent="0.25">
      <c r="A6687">
        <v>2025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  <c r="M6687" t="str">
        <f t="shared" si="416"/>
        <v>30-45</v>
      </c>
      <c r="N6687" t="str">
        <f t="shared" si="417"/>
        <v>Medium</v>
      </c>
      <c r="O6687" t="str">
        <f t="shared" si="418"/>
        <v>Zero Balance</v>
      </c>
      <c r="P6687" t="str">
        <f t="shared" si="419"/>
        <v>Long-term</v>
      </c>
    </row>
    <row r="6688" spans="1:16" x14ac:dyDescent="0.25">
      <c r="A6688">
        <v>2025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  <c r="M6688" t="str">
        <f t="shared" si="416"/>
        <v>46-60</v>
      </c>
      <c r="N6688" t="str">
        <f t="shared" si="417"/>
        <v>Medium</v>
      </c>
      <c r="O6688" t="str">
        <f t="shared" si="418"/>
        <v>High Balance</v>
      </c>
      <c r="P6688" t="str">
        <f t="shared" si="419"/>
        <v>New</v>
      </c>
    </row>
    <row r="6689" spans="1:16" x14ac:dyDescent="0.25">
      <c r="A6689">
        <v>2025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  <c r="M6689" t="str">
        <f t="shared" si="416"/>
        <v>30-45</v>
      </c>
      <c r="N6689" t="str">
        <f t="shared" si="417"/>
        <v>High</v>
      </c>
      <c r="O6689" t="str">
        <f t="shared" si="418"/>
        <v>High Balance</v>
      </c>
      <c r="P6689" t="str">
        <f t="shared" si="419"/>
        <v>Mid-term</v>
      </c>
    </row>
    <row r="6690" spans="1:16" x14ac:dyDescent="0.25">
      <c r="A6690">
        <v>2025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  <c r="M6690" t="str">
        <f t="shared" si="416"/>
        <v>&lt;30</v>
      </c>
      <c r="N6690" t="str">
        <f t="shared" si="417"/>
        <v>Medium</v>
      </c>
      <c r="O6690" t="str">
        <f t="shared" si="418"/>
        <v>High Balance</v>
      </c>
      <c r="P6690" t="str">
        <f t="shared" si="419"/>
        <v>Mid-term</v>
      </c>
    </row>
    <row r="6691" spans="1:16" x14ac:dyDescent="0.25">
      <c r="A6691">
        <v>2025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  <c r="M6691" t="str">
        <f t="shared" si="416"/>
        <v>30-45</v>
      </c>
      <c r="N6691" t="str">
        <f t="shared" si="417"/>
        <v>Medium</v>
      </c>
      <c r="O6691" t="str">
        <f t="shared" si="418"/>
        <v>High Balance</v>
      </c>
      <c r="P6691" t="str">
        <f t="shared" si="419"/>
        <v>Mid-term</v>
      </c>
    </row>
    <row r="6692" spans="1:16" x14ac:dyDescent="0.25">
      <c r="A6692">
        <v>2025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  <c r="M6692" t="str">
        <f t="shared" si="416"/>
        <v>30-45</v>
      </c>
      <c r="N6692" t="str">
        <f t="shared" si="417"/>
        <v>Medium</v>
      </c>
      <c r="O6692" t="str">
        <f t="shared" si="418"/>
        <v>High Balance</v>
      </c>
      <c r="P6692" t="str">
        <f t="shared" si="419"/>
        <v>Long-term</v>
      </c>
    </row>
    <row r="6693" spans="1:16" x14ac:dyDescent="0.25">
      <c r="A6693">
        <v>2025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  <c r="M6693" t="str">
        <f t="shared" si="416"/>
        <v>&lt;30</v>
      </c>
      <c r="N6693" t="str">
        <f t="shared" si="417"/>
        <v>Medium</v>
      </c>
      <c r="O6693" t="str">
        <f t="shared" si="418"/>
        <v>High Balance</v>
      </c>
      <c r="P6693" t="str">
        <f t="shared" si="419"/>
        <v>Long-term</v>
      </c>
    </row>
    <row r="6694" spans="1:16" x14ac:dyDescent="0.25">
      <c r="A6694">
        <v>2025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  <c r="M6694" t="str">
        <f t="shared" si="416"/>
        <v>30-45</v>
      </c>
      <c r="N6694" t="str">
        <f t="shared" si="417"/>
        <v>Medium</v>
      </c>
      <c r="O6694" t="str">
        <f t="shared" si="418"/>
        <v>High Balance</v>
      </c>
      <c r="P6694" t="str">
        <f t="shared" si="419"/>
        <v>Mid-term</v>
      </c>
    </row>
    <row r="6695" spans="1:16" x14ac:dyDescent="0.25">
      <c r="A6695">
        <v>2025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  <c r="M6695" t="str">
        <f t="shared" si="416"/>
        <v>&lt;30</v>
      </c>
      <c r="N6695" t="str">
        <f t="shared" si="417"/>
        <v>Medium</v>
      </c>
      <c r="O6695" t="str">
        <f t="shared" si="418"/>
        <v>High Balance</v>
      </c>
      <c r="P6695" t="str">
        <f t="shared" si="419"/>
        <v>Long-term</v>
      </c>
    </row>
    <row r="6696" spans="1:16" x14ac:dyDescent="0.25">
      <c r="A6696">
        <v>2025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  <c r="M6696" t="str">
        <f t="shared" si="416"/>
        <v>30-45</v>
      </c>
      <c r="N6696" t="str">
        <f t="shared" si="417"/>
        <v>Medium</v>
      </c>
      <c r="O6696" t="str">
        <f t="shared" si="418"/>
        <v>High Balance</v>
      </c>
      <c r="P6696" t="str">
        <f t="shared" si="419"/>
        <v>Long-term</v>
      </c>
    </row>
    <row r="6697" spans="1:16" x14ac:dyDescent="0.25">
      <c r="A6697">
        <v>2025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  <c r="M6697" t="str">
        <f t="shared" si="416"/>
        <v>30-45</v>
      </c>
      <c r="N6697" t="str">
        <f t="shared" si="417"/>
        <v>Medium</v>
      </c>
      <c r="O6697" t="str">
        <f t="shared" si="418"/>
        <v>Zero Balance</v>
      </c>
      <c r="P6697" t="str">
        <f t="shared" si="419"/>
        <v>New</v>
      </c>
    </row>
    <row r="6698" spans="1:16" x14ac:dyDescent="0.25">
      <c r="A6698">
        <v>2025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  <c r="M6698" t="str">
        <f t="shared" si="416"/>
        <v>46-60</v>
      </c>
      <c r="N6698" t="str">
        <f t="shared" si="417"/>
        <v>Medium</v>
      </c>
      <c r="O6698" t="str">
        <f t="shared" si="418"/>
        <v>Zero Balance</v>
      </c>
      <c r="P6698" t="str">
        <f t="shared" si="419"/>
        <v>New</v>
      </c>
    </row>
    <row r="6699" spans="1:16" x14ac:dyDescent="0.25">
      <c r="A6699">
        <v>2025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  <c r="M6699" t="str">
        <f t="shared" si="416"/>
        <v>30-45</v>
      </c>
      <c r="N6699" t="str">
        <f t="shared" si="417"/>
        <v>Medium</v>
      </c>
      <c r="O6699" t="str">
        <f t="shared" si="418"/>
        <v>High Balance</v>
      </c>
      <c r="P6699" t="str">
        <f t="shared" si="419"/>
        <v>New</v>
      </c>
    </row>
    <row r="6700" spans="1:16" x14ac:dyDescent="0.25">
      <c r="A6700">
        <v>2025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  <c r="M6700" t="str">
        <f t="shared" si="416"/>
        <v>30-45</v>
      </c>
      <c r="N6700" t="str">
        <f t="shared" si="417"/>
        <v>High</v>
      </c>
      <c r="O6700" t="str">
        <f t="shared" si="418"/>
        <v>Zero Balance</v>
      </c>
      <c r="P6700" t="str">
        <f t="shared" si="419"/>
        <v>Mid-term</v>
      </c>
    </row>
    <row r="6701" spans="1:16" x14ac:dyDescent="0.25">
      <c r="A6701">
        <v>2025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  <c r="M6701" t="str">
        <f t="shared" si="416"/>
        <v>30-45</v>
      </c>
      <c r="N6701" t="str">
        <f t="shared" si="417"/>
        <v>High</v>
      </c>
      <c r="O6701" t="str">
        <f t="shared" si="418"/>
        <v>High Balance</v>
      </c>
      <c r="P6701" t="str">
        <f t="shared" si="419"/>
        <v>New</v>
      </c>
    </row>
    <row r="6702" spans="1:16" x14ac:dyDescent="0.25">
      <c r="A6702">
        <v>2025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  <c r="M6702" t="str">
        <f t="shared" si="416"/>
        <v>30-45</v>
      </c>
      <c r="N6702" t="str">
        <f t="shared" si="417"/>
        <v>High</v>
      </c>
      <c r="O6702" t="str">
        <f t="shared" si="418"/>
        <v>High Balance</v>
      </c>
      <c r="P6702" t="str">
        <f t="shared" si="419"/>
        <v>Long-term</v>
      </c>
    </row>
    <row r="6703" spans="1:16" x14ac:dyDescent="0.25">
      <c r="A6703">
        <v>2025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  <c r="M6703" t="str">
        <f t="shared" si="416"/>
        <v>30-45</v>
      </c>
      <c r="N6703" t="str">
        <f t="shared" si="417"/>
        <v>Medium</v>
      </c>
      <c r="O6703" t="str">
        <f t="shared" si="418"/>
        <v>High Balance</v>
      </c>
      <c r="P6703" t="str">
        <f t="shared" si="419"/>
        <v>Mid-term</v>
      </c>
    </row>
    <row r="6704" spans="1:16" x14ac:dyDescent="0.25">
      <c r="A6704">
        <v>2025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  <c r="M6704" t="str">
        <f t="shared" si="416"/>
        <v>30-45</v>
      </c>
      <c r="N6704" t="str">
        <f t="shared" si="417"/>
        <v>Medium</v>
      </c>
      <c r="O6704" t="str">
        <f t="shared" si="418"/>
        <v>High Balance</v>
      </c>
      <c r="P6704" t="str">
        <f t="shared" si="419"/>
        <v>Mid-term</v>
      </c>
    </row>
    <row r="6705" spans="1:16" x14ac:dyDescent="0.25">
      <c r="A6705">
        <v>2025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  <c r="M6705" t="str">
        <f t="shared" si="416"/>
        <v>46-60</v>
      </c>
      <c r="N6705" t="str">
        <f t="shared" si="417"/>
        <v>Medium</v>
      </c>
      <c r="O6705" t="str">
        <f t="shared" si="418"/>
        <v>High Balance</v>
      </c>
      <c r="P6705" t="str">
        <f t="shared" si="419"/>
        <v>Long-term</v>
      </c>
    </row>
    <row r="6706" spans="1:16" x14ac:dyDescent="0.25">
      <c r="A6706">
        <v>2025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  <c r="M6706" t="str">
        <f t="shared" si="416"/>
        <v>30-45</v>
      </c>
      <c r="N6706" t="str">
        <f t="shared" si="417"/>
        <v>Low</v>
      </c>
      <c r="O6706" t="str">
        <f t="shared" si="418"/>
        <v>High Balance</v>
      </c>
      <c r="P6706" t="str">
        <f t="shared" si="419"/>
        <v>New</v>
      </c>
    </row>
    <row r="6707" spans="1:16" x14ac:dyDescent="0.25">
      <c r="A6707">
        <v>2025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  <c r="M6707" t="str">
        <f t="shared" si="416"/>
        <v>30-45</v>
      </c>
      <c r="N6707" t="str">
        <f t="shared" si="417"/>
        <v>Medium</v>
      </c>
      <c r="O6707" t="str">
        <f t="shared" si="418"/>
        <v>High Balance</v>
      </c>
      <c r="P6707" t="str">
        <f t="shared" si="419"/>
        <v>Mid-term</v>
      </c>
    </row>
    <row r="6708" spans="1:16" x14ac:dyDescent="0.25">
      <c r="A6708">
        <v>2025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  <c r="M6708" t="str">
        <f t="shared" si="416"/>
        <v>60+</v>
      </c>
      <c r="N6708" t="str">
        <f t="shared" si="417"/>
        <v>Medium</v>
      </c>
      <c r="O6708" t="str">
        <f t="shared" si="418"/>
        <v>Low Balance</v>
      </c>
      <c r="P6708" t="str">
        <f t="shared" si="419"/>
        <v>New</v>
      </c>
    </row>
    <row r="6709" spans="1:16" x14ac:dyDescent="0.25">
      <c r="A6709">
        <v>2025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  <c r="M6709" t="str">
        <f t="shared" si="416"/>
        <v>30-45</v>
      </c>
      <c r="N6709" t="str">
        <f t="shared" si="417"/>
        <v>Medium</v>
      </c>
      <c r="O6709" t="str">
        <f t="shared" si="418"/>
        <v>High Balance</v>
      </c>
      <c r="P6709" t="str">
        <f t="shared" si="419"/>
        <v>Long-term</v>
      </c>
    </row>
    <row r="6710" spans="1:16" x14ac:dyDescent="0.25">
      <c r="A6710">
        <v>2025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  <c r="M6710" t="str">
        <f t="shared" si="416"/>
        <v>30-45</v>
      </c>
      <c r="N6710" t="str">
        <f t="shared" si="417"/>
        <v>High</v>
      </c>
      <c r="O6710" t="str">
        <f t="shared" si="418"/>
        <v>Zero Balance</v>
      </c>
      <c r="P6710" t="str">
        <f t="shared" si="419"/>
        <v>Mid-term</v>
      </c>
    </row>
    <row r="6711" spans="1:16" x14ac:dyDescent="0.25">
      <c r="A6711">
        <v>2025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  <c r="M6711" t="str">
        <f t="shared" si="416"/>
        <v>60+</v>
      </c>
      <c r="N6711" t="str">
        <f t="shared" si="417"/>
        <v>High</v>
      </c>
      <c r="O6711" t="str">
        <f t="shared" si="418"/>
        <v>High Balance</v>
      </c>
      <c r="P6711" t="str">
        <f t="shared" si="419"/>
        <v>New</v>
      </c>
    </row>
    <row r="6712" spans="1:16" x14ac:dyDescent="0.25">
      <c r="A6712">
        <v>2025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  <c r="M6712" t="str">
        <f t="shared" si="416"/>
        <v>30-45</v>
      </c>
      <c r="N6712" t="str">
        <f t="shared" si="417"/>
        <v>Medium</v>
      </c>
      <c r="O6712" t="str">
        <f t="shared" si="418"/>
        <v>Zero Balance</v>
      </c>
      <c r="P6712" t="str">
        <f t="shared" si="419"/>
        <v>New</v>
      </c>
    </row>
    <row r="6713" spans="1:16" x14ac:dyDescent="0.25">
      <c r="A6713">
        <v>2025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  <c r="M6713" t="str">
        <f t="shared" si="416"/>
        <v>30-45</v>
      </c>
      <c r="N6713" t="str">
        <f t="shared" si="417"/>
        <v>Medium</v>
      </c>
      <c r="O6713" t="str">
        <f t="shared" si="418"/>
        <v>High Balance</v>
      </c>
      <c r="P6713" t="str">
        <f t="shared" si="419"/>
        <v>New</v>
      </c>
    </row>
    <row r="6714" spans="1:16" x14ac:dyDescent="0.25">
      <c r="A6714">
        <v>2025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  <c r="M6714" t="str">
        <f t="shared" si="416"/>
        <v>30-45</v>
      </c>
      <c r="N6714" t="str">
        <f t="shared" si="417"/>
        <v>Medium</v>
      </c>
      <c r="O6714" t="str">
        <f t="shared" si="418"/>
        <v>Zero Balance</v>
      </c>
      <c r="P6714" t="str">
        <f t="shared" si="419"/>
        <v>Mid-term</v>
      </c>
    </row>
    <row r="6715" spans="1:16" x14ac:dyDescent="0.25">
      <c r="A6715">
        <v>2025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  <c r="M6715" t="str">
        <f t="shared" si="416"/>
        <v>46-60</v>
      </c>
      <c r="N6715" t="str">
        <f t="shared" si="417"/>
        <v>Medium</v>
      </c>
      <c r="O6715" t="str">
        <f t="shared" si="418"/>
        <v>Zero Balance</v>
      </c>
      <c r="P6715" t="str">
        <f t="shared" si="419"/>
        <v>New</v>
      </c>
    </row>
    <row r="6716" spans="1:16" x14ac:dyDescent="0.25">
      <c r="A6716">
        <v>2025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  <c r="M6716" t="str">
        <f t="shared" si="416"/>
        <v>30-45</v>
      </c>
      <c r="N6716" t="str">
        <f t="shared" si="417"/>
        <v>High</v>
      </c>
      <c r="O6716" t="str">
        <f t="shared" si="418"/>
        <v>High Balance</v>
      </c>
      <c r="P6716" t="str">
        <f t="shared" si="419"/>
        <v>New</v>
      </c>
    </row>
    <row r="6717" spans="1:16" x14ac:dyDescent="0.25">
      <c r="A6717">
        <v>2025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  <c r="M6717" t="str">
        <f t="shared" si="416"/>
        <v>60+</v>
      </c>
      <c r="N6717" t="str">
        <f t="shared" si="417"/>
        <v>High</v>
      </c>
      <c r="O6717" t="str">
        <f t="shared" si="418"/>
        <v>High Balance</v>
      </c>
      <c r="P6717" t="str">
        <f t="shared" si="419"/>
        <v>Long-term</v>
      </c>
    </row>
    <row r="6718" spans="1:16" x14ac:dyDescent="0.25">
      <c r="A6718">
        <v>2025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  <c r="M6718" t="str">
        <f t="shared" si="416"/>
        <v>&lt;30</v>
      </c>
      <c r="N6718" t="str">
        <f t="shared" si="417"/>
        <v>Medium</v>
      </c>
      <c r="O6718" t="str">
        <f t="shared" si="418"/>
        <v>High Balance</v>
      </c>
      <c r="P6718" t="str">
        <f t="shared" si="419"/>
        <v>Mid-term</v>
      </c>
    </row>
    <row r="6719" spans="1:16" x14ac:dyDescent="0.25">
      <c r="A6719">
        <v>2025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  <c r="M6719" t="str">
        <f t="shared" si="416"/>
        <v>46-60</v>
      </c>
      <c r="N6719" t="str">
        <f t="shared" si="417"/>
        <v>Medium</v>
      </c>
      <c r="O6719" t="str">
        <f t="shared" si="418"/>
        <v>High Balance</v>
      </c>
      <c r="P6719" t="str">
        <f t="shared" si="419"/>
        <v>Mid-term</v>
      </c>
    </row>
    <row r="6720" spans="1:16" x14ac:dyDescent="0.25">
      <c r="A6720">
        <v>2025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  <c r="M6720" t="str">
        <f t="shared" si="416"/>
        <v>30-45</v>
      </c>
      <c r="N6720" t="str">
        <f t="shared" si="417"/>
        <v>Low</v>
      </c>
      <c r="O6720" t="str">
        <f t="shared" si="418"/>
        <v>High Balance</v>
      </c>
      <c r="P6720" t="str">
        <f t="shared" si="419"/>
        <v>New</v>
      </c>
    </row>
    <row r="6721" spans="1:16" x14ac:dyDescent="0.25">
      <c r="A6721">
        <v>2025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  <c r="M6721" t="str">
        <f t="shared" si="416"/>
        <v>30-45</v>
      </c>
      <c r="N6721" t="str">
        <f t="shared" si="417"/>
        <v>Medium</v>
      </c>
      <c r="O6721" t="str">
        <f t="shared" si="418"/>
        <v>Zero Balance</v>
      </c>
      <c r="P6721" t="str">
        <f t="shared" si="419"/>
        <v>Mid-term</v>
      </c>
    </row>
    <row r="6722" spans="1:16" x14ac:dyDescent="0.25">
      <c r="A6722">
        <v>2025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  <c r="M6722" t="str">
        <f t="shared" si="416"/>
        <v>&lt;30</v>
      </c>
      <c r="N6722" t="str">
        <f t="shared" si="417"/>
        <v>Medium</v>
      </c>
      <c r="O6722" t="str">
        <f t="shared" si="418"/>
        <v>Zero Balance</v>
      </c>
      <c r="P6722" t="str">
        <f t="shared" si="419"/>
        <v>Mid-term</v>
      </c>
    </row>
    <row r="6723" spans="1:16" x14ac:dyDescent="0.25">
      <c r="A6723">
        <v>2025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  <c r="M6723" t="str">
        <f t="shared" ref="M6723:M6786" si="420">IF(E6723&lt;30,"&lt;30",IF(E6723&lt;=45,"30-45",IF(E6723&lt;=60,"46-60","60+")))</f>
        <v>60+</v>
      </c>
      <c r="N6723" t="str">
        <f t="shared" ref="N6723:N6786" si="421">IF(B6723&lt;500,"Low",IF(B6723&lt;700,"Medium","High"))</f>
        <v>High</v>
      </c>
      <c r="O6723" t="str">
        <f t="shared" ref="O6723:O6786" si="422">IF(G6723=0,"Zero Balance",IF(G6723&lt;100000,"Low Balance","High Balance"))</f>
        <v>Low Balance</v>
      </c>
      <c r="P6723" t="str">
        <f t="shared" ref="P6723:P6786" si="423">IF(F6723&lt;=3,"New",IF(F6723&lt;=7,"Mid-term","Long-term"))</f>
        <v>New</v>
      </c>
    </row>
    <row r="6724" spans="1:16" x14ac:dyDescent="0.25">
      <c r="A6724">
        <v>2025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  <c r="M6724" t="str">
        <f t="shared" si="420"/>
        <v>&lt;30</v>
      </c>
      <c r="N6724" t="str">
        <f t="shared" si="421"/>
        <v>Medium</v>
      </c>
      <c r="O6724" t="str">
        <f t="shared" si="422"/>
        <v>High Balance</v>
      </c>
      <c r="P6724" t="str">
        <f t="shared" si="423"/>
        <v>Mid-term</v>
      </c>
    </row>
    <row r="6725" spans="1:16" x14ac:dyDescent="0.25">
      <c r="A6725">
        <v>2025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  <c r="M6725" t="str">
        <f t="shared" si="420"/>
        <v>46-60</v>
      </c>
      <c r="N6725" t="str">
        <f t="shared" si="421"/>
        <v>Medium</v>
      </c>
      <c r="O6725" t="str">
        <f t="shared" si="422"/>
        <v>Low Balance</v>
      </c>
      <c r="P6725" t="str">
        <f t="shared" si="423"/>
        <v>New</v>
      </c>
    </row>
    <row r="6726" spans="1:16" x14ac:dyDescent="0.25">
      <c r="A6726">
        <v>2025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  <c r="M6726" t="str">
        <f t="shared" si="420"/>
        <v>30-45</v>
      </c>
      <c r="N6726" t="str">
        <f t="shared" si="421"/>
        <v>High</v>
      </c>
      <c r="O6726" t="str">
        <f t="shared" si="422"/>
        <v>Zero Balance</v>
      </c>
      <c r="P6726" t="str">
        <f t="shared" si="423"/>
        <v>Long-term</v>
      </c>
    </row>
    <row r="6727" spans="1:16" x14ac:dyDescent="0.25">
      <c r="A6727">
        <v>2025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  <c r="M6727" t="str">
        <f t="shared" si="420"/>
        <v>30-45</v>
      </c>
      <c r="N6727" t="str">
        <f t="shared" si="421"/>
        <v>Medium</v>
      </c>
      <c r="O6727" t="str">
        <f t="shared" si="422"/>
        <v>High Balance</v>
      </c>
      <c r="P6727" t="str">
        <f t="shared" si="423"/>
        <v>Long-term</v>
      </c>
    </row>
    <row r="6728" spans="1:16" x14ac:dyDescent="0.25">
      <c r="A6728">
        <v>2025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  <c r="M6728" t="str">
        <f t="shared" si="420"/>
        <v>46-60</v>
      </c>
      <c r="N6728" t="str">
        <f t="shared" si="421"/>
        <v>Medium</v>
      </c>
      <c r="O6728" t="str">
        <f t="shared" si="422"/>
        <v>Zero Balance</v>
      </c>
      <c r="P6728" t="str">
        <f t="shared" si="423"/>
        <v>Long-term</v>
      </c>
    </row>
    <row r="6729" spans="1:16" x14ac:dyDescent="0.25">
      <c r="A6729">
        <v>2025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  <c r="M6729" t="str">
        <f t="shared" si="420"/>
        <v>30-45</v>
      </c>
      <c r="N6729" t="str">
        <f t="shared" si="421"/>
        <v>High</v>
      </c>
      <c r="O6729" t="str">
        <f t="shared" si="422"/>
        <v>Zero Balance</v>
      </c>
      <c r="P6729" t="str">
        <f t="shared" si="423"/>
        <v>Long-term</v>
      </c>
    </row>
    <row r="6730" spans="1:16" x14ac:dyDescent="0.25">
      <c r="A6730">
        <v>2025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  <c r="M6730" t="str">
        <f t="shared" si="420"/>
        <v>30-45</v>
      </c>
      <c r="N6730" t="str">
        <f t="shared" si="421"/>
        <v>High</v>
      </c>
      <c r="O6730" t="str">
        <f t="shared" si="422"/>
        <v>High Balance</v>
      </c>
      <c r="P6730" t="str">
        <f t="shared" si="423"/>
        <v>Long-term</v>
      </c>
    </row>
    <row r="6731" spans="1:16" x14ac:dyDescent="0.25">
      <c r="A6731">
        <v>2025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  <c r="M6731" t="str">
        <f t="shared" si="420"/>
        <v>46-60</v>
      </c>
      <c r="N6731" t="str">
        <f t="shared" si="421"/>
        <v>Low</v>
      </c>
      <c r="O6731" t="str">
        <f t="shared" si="422"/>
        <v>Low Balance</v>
      </c>
      <c r="P6731" t="str">
        <f t="shared" si="423"/>
        <v>Long-term</v>
      </c>
    </row>
    <row r="6732" spans="1:16" x14ac:dyDescent="0.25">
      <c r="A6732">
        <v>2025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  <c r="M6732" t="str">
        <f t="shared" si="420"/>
        <v>46-60</v>
      </c>
      <c r="N6732" t="str">
        <f t="shared" si="421"/>
        <v>Medium</v>
      </c>
      <c r="O6732" t="str">
        <f t="shared" si="422"/>
        <v>High Balance</v>
      </c>
      <c r="P6732" t="str">
        <f t="shared" si="423"/>
        <v>Long-term</v>
      </c>
    </row>
    <row r="6733" spans="1:16" x14ac:dyDescent="0.25">
      <c r="A6733">
        <v>2025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  <c r="M6733" t="str">
        <f t="shared" si="420"/>
        <v>30-45</v>
      </c>
      <c r="N6733" t="str">
        <f t="shared" si="421"/>
        <v>Medium</v>
      </c>
      <c r="O6733" t="str">
        <f t="shared" si="422"/>
        <v>Zero Balance</v>
      </c>
      <c r="P6733" t="str">
        <f t="shared" si="423"/>
        <v>Mid-term</v>
      </c>
    </row>
    <row r="6734" spans="1:16" x14ac:dyDescent="0.25">
      <c r="A6734">
        <v>2025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  <c r="M6734" t="str">
        <f t="shared" si="420"/>
        <v>30-45</v>
      </c>
      <c r="N6734" t="str">
        <f t="shared" si="421"/>
        <v>Medium</v>
      </c>
      <c r="O6734" t="str">
        <f t="shared" si="422"/>
        <v>Zero Balance</v>
      </c>
      <c r="P6734" t="str">
        <f t="shared" si="423"/>
        <v>Long-term</v>
      </c>
    </row>
    <row r="6735" spans="1:16" x14ac:dyDescent="0.25">
      <c r="A6735">
        <v>2025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  <c r="M6735" t="str">
        <f t="shared" si="420"/>
        <v>&lt;30</v>
      </c>
      <c r="N6735" t="str">
        <f t="shared" si="421"/>
        <v>Medium</v>
      </c>
      <c r="O6735" t="str">
        <f t="shared" si="422"/>
        <v>High Balance</v>
      </c>
      <c r="P6735" t="str">
        <f t="shared" si="423"/>
        <v>Mid-term</v>
      </c>
    </row>
    <row r="6736" spans="1:16" x14ac:dyDescent="0.25">
      <c r="A6736">
        <v>2025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  <c r="M6736" t="str">
        <f t="shared" si="420"/>
        <v>46-60</v>
      </c>
      <c r="N6736" t="str">
        <f t="shared" si="421"/>
        <v>Medium</v>
      </c>
      <c r="O6736" t="str">
        <f t="shared" si="422"/>
        <v>Zero Balance</v>
      </c>
      <c r="P6736" t="str">
        <f t="shared" si="423"/>
        <v>New</v>
      </c>
    </row>
    <row r="6737" spans="1:16" x14ac:dyDescent="0.25">
      <c r="A6737">
        <v>2025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  <c r="M6737" t="str">
        <f t="shared" si="420"/>
        <v>30-45</v>
      </c>
      <c r="N6737" t="str">
        <f t="shared" si="421"/>
        <v>High</v>
      </c>
      <c r="O6737" t="str">
        <f t="shared" si="422"/>
        <v>High Balance</v>
      </c>
      <c r="P6737" t="str">
        <f t="shared" si="423"/>
        <v>Mid-term</v>
      </c>
    </row>
    <row r="6738" spans="1:16" x14ac:dyDescent="0.25">
      <c r="A6738">
        <v>2025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  <c r="M6738" t="str">
        <f t="shared" si="420"/>
        <v>46-60</v>
      </c>
      <c r="N6738" t="str">
        <f t="shared" si="421"/>
        <v>High</v>
      </c>
      <c r="O6738" t="str">
        <f t="shared" si="422"/>
        <v>Low Balance</v>
      </c>
      <c r="P6738" t="str">
        <f t="shared" si="423"/>
        <v>New</v>
      </c>
    </row>
    <row r="6739" spans="1:16" x14ac:dyDescent="0.25">
      <c r="A6739">
        <v>2025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  <c r="M6739" t="str">
        <f t="shared" si="420"/>
        <v>30-45</v>
      </c>
      <c r="N6739" t="str">
        <f t="shared" si="421"/>
        <v>High</v>
      </c>
      <c r="O6739" t="str">
        <f t="shared" si="422"/>
        <v>Low Balance</v>
      </c>
      <c r="P6739" t="str">
        <f t="shared" si="423"/>
        <v>New</v>
      </c>
    </row>
    <row r="6740" spans="1:16" x14ac:dyDescent="0.25">
      <c r="A6740">
        <v>2025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  <c r="M6740" t="str">
        <f t="shared" si="420"/>
        <v>30-45</v>
      </c>
      <c r="N6740" t="str">
        <f t="shared" si="421"/>
        <v>Medium</v>
      </c>
      <c r="O6740" t="str">
        <f t="shared" si="422"/>
        <v>High Balance</v>
      </c>
      <c r="P6740" t="str">
        <f t="shared" si="423"/>
        <v>Long-term</v>
      </c>
    </row>
    <row r="6741" spans="1:16" x14ac:dyDescent="0.25">
      <c r="A6741">
        <v>2025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  <c r="M6741" t="str">
        <f t="shared" si="420"/>
        <v>46-60</v>
      </c>
      <c r="N6741" t="str">
        <f t="shared" si="421"/>
        <v>Medium</v>
      </c>
      <c r="O6741" t="str">
        <f t="shared" si="422"/>
        <v>High Balance</v>
      </c>
      <c r="P6741" t="str">
        <f t="shared" si="423"/>
        <v>Long-term</v>
      </c>
    </row>
    <row r="6742" spans="1:16" x14ac:dyDescent="0.25">
      <c r="A6742">
        <v>2025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  <c r="M6742" t="str">
        <f t="shared" si="420"/>
        <v>30-45</v>
      </c>
      <c r="N6742" t="str">
        <f t="shared" si="421"/>
        <v>Medium</v>
      </c>
      <c r="O6742" t="str">
        <f t="shared" si="422"/>
        <v>High Balance</v>
      </c>
      <c r="P6742" t="str">
        <f t="shared" si="423"/>
        <v>New</v>
      </c>
    </row>
    <row r="6743" spans="1:16" x14ac:dyDescent="0.25">
      <c r="A6743">
        <v>2025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  <c r="M6743" t="str">
        <f t="shared" si="420"/>
        <v>30-45</v>
      </c>
      <c r="N6743" t="str">
        <f t="shared" si="421"/>
        <v>Medium</v>
      </c>
      <c r="O6743" t="str">
        <f t="shared" si="422"/>
        <v>High Balance</v>
      </c>
      <c r="P6743" t="str">
        <f t="shared" si="423"/>
        <v>Long-term</v>
      </c>
    </row>
    <row r="6744" spans="1:16" x14ac:dyDescent="0.25">
      <c r="A6744">
        <v>2025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  <c r="M6744" t="str">
        <f t="shared" si="420"/>
        <v>&lt;30</v>
      </c>
      <c r="N6744" t="str">
        <f t="shared" si="421"/>
        <v>Medium</v>
      </c>
      <c r="O6744" t="str">
        <f t="shared" si="422"/>
        <v>Zero Balance</v>
      </c>
      <c r="P6744" t="str">
        <f t="shared" si="423"/>
        <v>New</v>
      </c>
    </row>
    <row r="6745" spans="1:16" x14ac:dyDescent="0.25">
      <c r="A6745">
        <v>2025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  <c r="M6745" t="str">
        <f t="shared" si="420"/>
        <v>46-60</v>
      </c>
      <c r="N6745" t="str">
        <f t="shared" si="421"/>
        <v>Medium</v>
      </c>
      <c r="O6745" t="str">
        <f t="shared" si="422"/>
        <v>High Balance</v>
      </c>
      <c r="P6745" t="str">
        <f t="shared" si="423"/>
        <v>Long-term</v>
      </c>
    </row>
    <row r="6746" spans="1:16" x14ac:dyDescent="0.25">
      <c r="A6746">
        <v>2025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  <c r="M6746" t="str">
        <f t="shared" si="420"/>
        <v>30-45</v>
      </c>
      <c r="N6746" t="str">
        <f t="shared" si="421"/>
        <v>High</v>
      </c>
      <c r="O6746" t="str">
        <f t="shared" si="422"/>
        <v>Zero Balance</v>
      </c>
      <c r="P6746" t="str">
        <f t="shared" si="423"/>
        <v>Mid-term</v>
      </c>
    </row>
    <row r="6747" spans="1:16" x14ac:dyDescent="0.25">
      <c r="A6747">
        <v>2025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  <c r="M6747" t="str">
        <f t="shared" si="420"/>
        <v>46-60</v>
      </c>
      <c r="N6747" t="str">
        <f t="shared" si="421"/>
        <v>Medium</v>
      </c>
      <c r="O6747" t="str">
        <f t="shared" si="422"/>
        <v>Zero Balance</v>
      </c>
      <c r="P6747" t="str">
        <f t="shared" si="423"/>
        <v>New</v>
      </c>
    </row>
    <row r="6748" spans="1:16" x14ac:dyDescent="0.25">
      <c r="A6748">
        <v>2025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  <c r="M6748" t="str">
        <f t="shared" si="420"/>
        <v>30-45</v>
      </c>
      <c r="N6748" t="str">
        <f t="shared" si="421"/>
        <v>Medium</v>
      </c>
      <c r="O6748" t="str">
        <f t="shared" si="422"/>
        <v>Zero Balance</v>
      </c>
      <c r="P6748" t="str">
        <f t="shared" si="423"/>
        <v>New</v>
      </c>
    </row>
    <row r="6749" spans="1:16" x14ac:dyDescent="0.25">
      <c r="A6749">
        <v>2025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  <c r="M6749" t="str">
        <f t="shared" si="420"/>
        <v>30-45</v>
      </c>
      <c r="N6749" t="str">
        <f t="shared" si="421"/>
        <v>Medium</v>
      </c>
      <c r="O6749" t="str">
        <f t="shared" si="422"/>
        <v>High Balance</v>
      </c>
      <c r="P6749" t="str">
        <f t="shared" si="423"/>
        <v>New</v>
      </c>
    </row>
    <row r="6750" spans="1:16" x14ac:dyDescent="0.25">
      <c r="A6750">
        <v>2025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  <c r="M6750" t="str">
        <f t="shared" si="420"/>
        <v>30-45</v>
      </c>
      <c r="N6750" t="str">
        <f t="shared" si="421"/>
        <v>High</v>
      </c>
      <c r="O6750" t="str">
        <f t="shared" si="422"/>
        <v>High Balance</v>
      </c>
      <c r="P6750" t="str">
        <f t="shared" si="423"/>
        <v>Long-term</v>
      </c>
    </row>
    <row r="6751" spans="1:16" x14ac:dyDescent="0.25">
      <c r="A6751">
        <v>2025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  <c r="M6751" t="str">
        <f t="shared" si="420"/>
        <v>&lt;30</v>
      </c>
      <c r="N6751" t="str">
        <f t="shared" si="421"/>
        <v>Medium</v>
      </c>
      <c r="O6751" t="str">
        <f t="shared" si="422"/>
        <v>Low Balance</v>
      </c>
      <c r="P6751" t="str">
        <f t="shared" si="423"/>
        <v>Long-term</v>
      </c>
    </row>
    <row r="6752" spans="1:16" x14ac:dyDescent="0.25">
      <c r="A6752">
        <v>2025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  <c r="M6752" t="str">
        <f t="shared" si="420"/>
        <v>30-45</v>
      </c>
      <c r="N6752" t="str">
        <f t="shared" si="421"/>
        <v>Medium</v>
      </c>
      <c r="O6752" t="str">
        <f t="shared" si="422"/>
        <v>Zero Balance</v>
      </c>
      <c r="P6752" t="str">
        <f t="shared" si="423"/>
        <v>New</v>
      </c>
    </row>
    <row r="6753" spans="1:16" x14ac:dyDescent="0.25">
      <c r="A6753">
        <v>2025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  <c r="M6753" t="str">
        <f t="shared" si="420"/>
        <v>46-60</v>
      </c>
      <c r="N6753" t="str">
        <f t="shared" si="421"/>
        <v>Medium</v>
      </c>
      <c r="O6753" t="str">
        <f t="shared" si="422"/>
        <v>High Balance</v>
      </c>
      <c r="P6753" t="str">
        <f t="shared" si="423"/>
        <v>New</v>
      </c>
    </row>
    <row r="6754" spans="1:16" x14ac:dyDescent="0.25">
      <c r="A6754">
        <v>2025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  <c r="M6754" t="str">
        <f t="shared" si="420"/>
        <v>30-45</v>
      </c>
      <c r="N6754" t="str">
        <f t="shared" si="421"/>
        <v>Medium</v>
      </c>
      <c r="O6754" t="str">
        <f t="shared" si="422"/>
        <v>High Balance</v>
      </c>
      <c r="P6754" t="str">
        <f t="shared" si="423"/>
        <v>Mid-term</v>
      </c>
    </row>
    <row r="6755" spans="1:16" x14ac:dyDescent="0.25">
      <c r="A6755">
        <v>2025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  <c r="M6755" t="str">
        <f t="shared" si="420"/>
        <v>30-45</v>
      </c>
      <c r="N6755" t="str">
        <f t="shared" si="421"/>
        <v>Medium</v>
      </c>
      <c r="O6755" t="str">
        <f t="shared" si="422"/>
        <v>High Balance</v>
      </c>
      <c r="P6755" t="str">
        <f t="shared" si="423"/>
        <v>Mid-term</v>
      </c>
    </row>
    <row r="6756" spans="1:16" x14ac:dyDescent="0.25">
      <c r="A6756">
        <v>2025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  <c r="M6756" t="str">
        <f t="shared" si="420"/>
        <v>&lt;30</v>
      </c>
      <c r="N6756" t="str">
        <f t="shared" si="421"/>
        <v>Medium</v>
      </c>
      <c r="O6756" t="str">
        <f t="shared" si="422"/>
        <v>High Balance</v>
      </c>
      <c r="P6756" t="str">
        <f t="shared" si="423"/>
        <v>New</v>
      </c>
    </row>
    <row r="6757" spans="1:16" x14ac:dyDescent="0.25">
      <c r="A6757">
        <v>2025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  <c r="M6757" t="str">
        <f t="shared" si="420"/>
        <v>30-45</v>
      </c>
      <c r="N6757" t="str">
        <f t="shared" si="421"/>
        <v>High</v>
      </c>
      <c r="O6757" t="str">
        <f t="shared" si="422"/>
        <v>High Balance</v>
      </c>
      <c r="P6757" t="str">
        <f t="shared" si="423"/>
        <v>New</v>
      </c>
    </row>
    <row r="6758" spans="1:16" x14ac:dyDescent="0.25">
      <c r="A6758">
        <v>2025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  <c r="M6758" t="str">
        <f t="shared" si="420"/>
        <v>30-45</v>
      </c>
      <c r="N6758" t="str">
        <f t="shared" si="421"/>
        <v>Low</v>
      </c>
      <c r="O6758" t="str">
        <f t="shared" si="422"/>
        <v>High Balance</v>
      </c>
      <c r="P6758" t="str">
        <f t="shared" si="423"/>
        <v>Long-term</v>
      </c>
    </row>
    <row r="6759" spans="1:16" x14ac:dyDescent="0.25">
      <c r="A6759">
        <v>2025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  <c r="M6759" t="str">
        <f t="shared" si="420"/>
        <v>30-45</v>
      </c>
      <c r="N6759" t="str">
        <f t="shared" si="421"/>
        <v>High</v>
      </c>
      <c r="O6759" t="str">
        <f t="shared" si="422"/>
        <v>High Balance</v>
      </c>
      <c r="P6759" t="str">
        <f t="shared" si="423"/>
        <v>New</v>
      </c>
    </row>
    <row r="6760" spans="1:16" x14ac:dyDescent="0.25">
      <c r="A6760">
        <v>2025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  <c r="M6760" t="str">
        <f t="shared" si="420"/>
        <v>&lt;30</v>
      </c>
      <c r="N6760" t="str">
        <f t="shared" si="421"/>
        <v>Medium</v>
      </c>
      <c r="O6760" t="str">
        <f t="shared" si="422"/>
        <v>High Balance</v>
      </c>
      <c r="P6760" t="str">
        <f t="shared" si="423"/>
        <v>New</v>
      </c>
    </row>
    <row r="6761" spans="1:16" x14ac:dyDescent="0.25">
      <c r="A6761">
        <v>2025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  <c r="M6761" t="str">
        <f t="shared" si="420"/>
        <v>60+</v>
      </c>
      <c r="N6761" t="str">
        <f t="shared" si="421"/>
        <v>High</v>
      </c>
      <c r="O6761" t="str">
        <f t="shared" si="422"/>
        <v>High Balance</v>
      </c>
      <c r="P6761" t="str">
        <f t="shared" si="423"/>
        <v>New</v>
      </c>
    </row>
    <row r="6762" spans="1:16" x14ac:dyDescent="0.25">
      <c r="A6762">
        <v>2025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  <c r="M6762" t="str">
        <f t="shared" si="420"/>
        <v>30-45</v>
      </c>
      <c r="N6762" t="str">
        <f t="shared" si="421"/>
        <v>Medium</v>
      </c>
      <c r="O6762" t="str">
        <f t="shared" si="422"/>
        <v>Zero Balance</v>
      </c>
      <c r="P6762" t="str">
        <f t="shared" si="423"/>
        <v>Mid-term</v>
      </c>
    </row>
    <row r="6763" spans="1:16" x14ac:dyDescent="0.25">
      <c r="A6763">
        <v>2025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  <c r="M6763" t="str">
        <f t="shared" si="420"/>
        <v>&lt;30</v>
      </c>
      <c r="N6763" t="str">
        <f t="shared" si="421"/>
        <v>Medium</v>
      </c>
      <c r="O6763" t="str">
        <f t="shared" si="422"/>
        <v>Zero Balance</v>
      </c>
      <c r="P6763" t="str">
        <f t="shared" si="423"/>
        <v>Mid-term</v>
      </c>
    </row>
    <row r="6764" spans="1:16" x14ac:dyDescent="0.25">
      <c r="A6764">
        <v>2025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  <c r="M6764" t="str">
        <f t="shared" si="420"/>
        <v>30-45</v>
      </c>
      <c r="N6764" t="str">
        <f t="shared" si="421"/>
        <v>Medium</v>
      </c>
      <c r="O6764" t="str">
        <f t="shared" si="422"/>
        <v>Low Balance</v>
      </c>
      <c r="P6764" t="str">
        <f t="shared" si="423"/>
        <v>Mid-term</v>
      </c>
    </row>
    <row r="6765" spans="1:16" x14ac:dyDescent="0.25">
      <c r="A6765">
        <v>2025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  <c r="M6765" t="str">
        <f t="shared" si="420"/>
        <v>60+</v>
      </c>
      <c r="N6765" t="str">
        <f t="shared" si="421"/>
        <v>High</v>
      </c>
      <c r="O6765" t="str">
        <f t="shared" si="422"/>
        <v>Zero Balance</v>
      </c>
      <c r="P6765" t="str">
        <f t="shared" si="423"/>
        <v>Mid-term</v>
      </c>
    </row>
    <row r="6766" spans="1:16" x14ac:dyDescent="0.25">
      <c r="A6766">
        <v>2025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  <c r="M6766" t="str">
        <f t="shared" si="420"/>
        <v>30-45</v>
      </c>
      <c r="N6766" t="str">
        <f t="shared" si="421"/>
        <v>Medium</v>
      </c>
      <c r="O6766" t="str">
        <f t="shared" si="422"/>
        <v>Zero Balance</v>
      </c>
      <c r="P6766" t="str">
        <f t="shared" si="423"/>
        <v>Mid-term</v>
      </c>
    </row>
    <row r="6767" spans="1:16" x14ac:dyDescent="0.25">
      <c r="A6767">
        <v>2025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  <c r="M6767" t="str">
        <f t="shared" si="420"/>
        <v>30-45</v>
      </c>
      <c r="N6767" t="str">
        <f t="shared" si="421"/>
        <v>Low</v>
      </c>
      <c r="O6767" t="str">
        <f t="shared" si="422"/>
        <v>Zero Balance</v>
      </c>
      <c r="P6767" t="str">
        <f t="shared" si="423"/>
        <v>Mid-term</v>
      </c>
    </row>
    <row r="6768" spans="1:16" x14ac:dyDescent="0.25">
      <c r="A6768">
        <v>2025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  <c r="M6768" t="str">
        <f t="shared" si="420"/>
        <v>30-45</v>
      </c>
      <c r="N6768" t="str">
        <f t="shared" si="421"/>
        <v>Medium</v>
      </c>
      <c r="O6768" t="str">
        <f t="shared" si="422"/>
        <v>High Balance</v>
      </c>
      <c r="P6768" t="str">
        <f t="shared" si="423"/>
        <v>Mid-term</v>
      </c>
    </row>
    <row r="6769" spans="1:16" x14ac:dyDescent="0.25">
      <c r="A6769">
        <v>2025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  <c r="M6769" t="str">
        <f t="shared" si="420"/>
        <v>46-60</v>
      </c>
      <c r="N6769" t="str">
        <f t="shared" si="421"/>
        <v>Medium</v>
      </c>
      <c r="O6769" t="str">
        <f t="shared" si="422"/>
        <v>Low Balance</v>
      </c>
      <c r="P6769" t="str">
        <f t="shared" si="423"/>
        <v>Mid-term</v>
      </c>
    </row>
    <row r="6770" spans="1:16" x14ac:dyDescent="0.25">
      <c r="A6770">
        <v>2025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  <c r="M6770" t="str">
        <f t="shared" si="420"/>
        <v>30-45</v>
      </c>
      <c r="N6770" t="str">
        <f t="shared" si="421"/>
        <v>Medium</v>
      </c>
      <c r="O6770" t="str">
        <f t="shared" si="422"/>
        <v>Zero Balance</v>
      </c>
      <c r="P6770" t="str">
        <f t="shared" si="423"/>
        <v>Mid-term</v>
      </c>
    </row>
    <row r="6771" spans="1:16" x14ac:dyDescent="0.25">
      <c r="A6771">
        <v>2025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  <c r="M6771" t="str">
        <f t="shared" si="420"/>
        <v>30-45</v>
      </c>
      <c r="N6771" t="str">
        <f t="shared" si="421"/>
        <v>High</v>
      </c>
      <c r="O6771" t="str">
        <f t="shared" si="422"/>
        <v>High Balance</v>
      </c>
      <c r="P6771" t="str">
        <f t="shared" si="423"/>
        <v>Mid-term</v>
      </c>
    </row>
    <row r="6772" spans="1:16" x14ac:dyDescent="0.25">
      <c r="A6772">
        <v>2025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  <c r="M6772" t="str">
        <f t="shared" si="420"/>
        <v>30-45</v>
      </c>
      <c r="N6772" t="str">
        <f t="shared" si="421"/>
        <v>Medium</v>
      </c>
      <c r="O6772" t="str">
        <f t="shared" si="422"/>
        <v>Low Balance</v>
      </c>
      <c r="P6772" t="str">
        <f t="shared" si="423"/>
        <v>New</v>
      </c>
    </row>
    <row r="6773" spans="1:16" x14ac:dyDescent="0.25">
      <c r="A6773">
        <v>2025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  <c r="M6773" t="str">
        <f t="shared" si="420"/>
        <v>&lt;30</v>
      </c>
      <c r="N6773" t="str">
        <f t="shared" si="421"/>
        <v>High</v>
      </c>
      <c r="O6773" t="str">
        <f t="shared" si="422"/>
        <v>High Balance</v>
      </c>
      <c r="P6773" t="str">
        <f t="shared" si="423"/>
        <v>Mid-term</v>
      </c>
    </row>
    <row r="6774" spans="1:16" x14ac:dyDescent="0.25">
      <c r="A6774">
        <v>2025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  <c r="M6774" t="str">
        <f t="shared" si="420"/>
        <v>30-45</v>
      </c>
      <c r="N6774" t="str">
        <f t="shared" si="421"/>
        <v>Medium</v>
      </c>
      <c r="O6774" t="str">
        <f t="shared" si="422"/>
        <v>Zero Balance</v>
      </c>
      <c r="P6774" t="str">
        <f t="shared" si="423"/>
        <v>Mid-term</v>
      </c>
    </row>
    <row r="6775" spans="1:16" x14ac:dyDescent="0.25">
      <c r="A6775">
        <v>2025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  <c r="M6775" t="str">
        <f t="shared" si="420"/>
        <v>30-45</v>
      </c>
      <c r="N6775" t="str">
        <f t="shared" si="421"/>
        <v>Medium</v>
      </c>
      <c r="O6775" t="str">
        <f t="shared" si="422"/>
        <v>High Balance</v>
      </c>
      <c r="P6775" t="str">
        <f t="shared" si="423"/>
        <v>Mid-term</v>
      </c>
    </row>
    <row r="6776" spans="1:16" x14ac:dyDescent="0.25">
      <c r="A6776">
        <v>2025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  <c r="M6776" t="str">
        <f t="shared" si="420"/>
        <v>46-60</v>
      </c>
      <c r="N6776" t="str">
        <f t="shared" si="421"/>
        <v>Medium</v>
      </c>
      <c r="O6776" t="str">
        <f t="shared" si="422"/>
        <v>Zero Balance</v>
      </c>
      <c r="P6776" t="str">
        <f t="shared" si="423"/>
        <v>Long-term</v>
      </c>
    </row>
    <row r="6777" spans="1:16" x14ac:dyDescent="0.25">
      <c r="A6777">
        <v>2025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  <c r="M6777" t="str">
        <f t="shared" si="420"/>
        <v>46-60</v>
      </c>
      <c r="N6777" t="str">
        <f t="shared" si="421"/>
        <v>Low</v>
      </c>
      <c r="O6777" t="str">
        <f t="shared" si="422"/>
        <v>Zero Balance</v>
      </c>
      <c r="P6777" t="str">
        <f t="shared" si="423"/>
        <v>Mid-term</v>
      </c>
    </row>
    <row r="6778" spans="1:16" x14ac:dyDescent="0.25">
      <c r="A6778">
        <v>2025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  <c r="M6778" t="str">
        <f t="shared" si="420"/>
        <v>30-45</v>
      </c>
      <c r="N6778" t="str">
        <f t="shared" si="421"/>
        <v>Medium</v>
      </c>
      <c r="O6778" t="str">
        <f t="shared" si="422"/>
        <v>Zero Balance</v>
      </c>
      <c r="P6778" t="str">
        <f t="shared" si="423"/>
        <v>Long-term</v>
      </c>
    </row>
    <row r="6779" spans="1:16" x14ac:dyDescent="0.25">
      <c r="A6779">
        <v>2025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  <c r="M6779" t="str">
        <f t="shared" si="420"/>
        <v>&lt;30</v>
      </c>
      <c r="N6779" t="str">
        <f t="shared" si="421"/>
        <v>High</v>
      </c>
      <c r="O6779" t="str">
        <f t="shared" si="422"/>
        <v>Zero Balance</v>
      </c>
      <c r="P6779" t="str">
        <f t="shared" si="423"/>
        <v>Mid-term</v>
      </c>
    </row>
    <row r="6780" spans="1:16" x14ac:dyDescent="0.25">
      <c r="A6780">
        <v>2025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  <c r="M6780" t="str">
        <f t="shared" si="420"/>
        <v>46-60</v>
      </c>
      <c r="N6780" t="str">
        <f t="shared" si="421"/>
        <v>Medium</v>
      </c>
      <c r="O6780" t="str">
        <f t="shared" si="422"/>
        <v>High Balance</v>
      </c>
      <c r="P6780" t="str">
        <f t="shared" si="423"/>
        <v>Mid-term</v>
      </c>
    </row>
    <row r="6781" spans="1:16" x14ac:dyDescent="0.25">
      <c r="A6781">
        <v>2025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  <c r="M6781" t="str">
        <f t="shared" si="420"/>
        <v>30-45</v>
      </c>
      <c r="N6781" t="str">
        <f t="shared" si="421"/>
        <v>Medium</v>
      </c>
      <c r="O6781" t="str">
        <f t="shared" si="422"/>
        <v>High Balance</v>
      </c>
      <c r="P6781" t="str">
        <f t="shared" si="423"/>
        <v>New</v>
      </c>
    </row>
    <row r="6782" spans="1:16" x14ac:dyDescent="0.25">
      <c r="A6782">
        <v>2025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  <c r="M6782" t="str">
        <f t="shared" si="420"/>
        <v>30-45</v>
      </c>
      <c r="N6782" t="str">
        <f t="shared" si="421"/>
        <v>Low</v>
      </c>
      <c r="O6782" t="str">
        <f t="shared" si="422"/>
        <v>Zero Balance</v>
      </c>
      <c r="P6782" t="str">
        <f t="shared" si="423"/>
        <v>New</v>
      </c>
    </row>
    <row r="6783" spans="1:16" x14ac:dyDescent="0.25">
      <c r="A6783">
        <v>2025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  <c r="M6783" t="str">
        <f t="shared" si="420"/>
        <v>30-45</v>
      </c>
      <c r="N6783" t="str">
        <f t="shared" si="421"/>
        <v>High</v>
      </c>
      <c r="O6783" t="str">
        <f t="shared" si="422"/>
        <v>Zero Balance</v>
      </c>
      <c r="P6783" t="str">
        <f t="shared" si="423"/>
        <v>New</v>
      </c>
    </row>
    <row r="6784" spans="1:16" x14ac:dyDescent="0.25">
      <c r="A6784">
        <v>2025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  <c r="M6784" t="str">
        <f t="shared" si="420"/>
        <v>46-60</v>
      </c>
      <c r="N6784" t="str">
        <f t="shared" si="421"/>
        <v>Medium</v>
      </c>
      <c r="O6784" t="str">
        <f t="shared" si="422"/>
        <v>High Balance</v>
      </c>
      <c r="P6784" t="str">
        <f t="shared" si="423"/>
        <v>Long-term</v>
      </c>
    </row>
    <row r="6785" spans="1:16" x14ac:dyDescent="0.25">
      <c r="A6785">
        <v>2025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  <c r="M6785" t="str">
        <f t="shared" si="420"/>
        <v>30-45</v>
      </c>
      <c r="N6785" t="str">
        <f t="shared" si="421"/>
        <v>Medium</v>
      </c>
      <c r="O6785" t="str">
        <f t="shared" si="422"/>
        <v>Zero Balance</v>
      </c>
      <c r="P6785" t="str">
        <f t="shared" si="423"/>
        <v>Mid-term</v>
      </c>
    </row>
    <row r="6786" spans="1:16" x14ac:dyDescent="0.25">
      <c r="A6786">
        <v>2025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  <c r="M6786" t="str">
        <f t="shared" si="420"/>
        <v>30-45</v>
      </c>
      <c r="N6786" t="str">
        <f t="shared" si="421"/>
        <v>High</v>
      </c>
      <c r="O6786" t="str">
        <f t="shared" si="422"/>
        <v>High Balance</v>
      </c>
      <c r="P6786" t="str">
        <f t="shared" si="423"/>
        <v>Long-term</v>
      </c>
    </row>
    <row r="6787" spans="1:16" x14ac:dyDescent="0.25">
      <c r="A6787">
        <v>2025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  <c r="M6787" t="str">
        <f t="shared" ref="M6787:M6850" si="424">IF(E6787&lt;30,"&lt;30",IF(E6787&lt;=45,"30-45",IF(E6787&lt;=60,"46-60","60+")))</f>
        <v>30-45</v>
      </c>
      <c r="N6787" t="str">
        <f t="shared" ref="N6787:N6850" si="425">IF(B6787&lt;500,"Low",IF(B6787&lt;700,"Medium","High"))</f>
        <v>Medium</v>
      </c>
      <c r="O6787" t="str">
        <f t="shared" ref="O6787:O6850" si="426">IF(G6787=0,"Zero Balance",IF(G6787&lt;100000,"Low Balance","High Balance"))</f>
        <v>High Balance</v>
      </c>
      <c r="P6787" t="str">
        <f t="shared" ref="P6787:P6850" si="427">IF(F6787&lt;=3,"New",IF(F6787&lt;=7,"Mid-term","Long-term"))</f>
        <v>Mid-term</v>
      </c>
    </row>
    <row r="6788" spans="1:16" x14ac:dyDescent="0.25">
      <c r="A6788">
        <v>2025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  <c r="M6788" t="str">
        <f t="shared" si="424"/>
        <v>30-45</v>
      </c>
      <c r="N6788" t="str">
        <f t="shared" si="425"/>
        <v>High</v>
      </c>
      <c r="O6788" t="str">
        <f t="shared" si="426"/>
        <v>Zero Balance</v>
      </c>
      <c r="P6788" t="str">
        <f t="shared" si="427"/>
        <v>New</v>
      </c>
    </row>
    <row r="6789" spans="1:16" x14ac:dyDescent="0.25">
      <c r="A6789">
        <v>2025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  <c r="M6789" t="str">
        <f t="shared" si="424"/>
        <v>30-45</v>
      </c>
      <c r="N6789" t="str">
        <f t="shared" si="425"/>
        <v>Medium</v>
      </c>
      <c r="O6789" t="str">
        <f t="shared" si="426"/>
        <v>Zero Balance</v>
      </c>
      <c r="P6789" t="str">
        <f t="shared" si="427"/>
        <v>Long-term</v>
      </c>
    </row>
    <row r="6790" spans="1:16" x14ac:dyDescent="0.25">
      <c r="A6790">
        <v>2025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  <c r="M6790" t="str">
        <f t="shared" si="424"/>
        <v>30-45</v>
      </c>
      <c r="N6790" t="str">
        <f t="shared" si="425"/>
        <v>High</v>
      </c>
      <c r="O6790" t="str">
        <f t="shared" si="426"/>
        <v>High Balance</v>
      </c>
      <c r="P6790" t="str">
        <f t="shared" si="427"/>
        <v>Mid-term</v>
      </c>
    </row>
    <row r="6791" spans="1:16" x14ac:dyDescent="0.25">
      <c r="A6791">
        <v>2025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  <c r="M6791" t="str">
        <f t="shared" si="424"/>
        <v>46-60</v>
      </c>
      <c r="N6791" t="str">
        <f t="shared" si="425"/>
        <v>Medium</v>
      </c>
      <c r="O6791" t="str">
        <f t="shared" si="426"/>
        <v>Zero Balance</v>
      </c>
      <c r="P6791" t="str">
        <f t="shared" si="427"/>
        <v>New</v>
      </c>
    </row>
    <row r="6792" spans="1:16" x14ac:dyDescent="0.25">
      <c r="A6792">
        <v>2025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  <c r="M6792" t="str">
        <f t="shared" si="424"/>
        <v>30-45</v>
      </c>
      <c r="N6792" t="str">
        <f t="shared" si="425"/>
        <v>Low</v>
      </c>
      <c r="O6792" t="str">
        <f t="shared" si="426"/>
        <v>High Balance</v>
      </c>
      <c r="P6792" t="str">
        <f t="shared" si="427"/>
        <v>Mid-term</v>
      </c>
    </row>
    <row r="6793" spans="1:16" x14ac:dyDescent="0.25">
      <c r="A6793">
        <v>2025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  <c r="M6793" t="str">
        <f t="shared" si="424"/>
        <v>30-45</v>
      </c>
      <c r="N6793" t="str">
        <f t="shared" si="425"/>
        <v>Medium</v>
      </c>
      <c r="O6793" t="str">
        <f t="shared" si="426"/>
        <v>Low Balance</v>
      </c>
      <c r="P6793" t="str">
        <f t="shared" si="427"/>
        <v>Mid-term</v>
      </c>
    </row>
    <row r="6794" spans="1:16" x14ac:dyDescent="0.25">
      <c r="A6794">
        <v>2025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  <c r="M6794" t="str">
        <f t="shared" si="424"/>
        <v>30-45</v>
      </c>
      <c r="N6794" t="str">
        <f t="shared" si="425"/>
        <v>Medium</v>
      </c>
      <c r="O6794" t="str">
        <f t="shared" si="426"/>
        <v>High Balance</v>
      </c>
      <c r="P6794" t="str">
        <f t="shared" si="427"/>
        <v>New</v>
      </c>
    </row>
    <row r="6795" spans="1:16" x14ac:dyDescent="0.25">
      <c r="A6795">
        <v>2025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  <c r="M6795" t="str">
        <f t="shared" si="424"/>
        <v>46-60</v>
      </c>
      <c r="N6795" t="str">
        <f t="shared" si="425"/>
        <v>Medium</v>
      </c>
      <c r="O6795" t="str">
        <f t="shared" si="426"/>
        <v>High Balance</v>
      </c>
      <c r="P6795" t="str">
        <f t="shared" si="427"/>
        <v>Mid-term</v>
      </c>
    </row>
    <row r="6796" spans="1:16" x14ac:dyDescent="0.25">
      <c r="A6796">
        <v>2025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  <c r="M6796" t="str">
        <f t="shared" si="424"/>
        <v>46-60</v>
      </c>
      <c r="N6796" t="str">
        <f t="shared" si="425"/>
        <v>Medium</v>
      </c>
      <c r="O6796" t="str">
        <f t="shared" si="426"/>
        <v>Low Balance</v>
      </c>
      <c r="P6796" t="str">
        <f t="shared" si="427"/>
        <v>Long-term</v>
      </c>
    </row>
    <row r="6797" spans="1:16" x14ac:dyDescent="0.25">
      <c r="A6797">
        <v>2025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  <c r="M6797" t="str">
        <f t="shared" si="424"/>
        <v>46-60</v>
      </c>
      <c r="N6797" t="str">
        <f t="shared" si="425"/>
        <v>Medium</v>
      </c>
      <c r="O6797" t="str">
        <f t="shared" si="426"/>
        <v>High Balance</v>
      </c>
      <c r="P6797" t="str">
        <f t="shared" si="427"/>
        <v>Mid-term</v>
      </c>
    </row>
    <row r="6798" spans="1:16" x14ac:dyDescent="0.25">
      <c r="A6798">
        <v>2025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  <c r="M6798" t="str">
        <f t="shared" si="424"/>
        <v>&lt;30</v>
      </c>
      <c r="N6798" t="str">
        <f t="shared" si="425"/>
        <v>Medium</v>
      </c>
      <c r="O6798" t="str">
        <f t="shared" si="426"/>
        <v>Zero Balance</v>
      </c>
      <c r="P6798" t="str">
        <f t="shared" si="427"/>
        <v>Long-term</v>
      </c>
    </row>
    <row r="6799" spans="1:16" x14ac:dyDescent="0.25">
      <c r="A6799">
        <v>2025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  <c r="M6799" t="str">
        <f t="shared" si="424"/>
        <v>46-60</v>
      </c>
      <c r="N6799" t="str">
        <f t="shared" si="425"/>
        <v>Medium</v>
      </c>
      <c r="O6799" t="str">
        <f t="shared" si="426"/>
        <v>High Balance</v>
      </c>
      <c r="P6799" t="str">
        <f t="shared" si="427"/>
        <v>New</v>
      </c>
    </row>
    <row r="6800" spans="1:16" x14ac:dyDescent="0.25">
      <c r="A6800">
        <v>2025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  <c r="M6800" t="str">
        <f t="shared" si="424"/>
        <v>46-60</v>
      </c>
      <c r="N6800" t="str">
        <f t="shared" si="425"/>
        <v>High</v>
      </c>
      <c r="O6800" t="str">
        <f t="shared" si="426"/>
        <v>Low Balance</v>
      </c>
      <c r="P6800" t="str">
        <f t="shared" si="427"/>
        <v>Mid-term</v>
      </c>
    </row>
    <row r="6801" spans="1:16" x14ac:dyDescent="0.25">
      <c r="A6801">
        <v>2025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  <c r="M6801" t="str">
        <f t="shared" si="424"/>
        <v>30-45</v>
      </c>
      <c r="N6801" t="str">
        <f t="shared" si="425"/>
        <v>High</v>
      </c>
      <c r="O6801" t="str">
        <f t="shared" si="426"/>
        <v>High Balance</v>
      </c>
      <c r="P6801" t="str">
        <f t="shared" si="427"/>
        <v>Mid-term</v>
      </c>
    </row>
    <row r="6802" spans="1:16" x14ac:dyDescent="0.25">
      <c r="A6802">
        <v>2025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  <c r="M6802" t="str">
        <f t="shared" si="424"/>
        <v>30-45</v>
      </c>
      <c r="N6802" t="str">
        <f t="shared" si="425"/>
        <v>High</v>
      </c>
      <c r="O6802" t="str">
        <f t="shared" si="426"/>
        <v>Zero Balance</v>
      </c>
      <c r="P6802" t="str">
        <f t="shared" si="427"/>
        <v>Long-term</v>
      </c>
    </row>
    <row r="6803" spans="1:16" x14ac:dyDescent="0.25">
      <c r="A6803">
        <v>2025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  <c r="M6803" t="str">
        <f t="shared" si="424"/>
        <v>30-45</v>
      </c>
      <c r="N6803" t="str">
        <f t="shared" si="425"/>
        <v>Medium</v>
      </c>
      <c r="O6803" t="str">
        <f t="shared" si="426"/>
        <v>Zero Balance</v>
      </c>
      <c r="P6803" t="str">
        <f t="shared" si="427"/>
        <v>Long-term</v>
      </c>
    </row>
    <row r="6804" spans="1:16" x14ac:dyDescent="0.25">
      <c r="A6804">
        <v>2025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  <c r="M6804" t="str">
        <f t="shared" si="424"/>
        <v>30-45</v>
      </c>
      <c r="N6804" t="str">
        <f t="shared" si="425"/>
        <v>Medium</v>
      </c>
      <c r="O6804" t="str">
        <f t="shared" si="426"/>
        <v>Zero Balance</v>
      </c>
      <c r="P6804" t="str">
        <f t="shared" si="427"/>
        <v>Long-term</v>
      </c>
    </row>
    <row r="6805" spans="1:16" x14ac:dyDescent="0.25">
      <c r="A6805">
        <v>2025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  <c r="M6805" t="str">
        <f t="shared" si="424"/>
        <v>30-45</v>
      </c>
      <c r="N6805" t="str">
        <f t="shared" si="425"/>
        <v>Medium</v>
      </c>
      <c r="O6805" t="str">
        <f t="shared" si="426"/>
        <v>Zero Balance</v>
      </c>
      <c r="P6805" t="str">
        <f t="shared" si="427"/>
        <v>Mid-term</v>
      </c>
    </row>
    <row r="6806" spans="1:16" x14ac:dyDescent="0.25">
      <c r="A6806">
        <v>2025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  <c r="M6806" t="str">
        <f t="shared" si="424"/>
        <v>30-45</v>
      </c>
      <c r="N6806" t="str">
        <f t="shared" si="425"/>
        <v>Medium</v>
      </c>
      <c r="O6806" t="str">
        <f t="shared" si="426"/>
        <v>Zero Balance</v>
      </c>
      <c r="P6806" t="str">
        <f t="shared" si="427"/>
        <v>Mid-term</v>
      </c>
    </row>
    <row r="6807" spans="1:16" x14ac:dyDescent="0.25">
      <c r="A6807">
        <v>2025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  <c r="M6807" t="str">
        <f t="shared" si="424"/>
        <v>30-45</v>
      </c>
      <c r="N6807" t="str">
        <f t="shared" si="425"/>
        <v>Medium</v>
      </c>
      <c r="O6807" t="str">
        <f t="shared" si="426"/>
        <v>Zero Balance</v>
      </c>
      <c r="P6807" t="str">
        <f t="shared" si="427"/>
        <v>New</v>
      </c>
    </row>
    <row r="6808" spans="1:16" x14ac:dyDescent="0.25">
      <c r="A6808">
        <v>2025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  <c r="M6808" t="str">
        <f t="shared" si="424"/>
        <v>30-45</v>
      </c>
      <c r="N6808" t="str">
        <f t="shared" si="425"/>
        <v>Low</v>
      </c>
      <c r="O6808" t="str">
        <f t="shared" si="426"/>
        <v>Low Balance</v>
      </c>
      <c r="P6808" t="str">
        <f t="shared" si="427"/>
        <v>New</v>
      </c>
    </row>
    <row r="6809" spans="1:16" x14ac:dyDescent="0.25">
      <c r="A6809">
        <v>2025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  <c r="M6809" t="str">
        <f t="shared" si="424"/>
        <v>30-45</v>
      </c>
      <c r="N6809" t="str">
        <f t="shared" si="425"/>
        <v>Medium</v>
      </c>
      <c r="O6809" t="str">
        <f t="shared" si="426"/>
        <v>Zero Balance</v>
      </c>
      <c r="P6809" t="str">
        <f t="shared" si="427"/>
        <v>Mid-term</v>
      </c>
    </row>
    <row r="6810" spans="1:16" x14ac:dyDescent="0.25">
      <c r="A6810">
        <v>2025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  <c r="M6810" t="str">
        <f t="shared" si="424"/>
        <v>30-45</v>
      </c>
      <c r="N6810" t="str">
        <f t="shared" si="425"/>
        <v>High</v>
      </c>
      <c r="O6810" t="str">
        <f t="shared" si="426"/>
        <v>High Balance</v>
      </c>
      <c r="P6810" t="str">
        <f t="shared" si="427"/>
        <v>Long-term</v>
      </c>
    </row>
    <row r="6811" spans="1:16" x14ac:dyDescent="0.25">
      <c r="A6811">
        <v>2025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  <c r="M6811" t="str">
        <f t="shared" si="424"/>
        <v>&lt;30</v>
      </c>
      <c r="N6811" t="str">
        <f t="shared" si="425"/>
        <v>Medium</v>
      </c>
      <c r="O6811" t="str">
        <f t="shared" si="426"/>
        <v>Low Balance</v>
      </c>
      <c r="P6811" t="str">
        <f t="shared" si="427"/>
        <v>Mid-term</v>
      </c>
    </row>
    <row r="6812" spans="1:16" x14ac:dyDescent="0.25">
      <c r="A6812">
        <v>2025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  <c r="M6812" t="str">
        <f t="shared" si="424"/>
        <v>30-45</v>
      </c>
      <c r="N6812" t="str">
        <f t="shared" si="425"/>
        <v>Medium</v>
      </c>
      <c r="O6812" t="str">
        <f t="shared" si="426"/>
        <v>Low Balance</v>
      </c>
      <c r="P6812" t="str">
        <f t="shared" si="427"/>
        <v>Long-term</v>
      </c>
    </row>
    <row r="6813" spans="1:16" x14ac:dyDescent="0.25">
      <c r="A6813">
        <v>2025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  <c r="M6813" t="str">
        <f t="shared" si="424"/>
        <v>30-45</v>
      </c>
      <c r="N6813" t="str">
        <f t="shared" si="425"/>
        <v>High</v>
      </c>
      <c r="O6813" t="str">
        <f t="shared" si="426"/>
        <v>Zero Balance</v>
      </c>
      <c r="P6813" t="str">
        <f t="shared" si="427"/>
        <v>Mid-term</v>
      </c>
    </row>
    <row r="6814" spans="1:16" x14ac:dyDescent="0.25">
      <c r="A6814">
        <v>2025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  <c r="M6814" t="str">
        <f t="shared" si="424"/>
        <v>60+</v>
      </c>
      <c r="N6814" t="str">
        <f t="shared" si="425"/>
        <v>Medium</v>
      </c>
      <c r="O6814" t="str">
        <f t="shared" si="426"/>
        <v>High Balance</v>
      </c>
      <c r="P6814" t="str">
        <f t="shared" si="427"/>
        <v>New</v>
      </c>
    </row>
    <row r="6815" spans="1:16" x14ac:dyDescent="0.25">
      <c r="A6815">
        <v>2025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  <c r="M6815" t="str">
        <f t="shared" si="424"/>
        <v>30-45</v>
      </c>
      <c r="N6815" t="str">
        <f t="shared" si="425"/>
        <v>Low</v>
      </c>
      <c r="O6815" t="str">
        <f t="shared" si="426"/>
        <v>High Balance</v>
      </c>
      <c r="P6815" t="str">
        <f t="shared" si="427"/>
        <v>New</v>
      </c>
    </row>
    <row r="6816" spans="1:16" x14ac:dyDescent="0.25">
      <c r="A6816">
        <v>2025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  <c r="M6816" t="str">
        <f t="shared" si="424"/>
        <v>&lt;30</v>
      </c>
      <c r="N6816" t="str">
        <f t="shared" si="425"/>
        <v>Low</v>
      </c>
      <c r="O6816" t="str">
        <f t="shared" si="426"/>
        <v>Zero Balance</v>
      </c>
      <c r="P6816" t="str">
        <f t="shared" si="427"/>
        <v>Mid-term</v>
      </c>
    </row>
    <row r="6817" spans="1:16" x14ac:dyDescent="0.25">
      <c r="A6817">
        <v>2025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  <c r="M6817" t="str">
        <f t="shared" si="424"/>
        <v>30-45</v>
      </c>
      <c r="N6817" t="str">
        <f t="shared" si="425"/>
        <v>Medium</v>
      </c>
      <c r="O6817" t="str">
        <f t="shared" si="426"/>
        <v>Low Balance</v>
      </c>
      <c r="P6817" t="str">
        <f t="shared" si="427"/>
        <v>New</v>
      </c>
    </row>
    <row r="6818" spans="1:16" x14ac:dyDescent="0.25">
      <c r="A6818">
        <v>2025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  <c r="M6818" t="str">
        <f t="shared" si="424"/>
        <v>46-60</v>
      </c>
      <c r="N6818" t="str">
        <f t="shared" si="425"/>
        <v>Medium</v>
      </c>
      <c r="O6818" t="str">
        <f t="shared" si="426"/>
        <v>High Balance</v>
      </c>
      <c r="P6818" t="str">
        <f t="shared" si="427"/>
        <v>Mid-term</v>
      </c>
    </row>
    <row r="6819" spans="1:16" x14ac:dyDescent="0.25">
      <c r="A6819">
        <v>2025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  <c r="M6819" t="str">
        <f t="shared" si="424"/>
        <v>46-60</v>
      </c>
      <c r="N6819" t="str">
        <f t="shared" si="425"/>
        <v>Medium</v>
      </c>
      <c r="O6819" t="str">
        <f t="shared" si="426"/>
        <v>High Balance</v>
      </c>
      <c r="P6819" t="str">
        <f t="shared" si="427"/>
        <v>Long-term</v>
      </c>
    </row>
    <row r="6820" spans="1:16" x14ac:dyDescent="0.25">
      <c r="A6820">
        <v>2025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  <c r="M6820" t="str">
        <f t="shared" si="424"/>
        <v>30-45</v>
      </c>
      <c r="N6820" t="str">
        <f t="shared" si="425"/>
        <v>Medium</v>
      </c>
      <c r="O6820" t="str">
        <f t="shared" si="426"/>
        <v>Low Balance</v>
      </c>
      <c r="P6820" t="str">
        <f t="shared" si="427"/>
        <v>New</v>
      </c>
    </row>
    <row r="6821" spans="1:16" x14ac:dyDescent="0.25">
      <c r="A6821">
        <v>2025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  <c r="M6821" t="str">
        <f t="shared" si="424"/>
        <v>30-45</v>
      </c>
      <c r="N6821" t="str">
        <f t="shared" si="425"/>
        <v>Medium</v>
      </c>
      <c r="O6821" t="str">
        <f t="shared" si="426"/>
        <v>Zero Balance</v>
      </c>
      <c r="P6821" t="str">
        <f t="shared" si="427"/>
        <v>Mid-term</v>
      </c>
    </row>
    <row r="6822" spans="1:16" x14ac:dyDescent="0.25">
      <c r="A6822">
        <v>2025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  <c r="M6822" t="str">
        <f t="shared" si="424"/>
        <v>&lt;30</v>
      </c>
      <c r="N6822" t="str">
        <f t="shared" si="425"/>
        <v>Medium</v>
      </c>
      <c r="O6822" t="str">
        <f t="shared" si="426"/>
        <v>High Balance</v>
      </c>
      <c r="P6822" t="str">
        <f t="shared" si="427"/>
        <v>New</v>
      </c>
    </row>
    <row r="6823" spans="1:16" x14ac:dyDescent="0.25">
      <c r="A6823">
        <v>2025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  <c r="M6823" t="str">
        <f t="shared" si="424"/>
        <v>30-45</v>
      </c>
      <c r="N6823" t="str">
        <f t="shared" si="425"/>
        <v>High</v>
      </c>
      <c r="O6823" t="str">
        <f t="shared" si="426"/>
        <v>High Balance</v>
      </c>
      <c r="P6823" t="str">
        <f t="shared" si="427"/>
        <v>Mid-term</v>
      </c>
    </row>
    <row r="6824" spans="1:16" x14ac:dyDescent="0.25">
      <c r="A6824">
        <v>2025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  <c r="M6824" t="str">
        <f t="shared" si="424"/>
        <v>46-60</v>
      </c>
      <c r="N6824" t="str">
        <f t="shared" si="425"/>
        <v>Medium</v>
      </c>
      <c r="O6824" t="str">
        <f t="shared" si="426"/>
        <v>Low Balance</v>
      </c>
      <c r="P6824" t="str">
        <f t="shared" si="427"/>
        <v>New</v>
      </c>
    </row>
    <row r="6825" spans="1:16" x14ac:dyDescent="0.25">
      <c r="A6825">
        <v>2025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  <c r="M6825" t="str">
        <f t="shared" si="424"/>
        <v>&lt;30</v>
      </c>
      <c r="N6825" t="str">
        <f t="shared" si="425"/>
        <v>Medium</v>
      </c>
      <c r="O6825" t="str">
        <f t="shared" si="426"/>
        <v>High Balance</v>
      </c>
      <c r="P6825" t="str">
        <f t="shared" si="427"/>
        <v>Long-term</v>
      </c>
    </row>
    <row r="6826" spans="1:16" x14ac:dyDescent="0.25">
      <c r="A6826">
        <v>2025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  <c r="M6826" t="str">
        <f t="shared" si="424"/>
        <v>30-45</v>
      </c>
      <c r="N6826" t="str">
        <f t="shared" si="425"/>
        <v>Medium</v>
      </c>
      <c r="O6826" t="str">
        <f t="shared" si="426"/>
        <v>Zero Balance</v>
      </c>
      <c r="P6826" t="str">
        <f t="shared" si="427"/>
        <v>Long-term</v>
      </c>
    </row>
    <row r="6827" spans="1:16" x14ac:dyDescent="0.25">
      <c r="A6827">
        <v>2025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  <c r="M6827" t="str">
        <f t="shared" si="424"/>
        <v>30-45</v>
      </c>
      <c r="N6827" t="str">
        <f t="shared" si="425"/>
        <v>Medium</v>
      </c>
      <c r="O6827" t="str">
        <f t="shared" si="426"/>
        <v>Zero Balance</v>
      </c>
      <c r="P6827" t="str">
        <f t="shared" si="427"/>
        <v>New</v>
      </c>
    </row>
    <row r="6828" spans="1:16" x14ac:dyDescent="0.25">
      <c r="A6828">
        <v>2025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  <c r="M6828" t="str">
        <f t="shared" si="424"/>
        <v>46-60</v>
      </c>
      <c r="N6828" t="str">
        <f t="shared" si="425"/>
        <v>Medium</v>
      </c>
      <c r="O6828" t="str">
        <f t="shared" si="426"/>
        <v>Zero Balance</v>
      </c>
      <c r="P6828" t="str">
        <f t="shared" si="427"/>
        <v>New</v>
      </c>
    </row>
    <row r="6829" spans="1:16" x14ac:dyDescent="0.25">
      <c r="A6829">
        <v>2025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  <c r="M6829" t="str">
        <f t="shared" si="424"/>
        <v>46-60</v>
      </c>
      <c r="N6829" t="str">
        <f t="shared" si="425"/>
        <v>High</v>
      </c>
      <c r="O6829" t="str">
        <f t="shared" si="426"/>
        <v>Zero Balance</v>
      </c>
      <c r="P6829" t="str">
        <f t="shared" si="427"/>
        <v>Long-term</v>
      </c>
    </row>
    <row r="6830" spans="1:16" x14ac:dyDescent="0.25">
      <c r="A6830">
        <v>2025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  <c r="M6830" t="str">
        <f t="shared" si="424"/>
        <v>30-45</v>
      </c>
      <c r="N6830" t="str">
        <f t="shared" si="425"/>
        <v>High</v>
      </c>
      <c r="O6830" t="str">
        <f t="shared" si="426"/>
        <v>High Balance</v>
      </c>
      <c r="P6830" t="str">
        <f t="shared" si="427"/>
        <v>Long-term</v>
      </c>
    </row>
    <row r="6831" spans="1:16" x14ac:dyDescent="0.25">
      <c r="A6831">
        <v>2025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  <c r="M6831" t="str">
        <f t="shared" si="424"/>
        <v>30-45</v>
      </c>
      <c r="N6831" t="str">
        <f t="shared" si="425"/>
        <v>High</v>
      </c>
      <c r="O6831" t="str">
        <f t="shared" si="426"/>
        <v>High Balance</v>
      </c>
      <c r="P6831" t="str">
        <f t="shared" si="427"/>
        <v>Long-term</v>
      </c>
    </row>
    <row r="6832" spans="1:16" x14ac:dyDescent="0.25">
      <c r="A6832">
        <v>2025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  <c r="M6832" t="str">
        <f t="shared" si="424"/>
        <v>30-45</v>
      </c>
      <c r="N6832" t="str">
        <f t="shared" si="425"/>
        <v>High</v>
      </c>
      <c r="O6832" t="str">
        <f t="shared" si="426"/>
        <v>High Balance</v>
      </c>
      <c r="P6832" t="str">
        <f t="shared" si="427"/>
        <v>Long-term</v>
      </c>
    </row>
    <row r="6833" spans="1:16" x14ac:dyDescent="0.25">
      <c r="A6833">
        <v>2025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  <c r="M6833" t="str">
        <f t="shared" si="424"/>
        <v>46-60</v>
      </c>
      <c r="N6833" t="str">
        <f t="shared" si="425"/>
        <v>Low</v>
      </c>
      <c r="O6833" t="str">
        <f t="shared" si="426"/>
        <v>High Balance</v>
      </c>
      <c r="P6833" t="str">
        <f t="shared" si="427"/>
        <v>Long-term</v>
      </c>
    </row>
    <row r="6834" spans="1:16" x14ac:dyDescent="0.25">
      <c r="A6834">
        <v>2025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  <c r="M6834" t="str">
        <f t="shared" si="424"/>
        <v>&lt;30</v>
      </c>
      <c r="N6834" t="str">
        <f t="shared" si="425"/>
        <v>Medium</v>
      </c>
      <c r="O6834" t="str">
        <f t="shared" si="426"/>
        <v>Low Balance</v>
      </c>
      <c r="P6834" t="str">
        <f t="shared" si="427"/>
        <v>New</v>
      </c>
    </row>
    <row r="6835" spans="1:16" x14ac:dyDescent="0.25">
      <c r="A6835">
        <v>2025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  <c r="M6835" t="str">
        <f t="shared" si="424"/>
        <v>30-45</v>
      </c>
      <c r="N6835" t="str">
        <f t="shared" si="425"/>
        <v>Medium</v>
      </c>
      <c r="O6835" t="str">
        <f t="shared" si="426"/>
        <v>Low Balance</v>
      </c>
      <c r="P6835" t="str">
        <f t="shared" si="427"/>
        <v>Long-term</v>
      </c>
    </row>
    <row r="6836" spans="1:16" x14ac:dyDescent="0.25">
      <c r="A6836">
        <v>2025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  <c r="M6836" t="str">
        <f t="shared" si="424"/>
        <v>46-60</v>
      </c>
      <c r="N6836" t="str">
        <f t="shared" si="425"/>
        <v>High</v>
      </c>
      <c r="O6836" t="str">
        <f t="shared" si="426"/>
        <v>High Balance</v>
      </c>
      <c r="P6836" t="str">
        <f t="shared" si="427"/>
        <v>Long-term</v>
      </c>
    </row>
    <row r="6837" spans="1:16" x14ac:dyDescent="0.25">
      <c r="A6837">
        <v>2025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  <c r="M6837" t="str">
        <f t="shared" si="424"/>
        <v>30-45</v>
      </c>
      <c r="N6837" t="str">
        <f t="shared" si="425"/>
        <v>High</v>
      </c>
      <c r="O6837" t="str">
        <f t="shared" si="426"/>
        <v>Zero Balance</v>
      </c>
      <c r="P6837" t="str">
        <f t="shared" si="427"/>
        <v>Mid-term</v>
      </c>
    </row>
    <row r="6838" spans="1:16" x14ac:dyDescent="0.25">
      <c r="A6838">
        <v>2025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  <c r="M6838" t="str">
        <f t="shared" si="424"/>
        <v>30-45</v>
      </c>
      <c r="N6838" t="str">
        <f t="shared" si="425"/>
        <v>High</v>
      </c>
      <c r="O6838" t="str">
        <f t="shared" si="426"/>
        <v>Zero Balance</v>
      </c>
      <c r="P6838" t="str">
        <f t="shared" si="427"/>
        <v>Mid-term</v>
      </c>
    </row>
    <row r="6839" spans="1:16" x14ac:dyDescent="0.25">
      <c r="A6839">
        <v>2025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  <c r="M6839" t="str">
        <f t="shared" si="424"/>
        <v>30-45</v>
      </c>
      <c r="N6839" t="str">
        <f t="shared" si="425"/>
        <v>Medium</v>
      </c>
      <c r="O6839" t="str">
        <f t="shared" si="426"/>
        <v>Zero Balance</v>
      </c>
      <c r="P6839" t="str">
        <f t="shared" si="427"/>
        <v>Long-term</v>
      </c>
    </row>
    <row r="6840" spans="1:16" x14ac:dyDescent="0.25">
      <c r="A6840">
        <v>2025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  <c r="M6840" t="str">
        <f t="shared" si="424"/>
        <v>&lt;30</v>
      </c>
      <c r="N6840" t="str">
        <f t="shared" si="425"/>
        <v>High</v>
      </c>
      <c r="O6840" t="str">
        <f t="shared" si="426"/>
        <v>Zero Balance</v>
      </c>
      <c r="P6840" t="str">
        <f t="shared" si="427"/>
        <v>Mid-term</v>
      </c>
    </row>
    <row r="6841" spans="1:16" x14ac:dyDescent="0.25">
      <c r="A6841">
        <v>2025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  <c r="M6841" t="str">
        <f t="shared" si="424"/>
        <v>30-45</v>
      </c>
      <c r="N6841" t="str">
        <f t="shared" si="425"/>
        <v>High</v>
      </c>
      <c r="O6841" t="str">
        <f t="shared" si="426"/>
        <v>Low Balance</v>
      </c>
      <c r="P6841" t="str">
        <f t="shared" si="427"/>
        <v>Mid-term</v>
      </c>
    </row>
    <row r="6842" spans="1:16" x14ac:dyDescent="0.25">
      <c r="A6842">
        <v>2025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  <c r="M6842" t="str">
        <f t="shared" si="424"/>
        <v>30-45</v>
      </c>
      <c r="N6842" t="str">
        <f t="shared" si="425"/>
        <v>Medium</v>
      </c>
      <c r="O6842" t="str">
        <f t="shared" si="426"/>
        <v>Low Balance</v>
      </c>
      <c r="P6842" t="str">
        <f t="shared" si="427"/>
        <v>Mid-term</v>
      </c>
    </row>
    <row r="6843" spans="1:16" x14ac:dyDescent="0.25">
      <c r="A6843">
        <v>2025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  <c r="M6843" t="str">
        <f t="shared" si="424"/>
        <v>&lt;30</v>
      </c>
      <c r="N6843" t="str">
        <f t="shared" si="425"/>
        <v>High</v>
      </c>
      <c r="O6843" t="str">
        <f t="shared" si="426"/>
        <v>High Balance</v>
      </c>
      <c r="P6843" t="str">
        <f t="shared" si="427"/>
        <v>New</v>
      </c>
    </row>
    <row r="6844" spans="1:16" x14ac:dyDescent="0.25">
      <c r="A6844">
        <v>2025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  <c r="M6844" t="str">
        <f t="shared" si="424"/>
        <v>30-45</v>
      </c>
      <c r="N6844" t="str">
        <f t="shared" si="425"/>
        <v>Medium</v>
      </c>
      <c r="O6844" t="str">
        <f t="shared" si="426"/>
        <v>High Balance</v>
      </c>
      <c r="P6844" t="str">
        <f t="shared" si="427"/>
        <v>New</v>
      </c>
    </row>
    <row r="6845" spans="1:16" x14ac:dyDescent="0.25">
      <c r="A6845">
        <v>2025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  <c r="M6845" t="str">
        <f t="shared" si="424"/>
        <v>30-45</v>
      </c>
      <c r="N6845" t="str">
        <f t="shared" si="425"/>
        <v>High</v>
      </c>
      <c r="O6845" t="str">
        <f t="shared" si="426"/>
        <v>High Balance</v>
      </c>
      <c r="P6845" t="str">
        <f t="shared" si="427"/>
        <v>New</v>
      </c>
    </row>
    <row r="6846" spans="1:16" x14ac:dyDescent="0.25">
      <c r="A6846">
        <v>2025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  <c r="M6846" t="str">
        <f t="shared" si="424"/>
        <v>30-45</v>
      </c>
      <c r="N6846" t="str">
        <f t="shared" si="425"/>
        <v>Medium</v>
      </c>
      <c r="O6846" t="str">
        <f t="shared" si="426"/>
        <v>High Balance</v>
      </c>
      <c r="P6846" t="str">
        <f t="shared" si="427"/>
        <v>Long-term</v>
      </c>
    </row>
    <row r="6847" spans="1:16" x14ac:dyDescent="0.25">
      <c r="A6847">
        <v>2025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  <c r="M6847" t="str">
        <f t="shared" si="424"/>
        <v>&lt;30</v>
      </c>
      <c r="N6847" t="str">
        <f t="shared" si="425"/>
        <v>Low</v>
      </c>
      <c r="O6847" t="str">
        <f t="shared" si="426"/>
        <v>High Balance</v>
      </c>
      <c r="P6847" t="str">
        <f t="shared" si="427"/>
        <v>Mid-term</v>
      </c>
    </row>
    <row r="6848" spans="1:16" x14ac:dyDescent="0.25">
      <c r="A6848">
        <v>2025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  <c r="M6848" t="str">
        <f t="shared" si="424"/>
        <v>30-45</v>
      </c>
      <c r="N6848" t="str">
        <f t="shared" si="425"/>
        <v>Medium</v>
      </c>
      <c r="O6848" t="str">
        <f t="shared" si="426"/>
        <v>High Balance</v>
      </c>
      <c r="P6848" t="str">
        <f t="shared" si="427"/>
        <v>Mid-term</v>
      </c>
    </row>
    <row r="6849" spans="1:16" x14ac:dyDescent="0.25">
      <c r="A6849">
        <v>2025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  <c r="M6849" t="str">
        <f t="shared" si="424"/>
        <v>30-45</v>
      </c>
      <c r="N6849" t="str">
        <f t="shared" si="425"/>
        <v>Medium</v>
      </c>
      <c r="O6849" t="str">
        <f t="shared" si="426"/>
        <v>Zero Balance</v>
      </c>
      <c r="P6849" t="str">
        <f t="shared" si="427"/>
        <v>New</v>
      </c>
    </row>
    <row r="6850" spans="1:16" x14ac:dyDescent="0.25">
      <c r="A6850">
        <v>2025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  <c r="M6850" t="str">
        <f t="shared" si="424"/>
        <v>30-45</v>
      </c>
      <c r="N6850" t="str">
        <f t="shared" si="425"/>
        <v>Medium</v>
      </c>
      <c r="O6850" t="str">
        <f t="shared" si="426"/>
        <v>Low Balance</v>
      </c>
      <c r="P6850" t="str">
        <f t="shared" si="427"/>
        <v>New</v>
      </c>
    </row>
    <row r="6851" spans="1:16" x14ac:dyDescent="0.25">
      <c r="A6851">
        <v>2025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  <c r="M6851" t="str">
        <f t="shared" ref="M6851:M6914" si="428">IF(E6851&lt;30,"&lt;30",IF(E6851&lt;=45,"30-45",IF(E6851&lt;=60,"46-60","60+")))</f>
        <v>30-45</v>
      </c>
      <c r="N6851" t="str">
        <f t="shared" ref="N6851:N6914" si="429">IF(B6851&lt;500,"Low",IF(B6851&lt;700,"Medium","High"))</f>
        <v>High</v>
      </c>
      <c r="O6851" t="str">
        <f t="shared" ref="O6851:O6914" si="430">IF(G6851=0,"Zero Balance",IF(G6851&lt;100000,"Low Balance","High Balance"))</f>
        <v>Zero Balance</v>
      </c>
      <c r="P6851" t="str">
        <f t="shared" ref="P6851:P6914" si="431">IF(F6851&lt;=3,"New",IF(F6851&lt;=7,"Mid-term","Long-term"))</f>
        <v>New</v>
      </c>
    </row>
    <row r="6852" spans="1:16" x14ac:dyDescent="0.25">
      <c r="A6852">
        <v>2025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  <c r="M6852" t="str">
        <f t="shared" si="428"/>
        <v>30-45</v>
      </c>
      <c r="N6852" t="str">
        <f t="shared" si="429"/>
        <v>Medium</v>
      </c>
      <c r="O6852" t="str">
        <f t="shared" si="430"/>
        <v>Low Balance</v>
      </c>
      <c r="P6852" t="str">
        <f t="shared" si="431"/>
        <v>New</v>
      </c>
    </row>
    <row r="6853" spans="1:16" x14ac:dyDescent="0.25">
      <c r="A6853">
        <v>2025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  <c r="M6853" t="str">
        <f t="shared" si="428"/>
        <v>30-45</v>
      </c>
      <c r="N6853" t="str">
        <f t="shared" si="429"/>
        <v>Medium</v>
      </c>
      <c r="O6853" t="str">
        <f t="shared" si="430"/>
        <v>Low Balance</v>
      </c>
      <c r="P6853" t="str">
        <f t="shared" si="431"/>
        <v>Long-term</v>
      </c>
    </row>
    <row r="6854" spans="1:16" x14ac:dyDescent="0.25">
      <c r="A6854">
        <v>2025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  <c r="M6854" t="str">
        <f t="shared" si="428"/>
        <v>30-45</v>
      </c>
      <c r="N6854" t="str">
        <f t="shared" si="429"/>
        <v>Medium</v>
      </c>
      <c r="O6854" t="str">
        <f t="shared" si="430"/>
        <v>Zero Balance</v>
      </c>
      <c r="P6854" t="str">
        <f t="shared" si="431"/>
        <v>Mid-term</v>
      </c>
    </row>
    <row r="6855" spans="1:16" x14ac:dyDescent="0.25">
      <c r="A6855">
        <v>2025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  <c r="M6855" t="str">
        <f t="shared" si="428"/>
        <v>30-45</v>
      </c>
      <c r="N6855" t="str">
        <f t="shared" si="429"/>
        <v>Medium</v>
      </c>
      <c r="O6855" t="str">
        <f t="shared" si="430"/>
        <v>High Balance</v>
      </c>
      <c r="P6855" t="str">
        <f t="shared" si="431"/>
        <v>New</v>
      </c>
    </row>
    <row r="6856" spans="1:16" x14ac:dyDescent="0.25">
      <c r="A6856">
        <v>2025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  <c r="M6856" t="str">
        <f t="shared" si="428"/>
        <v>30-45</v>
      </c>
      <c r="N6856" t="str">
        <f t="shared" si="429"/>
        <v>High</v>
      </c>
      <c r="O6856" t="str">
        <f t="shared" si="430"/>
        <v>Zero Balance</v>
      </c>
      <c r="P6856" t="str">
        <f t="shared" si="431"/>
        <v>Mid-term</v>
      </c>
    </row>
    <row r="6857" spans="1:16" x14ac:dyDescent="0.25">
      <c r="A6857">
        <v>2025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  <c r="M6857" t="str">
        <f t="shared" si="428"/>
        <v>30-45</v>
      </c>
      <c r="N6857" t="str">
        <f t="shared" si="429"/>
        <v>Medium</v>
      </c>
      <c r="O6857" t="str">
        <f t="shared" si="430"/>
        <v>High Balance</v>
      </c>
      <c r="P6857" t="str">
        <f t="shared" si="431"/>
        <v>New</v>
      </c>
    </row>
    <row r="6858" spans="1:16" x14ac:dyDescent="0.25">
      <c r="A6858">
        <v>2025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  <c r="M6858" t="str">
        <f t="shared" si="428"/>
        <v>30-45</v>
      </c>
      <c r="N6858" t="str">
        <f t="shared" si="429"/>
        <v>Medium</v>
      </c>
      <c r="O6858" t="str">
        <f t="shared" si="430"/>
        <v>High Balance</v>
      </c>
      <c r="P6858" t="str">
        <f t="shared" si="431"/>
        <v>New</v>
      </c>
    </row>
    <row r="6859" spans="1:16" x14ac:dyDescent="0.25">
      <c r="A6859">
        <v>2025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  <c r="M6859" t="str">
        <f t="shared" si="428"/>
        <v>46-60</v>
      </c>
      <c r="N6859" t="str">
        <f t="shared" si="429"/>
        <v>Medium</v>
      </c>
      <c r="O6859" t="str">
        <f t="shared" si="430"/>
        <v>High Balance</v>
      </c>
      <c r="P6859" t="str">
        <f t="shared" si="431"/>
        <v>New</v>
      </c>
    </row>
    <row r="6860" spans="1:16" x14ac:dyDescent="0.25">
      <c r="A6860">
        <v>2025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  <c r="M6860" t="str">
        <f t="shared" si="428"/>
        <v>46-60</v>
      </c>
      <c r="N6860" t="str">
        <f t="shared" si="429"/>
        <v>Medium</v>
      </c>
      <c r="O6860" t="str">
        <f t="shared" si="430"/>
        <v>High Balance</v>
      </c>
      <c r="P6860" t="str">
        <f t="shared" si="431"/>
        <v>Mid-term</v>
      </c>
    </row>
    <row r="6861" spans="1:16" x14ac:dyDescent="0.25">
      <c r="A6861">
        <v>2025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  <c r="M6861" t="str">
        <f t="shared" si="428"/>
        <v>30-45</v>
      </c>
      <c r="N6861" t="str">
        <f t="shared" si="429"/>
        <v>High</v>
      </c>
      <c r="O6861" t="str">
        <f t="shared" si="430"/>
        <v>High Balance</v>
      </c>
      <c r="P6861" t="str">
        <f t="shared" si="431"/>
        <v>New</v>
      </c>
    </row>
    <row r="6862" spans="1:16" x14ac:dyDescent="0.25">
      <c r="A6862">
        <v>2025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  <c r="M6862" t="str">
        <f t="shared" si="428"/>
        <v>30-45</v>
      </c>
      <c r="N6862" t="str">
        <f t="shared" si="429"/>
        <v>High</v>
      </c>
      <c r="O6862" t="str">
        <f t="shared" si="430"/>
        <v>High Balance</v>
      </c>
      <c r="P6862" t="str">
        <f t="shared" si="431"/>
        <v>Mid-term</v>
      </c>
    </row>
    <row r="6863" spans="1:16" x14ac:dyDescent="0.25">
      <c r="A6863">
        <v>2025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  <c r="M6863" t="str">
        <f t="shared" si="428"/>
        <v>30-45</v>
      </c>
      <c r="N6863" t="str">
        <f t="shared" si="429"/>
        <v>Medium</v>
      </c>
      <c r="O6863" t="str">
        <f t="shared" si="430"/>
        <v>High Balance</v>
      </c>
      <c r="P6863" t="str">
        <f t="shared" si="431"/>
        <v>Mid-term</v>
      </c>
    </row>
    <row r="6864" spans="1:16" x14ac:dyDescent="0.25">
      <c r="A6864">
        <v>2025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  <c r="M6864" t="str">
        <f t="shared" si="428"/>
        <v>30-45</v>
      </c>
      <c r="N6864" t="str">
        <f t="shared" si="429"/>
        <v>Medium</v>
      </c>
      <c r="O6864" t="str">
        <f t="shared" si="430"/>
        <v>Zero Balance</v>
      </c>
      <c r="P6864" t="str">
        <f t="shared" si="431"/>
        <v>Long-term</v>
      </c>
    </row>
    <row r="6865" spans="1:16" x14ac:dyDescent="0.25">
      <c r="A6865">
        <v>2025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  <c r="M6865" t="str">
        <f t="shared" si="428"/>
        <v>&lt;30</v>
      </c>
      <c r="N6865" t="str">
        <f t="shared" si="429"/>
        <v>Medium</v>
      </c>
      <c r="O6865" t="str">
        <f t="shared" si="430"/>
        <v>High Balance</v>
      </c>
      <c r="P6865" t="str">
        <f t="shared" si="431"/>
        <v>Mid-term</v>
      </c>
    </row>
    <row r="6866" spans="1:16" x14ac:dyDescent="0.25">
      <c r="A6866">
        <v>2025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  <c r="M6866" t="str">
        <f t="shared" si="428"/>
        <v>46-60</v>
      </c>
      <c r="N6866" t="str">
        <f t="shared" si="429"/>
        <v>Medium</v>
      </c>
      <c r="O6866" t="str">
        <f t="shared" si="430"/>
        <v>High Balance</v>
      </c>
      <c r="P6866" t="str">
        <f t="shared" si="431"/>
        <v>New</v>
      </c>
    </row>
    <row r="6867" spans="1:16" x14ac:dyDescent="0.25">
      <c r="A6867">
        <v>2025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  <c r="M6867" t="str">
        <f t="shared" si="428"/>
        <v>&lt;30</v>
      </c>
      <c r="N6867" t="str">
        <f t="shared" si="429"/>
        <v>High</v>
      </c>
      <c r="O6867" t="str">
        <f t="shared" si="430"/>
        <v>Low Balance</v>
      </c>
      <c r="P6867" t="str">
        <f t="shared" si="431"/>
        <v>New</v>
      </c>
    </row>
    <row r="6868" spans="1:16" x14ac:dyDescent="0.25">
      <c r="A6868">
        <v>2025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  <c r="M6868" t="str">
        <f t="shared" si="428"/>
        <v>30-45</v>
      </c>
      <c r="N6868" t="str">
        <f t="shared" si="429"/>
        <v>Medium</v>
      </c>
      <c r="O6868" t="str">
        <f t="shared" si="430"/>
        <v>High Balance</v>
      </c>
      <c r="P6868" t="str">
        <f t="shared" si="431"/>
        <v>Long-term</v>
      </c>
    </row>
    <row r="6869" spans="1:16" x14ac:dyDescent="0.25">
      <c r="A6869">
        <v>2025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  <c r="M6869" t="str">
        <f t="shared" si="428"/>
        <v>30-45</v>
      </c>
      <c r="N6869" t="str">
        <f t="shared" si="429"/>
        <v>Medium</v>
      </c>
      <c r="O6869" t="str">
        <f t="shared" si="430"/>
        <v>High Balance</v>
      </c>
      <c r="P6869" t="str">
        <f t="shared" si="431"/>
        <v>New</v>
      </c>
    </row>
    <row r="6870" spans="1:16" x14ac:dyDescent="0.25">
      <c r="A6870">
        <v>2025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  <c r="M6870" t="str">
        <f t="shared" si="428"/>
        <v>30-45</v>
      </c>
      <c r="N6870" t="str">
        <f t="shared" si="429"/>
        <v>Low</v>
      </c>
      <c r="O6870" t="str">
        <f t="shared" si="430"/>
        <v>High Balance</v>
      </c>
      <c r="P6870" t="str">
        <f t="shared" si="431"/>
        <v>Mid-term</v>
      </c>
    </row>
    <row r="6871" spans="1:16" x14ac:dyDescent="0.25">
      <c r="A6871">
        <v>2025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  <c r="M6871" t="str">
        <f t="shared" si="428"/>
        <v>30-45</v>
      </c>
      <c r="N6871" t="str">
        <f t="shared" si="429"/>
        <v>Medium</v>
      </c>
      <c r="O6871" t="str">
        <f t="shared" si="430"/>
        <v>Zero Balance</v>
      </c>
      <c r="P6871" t="str">
        <f t="shared" si="431"/>
        <v>New</v>
      </c>
    </row>
    <row r="6872" spans="1:16" x14ac:dyDescent="0.25">
      <c r="A6872">
        <v>2025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  <c r="M6872" t="str">
        <f t="shared" si="428"/>
        <v>30-45</v>
      </c>
      <c r="N6872" t="str">
        <f t="shared" si="429"/>
        <v>High</v>
      </c>
      <c r="O6872" t="str">
        <f t="shared" si="430"/>
        <v>High Balance</v>
      </c>
      <c r="P6872" t="str">
        <f t="shared" si="431"/>
        <v>New</v>
      </c>
    </row>
    <row r="6873" spans="1:16" x14ac:dyDescent="0.25">
      <c r="A6873">
        <v>2025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  <c r="M6873" t="str">
        <f t="shared" si="428"/>
        <v>46-60</v>
      </c>
      <c r="N6873" t="str">
        <f t="shared" si="429"/>
        <v>Medium</v>
      </c>
      <c r="O6873" t="str">
        <f t="shared" si="430"/>
        <v>High Balance</v>
      </c>
      <c r="P6873" t="str">
        <f t="shared" si="431"/>
        <v>New</v>
      </c>
    </row>
    <row r="6874" spans="1:16" x14ac:dyDescent="0.25">
      <c r="A6874">
        <v>2025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  <c r="M6874" t="str">
        <f t="shared" si="428"/>
        <v>&lt;30</v>
      </c>
      <c r="N6874" t="str">
        <f t="shared" si="429"/>
        <v>High</v>
      </c>
      <c r="O6874" t="str">
        <f t="shared" si="430"/>
        <v>Low Balance</v>
      </c>
      <c r="P6874" t="str">
        <f t="shared" si="431"/>
        <v>Mid-term</v>
      </c>
    </row>
    <row r="6875" spans="1:16" x14ac:dyDescent="0.25">
      <c r="A6875">
        <v>2025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  <c r="M6875" t="str">
        <f t="shared" si="428"/>
        <v>30-45</v>
      </c>
      <c r="N6875" t="str">
        <f t="shared" si="429"/>
        <v>Medium</v>
      </c>
      <c r="O6875" t="str">
        <f t="shared" si="430"/>
        <v>Zero Balance</v>
      </c>
      <c r="P6875" t="str">
        <f t="shared" si="431"/>
        <v>Long-term</v>
      </c>
    </row>
    <row r="6876" spans="1:16" x14ac:dyDescent="0.25">
      <c r="A6876">
        <v>2025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  <c r="M6876" t="str">
        <f t="shared" si="428"/>
        <v>&lt;30</v>
      </c>
      <c r="N6876" t="str">
        <f t="shared" si="429"/>
        <v>High</v>
      </c>
      <c r="O6876" t="str">
        <f t="shared" si="430"/>
        <v>Zero Balance</v>
      </c>
      <c r="P6876" t="str">
        <f t="shared" si="431"/>
        <v>New</v>
      </c>
    </row>
    <row r="6877" spans="1:16" x14ac:dyDescent="0.25">
      <c r="A6877">
        <v>2025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  <c r="M6877" t="str">
        <f t="shared" si="428"/>
        <v>46-60</v>
      </c>
      <c r="N6877" t="str">
        <f t="shared" si="429"/>
        <v>Medium</v>
      </c>
      <c r="O6877" t="str">
        <f t="shared" si="430"/>
        <v>Low Balance</v>
      </c>
      <c r="P6877" t="str">
        <f t="shared" si="431"/>
        <v>Mid-term</v>
      </c>
    </row>
    <row r="6878" spans="1:16" x14ac:dyDescent="0.25">
      <c r="A6878">
        <v>2025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  <c r="M6878" t="str">
        <f t="shared" si="428"/>
        <v>30-45</v>
      </c>
      <c r="N6878" t="str">
        <f t="shared" si="429"/>
        <v>Medium</v>
      </c>
      <c r="O6878" t="str">
        <f t="shared" si="430"/>
        <v>Zero Balance</v>
      </c>
      <c r="P6878" t="str">
        <f t="shared" si="431"/>
        <v>Long-term</v>
      </c>
    </row>
    <row r="6879" spans="1:16" x14ac:dyDescent="0.25">
      <c r="A6879">
        <v>2025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  <c r="M6879" t="str">
        <f t="shared" si="428"/>
        <v>30-45</v>
      </c>
      <c r="N6879" t="str">
        <f t="shared" si="429"/>
        <v>Medium</v>
      </c>
      <c r="O6879" t="str">
        <f t="shared" si="430"/>
        <v>Zero Balance</v>
      </c>
      <c r="P6879" t="str">
        <f t="shared" si="431"/>
        <v>Long-term</v>
      </c>
    </row>
    <row r="6880" spans="1:16" x14ac:dyDescent="0.25">
      <c r="A6880">
        <v>2025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  <c r="M6880" t="str">
        <f t="shared" si="428"/>
        <v>30-45</v>
      </c>
      <c r="N6880" t="str">
        <f t="shared" si="429"/>
        <v>Medium</v>
      </c>
      <c r="O6880" t="str">
        <f t="shared" si="430"/>
        <v>High Balance</v>
      </c>
      <c r="P6880" t="str">
        <f t="shared" si="431"/>
        <v>New</v>
      </c>
    </row>
    <row r="6881" spans="1:16" x14ac:dyDescent="0.25">
      <c r="A6881">
        <v>2025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  <c r="M6881" t="str">
        <f t="shared" si="428"/>
        <v>&lt;30</v>
      </c>
      <c r="N6881" t="str">
        <f t="shared" si="429"/>
        <v>Medium</v>
      </c>
      <c r="O6881" t="str">
        <f t="shared" si="430"/>
        <v>Low Balance</v>
      </c>
      <c r="P6881" t="str">
        <f t="shared" si="431"/>
        <v>Mid-term</v>
      </c>
    </row>
    <row r="6882" spans="1:16" x14ac:dyDescent="0.25">
      <c r="A6882">
        <v>2025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  <c r="M6882" t="str">
        <f t="shared" si="428"/>
        <v>&lt;30</v>
      </c>
      <c r="N6882" t="str">
        <f t="shared" si="429"/>
        <v>Medium</v>
      </c>
      <c r="O6882" t="str">
        <f t="shared" si="430"/>
        <v>Zero Balance</v>
      </c>
      <c r="P6882" t="str">
        <f t="shared" si="431"/>
        <v>New</v>
      </c>
    </row>
    <row r="6883" spans="1:16" x14ac:dyDescent="0.25">
      <c r="A6883">
        <v>2025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  <c r="M6883" t="str">
        <f t="shared" si="428"/>
        <v>&lt;30</v>
      </c>
      <c r="N6883" t="str">
        <f t="shared" si="429"/>
        <v>Medium</v>
      </c>
      <c r="O6883" t="str">
        <f t="shared" si="430"/>
        <v>Zero Balance</v>
      </c>
      <c r="P6883" t="str">
        <f t="shared" si="431"/>
        <v>New</v>
      </c>
    </row>
    <row r="6884" spans="1:16" x14ac:dyDescent="0.25">
      <c r="A6884">
        <v>2025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  <c r="M6884" t="str">
        <f t="shared" si="428"/>
        <v>30-45</v>
      </c>
      <c r="N6884" t="str">
        <f t="shared" si="429"/>
        <v>Medium</v>
      </c>
      <c r="O6884" t="str">
        <f t="shared" si="430"/>
        <v>Zero Balance</v>
      </c>
      <c r="P6884" t="str">
        <f t="shared" si="431"/>
        <v>New</v>
      </c>
    </row>
    <row r="6885" spans="1:16" x14ac:dyDescent="0.25">
      <c r="A6885">
        <v>2025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  <c r="M6885" t="str">
        <f t="shared" si="428"/>
        <v>30-45</v>
      </c>
      <c r="N6885" t="str">
        <f t="shared" si="429"/>
        <v>Medium</v>
      </c>
      <c r="O6885" t="str">
        <f t="shared" si="430"/>
        <v>Zero Balance</v>
      </c>
      <c r="P6885" t="str">
        <f t="shared" si="431"/>
        <v>Long-term</v>
      </c>
    </row>
    <row r="6886" spans="1:16" x14ac:dyDescent="0.25">
      <c r="A6886">
        <v>2025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  <c r="M6886" t="str">
        <f t="shared" si="428"/>
        <v>30-45</v>
      </c>
      <c r="N6886" t="str">
        <f t="shared" si="429"/>
        <v>Medium</v>
      </c>
      <c r="O6886" t="str">
        <f t="shared" si="430"/>
        <v>Zero Balance</v>
      </c>
      <c r="P6886" t="str">
        <f t="shared" si="431"/>
        <v>Long-term</v>
      </c>
    </row>
    <row r="6887" spans="1:16" x14ac:dyDescent="0.25">
      <c r="A6887">
        <v>2025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  <c r="M6887" t="str">
        <f t="shared" si="428"/>
        <v>&lt;30</v>
      </c>
      <c r="N6887" t="str">
        <f t="shared" si="429"/>
        <v>Medium</v>
      </c>
      <c r="O6887" t="str">
        <f t="shared" si="430"/>
        <v>Low Balance</v>
      </c>
      <c r="P6887" t="str">
        <f t="shared" si="431"/>
        <v>New</v>
      </c>
    </row>
    <row r="6888" spans="1:16" x14ac:dyDescent="0.25">
      <c r="A6888">
        <v>2025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  <c r="M6888" t="str">
        <f t="shared" si="428"/>
        <v>30-45</v>
      </c>
      <c r="N6888" t="str">
        <f t="shared" si="429"/>
        <v>High</v>
      </c>
      <c r="O6888" t="str">
        <f t="shared" si="430"/>
        <v>High Balance</v>
      </c>
      <c r="P6888" t="str">
        <f t="shared" si="431"/>
        <v>New</v>
      </c>
    </row>
    <row r="6889" spans="1:16" x14ac:dyDescent="0.25">
      <c r="A6889">
        <v>2025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  <c r="M6889" t="str">
        <f t="shared" si="428"/>
        <v>&lt;30</v>
      </c>
      <c r="N6889" t="str">
        <f t="shared" si="429"/>
        <v>High</v>
      </c>
      <c r="O6889" t="str">
        <f t="shared" si="430"/>
        <v>Zero Balance</v>
      </c>
      <c r="P6889" t="str">
        <f t="shared" si="431"/>
        <v>Long-term</v>
      </c>
    </row>
    <row r="6890" spans="1:16" x14ac:dyDescent="0.25">
      <c r="A6890">
        <v>2025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  <c r="M6890" t="str">
        <f t="shared" si="428"/>
        <v>30-45</v>
      </c>
      <c r="N6890" t="str">
        <f t="shared" si="429"/>
        <v>Medium</v>
      </c>
      <c r="O6890" t="str">
        <f t="shared" si="430"/>
        <v>Zero Balance</v>
      </c>
      <c r="P6890" t="str">
        <f t="shared" si="431"/>
        <v>Mid-term</v>
      </c>
    </row>
    <row r="6891" spans="1:16" x14ac:dyDescent="0.25">
      <c r="A6891">
        <v>2025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  <c r="M6891" t="str">
        <f t="shared" si="428"/>
        <v>&lt;30</v>
      </c>
      <c r="N6891" t="str">
        <f t="shared" si="429"/>
        <v>Low</v>
      </c>
      <c r="O6891" t="str">
        <f t="shared" si="430"/>
        <v>High Balance</v>
      </c>
      <c r="P6891" t="str">
        <f t="shared" si="431"/>
        <v>Mid-term</v>
      </c>
    </row>
    <row r="6892" spans="1:16" x14ac:dyDescent="0.25">
      <c r="A6892">
        <v>2025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  <c r="M6892" t="str">
        <f t="shared" si="428"/>
        <v>30-45</v>
      </c>
      <c r="N6892" t="str">
        <f t="shared" si="429"/>
        <v>Low</v>
      </c>
      <c r="O6892" t="str">
        <f t="shared" si="430"/>
        <v>Zero Balance</v>
      </c>
      <c r="P6892" t="str">
        <f t="shared" si="431"/>
        <v>New</v>
      </c>
    </row>
    <row r="6893" spans="1:16" x14ac:dyDescent="0.25">
      <c r="A6893">
        <v>2025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  <c r="M6893" t="str">
        <f t="shared" si="428"/>
        <v>46-60</v>
      </c>
      <c r="N6893" t="str">
        <f t="shared" si="429"/>
        <v>High</v>
      </c>
      <c r="O6893" t="str">
        <f t="shared" si="430"/>
        <v>High Balance</v>
      </c>
      <c r="P6893" t="str">
        <f t="shared" si="431"/>
        <v>Mid-term</v>
      </c>
    </row>
    <row r="6894" spans="1:16" x14ac:dyDescent="0.25">
      <c r="A6894">
        <v>2025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  <c r="M6894" t="str">
        <f t="shared" si="428"/>
        <v>46-60</v>
      </c>
      <c r="N6894" t="str">
        <f t="shared" si="429"/>
        <v>Medium</v>
      </c>
      <c r="O6894" t="str">
        <f t="shared" si="430"/>
        <v>High Balance</v>
      </c>
      <c r="P6894" t="str">
        <f t="shared" si="431"/>
        <v>Long-term</v>
      </c>
    </row>
    <row r="6895" spans="1:16" x14ac:dyDescent="0.25">
      <c r="A6895">
        <v>2025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  <c r="M6895" t="str">
        <f t="shared" si="428"/>
        <v>46-60</v>
      </c>
      <c r="N6895" t="str">
        <f t="shared" si="429"/>
        <v>Medium</v>
      </c>
      <c r="O6895" t="str">
        <f t="shared" si="430"/>
        <v>High Balance</v>
      </c>
      <c r="P6895" t="str">
        <f t="shared" si="431"/>
        <v>Mid-term</v>
      </c>
    </row>
    <row r="6896" spans="1:16" x14ac:dyDescent="0.25">
      <c r="A6896">
        <v>2025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  <c r="M6896" t="str">
        <f t="shared" si="428"/>
        <v>&lt;30</v>
      </c>
      <c r="N6896" t="str">
        <f t="shared" si="429"/>
        <v>Medium</v>
      </c>
      <c r="O6896" t="str">
        <f t="shared" si="430"/>
        <v>High Balance</v>
      </c>
      <c r="P6896" t="str">
        <f t="shared" si="431"/>
        <v>Long-term</v>
      </c>
    </row>
    <row r="6897" spans="1:16" x14ac:dyDescent="0.25">
      <c r="A6897">
        <v>2025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  <c r="M6897" t="str">
        <f t="shared" si="428"/>
        <v>46-60</v>
      </c>
      <c r="N6897" t="str">
        <f t="shared" si="429"/>
        <v>Medium</v>
      </c>
      <c r="O6897" t="str">
        <f t="shared" si="430"/>
        <v>High Balance</v>
      </c>
      <c r="P6897" t="str">
        <f t="shared" si="431"/>
        <v>Mid-term</v>
      </c>
    </row>
    <row r="6898" spans="1:16" x14ac:dyDescent="0.25">
      <c r="A6898">
        <v>2025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  <c r="M6898" t="str">
        <f t="shared" si="428"/>
        <v>30-45</v>
      </c>
      <c r="N6898" t="str">
        <f t="shared" si="429"/>
        <v>Medium</v>
      </c>
      <c r="O6898" t="str">
        <f t="shared" si="430"/>
        <v>Zero Balance</v>
      </c>
      <c r="P6898" t="str">
        <f t="shared" si="431"/>
        <v>Mid-term</v>
      </c>
    </row>
    <row r="6899" spans="1:16" x14ac:dyDescent="0.25">
      <c r="A6899">
        <v>2025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  <c r="M6899" t="str">
        <f t="shared" si="428"/>
        <v>46-60</v>
      </c>
      <c r="N6899" t="str">
        <f t="shared" si="429"/>
        <v>Low</v>
      </c>
      <c r="O6899" t="str">
        <f t="shared" si="430"/>
        <v>High Balance</v>
      </c>
      <c r="P6899" t="str">
        <f t="shared" si="431"/>
        <v>Mid-term</v>
      </c>
    </row>
    <row r="6900" spans="1:16" x14ac:dyDescent="0.25">
      <c r="A6900">
        <v>2025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  <c r="M6900" t="str">
        <f t="shared" si="428"/>
        <v>30-45</v>
      </c>
      <c r="N6900" t="str">
        <f t="shared" si="429"/>
        <v>Medium</v>
      </c>
      <c r="O6900" t="str">
        <f t="shared" si="430"/>
        <v>High Balance</v>
      </c>
      <c r="P6900" t="str">
        <f t="shared" si="431"/>
        <v>New</v>
      </c>
    </row>
    <row r="6901" spans="1:16" x14ac:dyDescent="0.25">
      <c r="A6901">
        <v>2025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  <c r="M6901" t="str">
        <f t="shared" si="428"/>
        <v>60+</v>
      </c>
      <c r="N6901" t="str">
        <f t="shared" si="429"/>
        <v>Medium</v>
      </c>
      <c r="O6901" t="str">
        <f t="shared" si="430"/>
        <v>Zero Balance</v>
      </c>
      <c r="P6901" t="str">
        <f t="shared" si="431"/>
        <v>New</v>
      </c>
    </row>
    <row r="6902" spans="1:16" x14ac:dyDescent="0.25">
      <c r="A6902">
        <v>2025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  <c r="M6902" t="str">
        <f t="shared" si="428"/>
        <v>30-45</v>
      </c>
      <c r="N6902" t="str">
        <f t="shared" si="429"/>
        <v>Medium</v>
      </c>
      <c r="O6902" t="str">
        <f t="shared" si="430"/>
        <v>High Balance</v>
      </c>
      <c r="P6902" t="str">
        <f t="shared" si="431"/>
        <v>Mid-term</v>
      </c>
    </row>
    <row r="6903" spans="1:16" x14ac:dyDescent="0.25">
      <c r="A6903">
        <v>2025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  <c r="M6903" t="str">
        <f t="shared" si="428"/>
        <v>30-45</v>
      </c>
      <c r="N6903" t="str">
        <f t="shared" si="429"/>
        <v>Medium</v>
      </c>
      <c r="O6903" t="str">
        <f t="shared" si="430"/>
        <v>High Balance</v>
      </c>
      <c r="P6903" t="str">
        <f t="shared" si="431"/>
        <v>New</v>
      </c>
    </row>
    <row r="6904" spans="1:16" x14ac:dyDescent="0.25">
      <c r="A6904">
        <v>2025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  <c r="M6904" t="str">
        <f t="shared" si="428"/>
        <v>30-45</v>
      </c>
      <c r="N6904" t="str">
        <f t="shared" si="429"/>
        <v>Low</v>
      </c>
      <c r="O6904" t="str">
        <f t="shared" si="430"/>
        <v>Zero Balance</v>
      </c>
      <c r="P6904" t="str">
        <f t="shared" si="431"/>
        <v>Mid-term</v>
      </c>
    </row>
    <row r="6905" spans="1:16" x14ac:dyDescent="0.25">
      <c r="A6905">
        <v>2025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  <c r="M6905" t="str">
        <f t="shared" si="428"/>
        <v>30-45</v>
      </c>
      <c r="N6905" t="str">
        <f t="shared" si="429"/>
        <v>Medium</v>
      </c>
      <c r="O6905" t="str">
        <f t="shared" si="430"/>
        <v>Low Balance</v>
      </c>
      <c r="P6905" t="str">
        <f t="shared" si="431"/>
        <v>New</v>
      </c>
    </row>
    <row r="6906" spans="1:16" x14ac:dyDescent="0.25">
      <c r="A6906">
        <v>2025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  <c r="M6906" t="str">
        <f t="shared" si="428"/>
        <v>&lt;30</v>
      </c>
      <c r="N6906" t="str">
        <f t="shared" si="429"/>
        <v>High</v>
      </c>
      <c r="O6906" t="str">
        <f t="shared" si="430"/>
        <v>High Balance</v>
      </c>
      <c r="P6906" t="str">
        <f t="shared" si="431"/>
        <v>Mid-term</v>
      </c>
    </row>
    <row r="6907" spans="1:16" x14ac:dyDescent="0.25">
      <c r="A6907">
        <v>2025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  <c r="M6907" t="str">
        <f t="shared" si="428"/>
        <v>30-45</v>
      </c>
      <c r="N6907" t="str">
        <f t="shared" si="429"/>
        <v>Medium</v>
      </c>
      <c r="O6907" t="str">
        <f t="shared" si="430"/>
        <v>High Balance</v>
      </c>
      <c r="P6907" t="str">
        <f t="shared" si="431"/>
        <v>New</v>
      </c>
    </row>
    <row r="6908" spans="1:16" x14ac:dyDescent="0.25">
      <c r="A6908">
        <v>2025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  <c r="M6908" t="str">
        <f t="shared" si="428"/>
        <v>46-60</v>
      </c>
      <c r="N6908" t="str">
        <f t="shared" si="429"/>
        <v>Medium</v>
      </c>
      <c r="O6908" t="str">
        <f t="shared" si="430"/>
        <v>Zero Balance</v>
      </c>
      <c r="P6908" t="str">
        <f t="shared" si="431"/>
        <v>New</v>
      </c>
    </row>
    <row r="6909" spans="1:16" x14ac:dyDescent="0.25">
      <c r="A6909">
        <v>2025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  <c r="M6909" t="str">
        <f t="shared" si="428"/>
        <v>30-45</v>
      </c>
      <c r="N6909" t="str">
        <f t="shared" si="429"/>
        <v>Medium</v>
      </c>
      <c r="O6909" t="str">
        <f t="shared" si="430"/>
        <v>Zero Balance</v>
      </c>
      <c r="P6909" t="str">
        <f t="shared" si="431"/>
        <v>Mid-term</v>
      </c>
    </row>
    <row r="6910" spans="1:16" x14ac:dyDescent="0.25">
      <c r="A6910">
        <v>2025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  <c r="M6910" t="str">
        <f t="shared" si="428"/>
        <v>30-45</v>
      </c>
      <c r="N6910" t="str">
        <f t="shared" si="429"/>
        <v>High</v>
      </c>
      <c r="O6910" t="str">
        <f t="shared" si="430"/>
        <v>Zero Balance</v>
      </c>
      <c r="P6910" t="str">
        <f t="shared" si="431"/>
        <v>Mid-term</v>
      </c>
    </row>
    <row r="6911" spans="1:16" x14ac:dyDescent="0.25">
      <c r="A6911">
        <v>2025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  <c r="M6911" t="str">
        <f t="shared" si="428"/>
        <v>30-45</v>
      </c>
      <c r="N6911" t="str">
        <f t="shared" si="429"/>
        <v>Medium</v>
      </c>
      <c r="O6911" t="str">
        <f t="shared" si="430"/>
        <v>Zero Balance</v>
      </c>
      <c r="P6911" t="str">
        <f t="shared" si="431"/>
        <v>Mid-term</v>
      </c>
    </row>
    <row r="6912" spans="1:16" x14ac:dyDescent="0.25">
      <c r="A6912">
        <v>2025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  <c r="M6912" t="str">
        <f t="shared" si="428"/>
        <v>30-45</v>
      </c>
      <c r="N6912" t="str">
        <f t="shared" si="429"/>
        <v>Medium</v>
      </c>
      <c r="O6912" t="str">
        <f t="shared" si="430"/>
        <v>Zero Balance</v>
      </c>
      <c r="P6912" t="str">
        <f t="shared" si="431"/>
        <v>New</v>
      </c>
    </row>
    <row r="6913" spans="1:16" x14ac:dyDescent="0.25">
      <c r="A6913">
        <v>2025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  <c r="M6913" t="str">
        <f t="shared" si="428"/>
        <v>46-60</v>
      </c>
      <c r="N6913" t="str">
        <f t="shared" si="429"/>
        <v>High</v>
      </c>
      <c r="O6913" t="str">
        <f t="shared" si="430"/>
        <v>High Balance</v>
      </c>
      <c r="P6913" t="str">
        <f t="shared" si="431"/>
        <v>New</v>
      </c>
    </row>
    <row r="6914" spans="1:16" x14ac:dyDescent="0.25">
      <c r="A6914">
        <v>2025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  <c r="M6914" t="str">
        <f t="shared" si="428"/>
        <v>46-60</v>
      </c>
      <c r="N6914" t="str">
        <f t="shared" si="429"/>
        <v>Medium</v>
      </c>
      <c r="O6914" t="str">
        <f t="shared" si="430"/>
        <v>Low Balance</v>
      </c>
      <c r="P6914" t="str">
        <f t="shared" si="431"/>
        <v>Long-term</v>
      </c>
    </row>
    <row r="6915" spans="1:16" x14ac:dyDescent="0.25">
      <c r="A6915">
        <v>2025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  <c r="M6915" t="str">
        <f t="shared" ref="M6915:M6978" si="432">IF(E6915&lt;30,"&lt;30",IF(E6915&lt;=45,"30-45",IF(E6915&lt;=60,"46-60","60+")))</f>
        <v>30-45</v>
      </c>
      <c r="N6915" t="str">
        <f t="shared" ref="N6915:N6978" si="433">IF(B6915&lt;500,"Low",IF(B6915&lt;700,"Medium","High"))</f>
        <v>Medium</v>
      </c>
      <c r="O6915" t="str">
        <f t="shared" ref="O6915:O6978" si="434">IF(G6915=0,"Zero Balance",IF(G6915&lt;100000,"Low Balance","High Balance"))</f>
        <v>High Balance</v>
      </c>
      <c r="P6915" t="str">
        <f t="shared" ref="P6915:P6978" si="435">IF(F6915&lt;=3,"New",IF(F6915&lt;=7,"Mid-term","Long-term"))</f>
        <v>Mid-term</v>
      </c>
    </row>
    <row r="6916" spans="1:16" x14ac:dyDescent="0.25">
      <c r="A6916">
        <v>2025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  <c r="M6916" t="str">
        <f t="shared" si="432"/>
        <v>30-45</v>
      </c>
      <c r="N6916" t="str">
        <f t="shared" si="433"/>
        <v>High</v>
      </c>
      <c r="O6916" t="str">
        <f t="shared" si="434"/>
        <v>High Balance</v>
      </c>
      <c r="P6916" t="str">
        <f t="shared" si="435"/>
        <v>Mid-term</v>
      </c>
    </row>
    <row r="6917" spans="1:16" x14ac:dyDescent="0.25">
      <c r="A6917">
        <v>2025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  <c r="M6917" t="str">
        <f t="shared" si="432"/>
        <v>30-45</v>
      </c>
      <c r="N6917" t="str">
        <f t="shared" si="433"/>
        <v>Medium</v>
      </c>
      <c r="O6917" t="str">
        <f t="shared" si="434"/>
        <v>Low Balance</v>
      </c>
      <c r="P6917" t="str">
        <f t="shared" si="435"/>
        <v>New</v>
      </c>
    </row>
    <row r="6918" spans="1:16" x14ac:dyDescent="0.25">
      <c r="A6918">
        <v>2025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  <c r="M6918" t="str">
        <f t="shared" si="432"/>
        <v>&lt;30</v>
      </c>
      <c r="N6918" t="str">
        <f t="shared" si="433"/>
        <v>Medium</v>
      </c>
      <c r="O6918" t="str">
        <f t="shared" si="434"/>
        <v>High Balance</v>
      </c>
      <c r="P6918" t="str">
        <f t="shared" si="435"/>
        <v>Long-term</v>
      </c>
    </row>
    <row r="6919" spans="1:16" x14ac:dyDescent="0.25">
      <c r="A6919">
        <v>2025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  <c r="M6919" t="str">
        <f t="shared" si="432"/>
        <v>30-45</v>
      </c>
      <c r="N6919" t="str">
        <f t="shared" si="433"/>
        <v>Medium</v>
      </c>
      <c r="O6919" t="str">
        <f t="shared" si="434"/>
        <v>High Balance</v>
      </c>
      <c r="P6919" t="str">
        <f t="shared" si="435"/>
        <v>Mid-term</v>
      </c>
    </row>
    <row r="6920" spans="1:16" x14ac:dyDescent="0.25">
      <c r="A6920">
        <v>2025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  <c r="M6920" t="str">
        <f t="shared" si="432"/>
        <v>&lt;30</v>
      </c>
      <c r="N6920" t="str">
        <f t="shared" si="433"/>
        <v>Medium</v>
      </c>
      <c r="O6920" t="str">
        <f t="shared" si="434"/>
        <v>High Balance</v>
      </c>
      <c r="P6920" t="str">
        <f t="shared" si="435"/>
        <v>New</v>
      </c>
    </row>
    <row r="6921" spans="1:16" x14ac:dyDescent="0.25">
      <c r="A6921">
        <v>2025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  <c r="M6921" t="str">
        <f t="shared" si="432"/>
        <v>30-45</v>
      </c>
      <c r="N6921" t="str">
        <f t="shared" si="433"/>
        <v>High</v>
      </c>
      <c r="O6921" t="str">
        <f t="shared" si="434"/>
        <v>High Balance</v>
      </c>
      <c r="P6921" t="str">
        <f t="shared" si="435"/>
        <v>Mid-term</v>
      </c>
    </row>
    <row r="6922" spans="1:16" x14ac:dyDescent="0.25">
      <c r="A6922">
        <v>2025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  <c r="M6922" t="str">
        <f t="shared" si="432"/>
        <v>30-45</v>
      </c>
      <c r="N6922" t="str">
        <f t="shared" si="433"/>
        <v>Medium</v>
      </c>
      <c r="O6922" t="str">
        <f t="shared" si="434"/>
        <v>Zero Balance</v>
      </c>
      <c r="P6922" t="str">
        <f t="shared" si="435"/>
        <v>New</v>
      </c>
    </row>
    <row r="6923" spans="1:16" x14ac:dyDescent="0.25">
      <c r="A6923">
        <v>2025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  <c r="M6923" t="str">
        <f t="shared" si="432"/>
        <v>30-45</v>
      </c>
      <c r="N6923" t="str">
        <f t="shared" si="433"/>
        <v>Medium</v>
      </c>
      <c r="O6923" t="str">
        <f t="shared" si="434"/>
        <v>Low Balance</v>
      </c>
      <c r="P6923" t="str">
        <f t="shared" si="435"/>
        <v>Mid-term</v>
      </c>
    </row>
    <row r="6924" spans="1:16" x14ac:dyDescent="0.25">
      <c r="A6924">
        <v>2025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  <c r="M6924" t="str">
        <f t="shared" si="432"/>
        <v>46-60</v>
      </c>
      <c r="N6924" t="str">
        <f t="shared" si="433"/>
        <v>Medium</v>
      </c>
      <c r="O6924" t="str">
        <f t="shared" si="434"/>
        <v>Zero Balance</v>
      </c>
      <c r="P6924" t="str">
        <f t="shared" si="435"/>
        <v>New</v>
      </c>
    </row>
    <row r="6925" spans="1:16" x14ac:dyDescent="0.25">
      <c r="A6925">
        <v>2025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  <c r="M6925" t="str">
        <f t="shared" si="432"/>
        <v>30-45</v>
      </c>
      <c r="N6925" t="str">
        <f t="shared" si="433"/>
        <v>High</v>
      </c>
      <c r="O6925" t="str">
        <f t="shared" si="434"/>
        <v>High Balance</v>
      </c>
      <c r="P6925" t="str">
        <f t="shared" si="435"/>
        <v>Mid-term</v>
      </c>
    </row>
    <row r="6926" spans="1:16" x14ac:dyDescent="0.25">
      <c r="A6926">
        <v>2025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  <c r="M6926" t="str">
        <f t="shared" si="432"/>
        <v>30-45</v>
      </c>
      <c r="N6926" t="str">
        <f t="shared" si="433"/>
        <v>Medium</v>
      </c>
      <c r="O6926" t="str">
        <f t="shared" si="434"/>
        <v>High Balance</v>
      </c>
      <c r="P6926" t="str">
        <f t="shared" si="435"/>
        <v>New</v>
      </c>
    </row>
    <row r="6927" spans="1:16" x14ac:dyDescent="0.25">
      <c r="A6927">
        <v>2025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  <c r="M6927" t="str">
        <f t="shared" si="432"/>
        <v>&lt;30</v>
      </c>
      <c r="N6927" t="str">
        <f t="shared" si="433"/>
        <v>Medium</v>
      </c>
      <c r="O6927" t="str">
        <f t="shared" si="434"/>
        <v>Low Balance</v>
      </c>
      <c r="P6927" t="str">
        <f t="shared" si="435"/>
        <v>Long-term</v>
      </c>
    </row>
    <row r="6928" spans="1:16" x14ac:dyDescent="0.25">
      <c r="A6928">
        <v>2025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  <c r="M6928" t="str">
        <f t="shared" si="432"/>
        <v>30-45</v>
      </c>
      <c r="N6928" t="str">
        <f t="shared" si="433"/>
        <v>Medium</v>
      </c>
      <c r="O6928" t="str">
        <f t="shared" si="434"/>
        <v>Zero Balance</v>
      </c>
      <c r="P6928" t="str">
        <f t="shared" si="435"/>
        <v>New</v>
      </c>
    </row>
    <row r="6929" spans="1:16" x14ac:dyDescent="0.25">
      <c r="A6929">
        <v>2025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  <c r="M6929" t="str">
        <f t="shared" si="432"/>
        <v>30-45</v>
      </c>
      <c r="N6929" t="str">
        <f t="shared" si="433"/>
        <v>Medium</v>
      </c>
      <c r="O6929" t="str">
        <f t="shared" si="434"/>
        <v>Zero Balance</v>
      </c>
      <c r="P6929" t="str">
        <f t="shared" si="435"/>
        <v>Mid-term</v>
      </c>
    </row>
    <row r="6930" spans="1:16" x14ac:dyDescent="0.25">
      <c r="A6930">
        <v>2025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  <c r="M6930" t="str">
        <f t="shared" si="432"/>
        <v>46-60</v>
      </c>
      <c r="N6930" t="str">
        <f t="shared" si="433"/>
        <v>High</v>
      </c>
      <c r="O6930" t="str">
        <f t="shared" si="434"/>
        <v>Low Balance</v>
      </c>
      <c r="P6930" t="str">
        <f t="shared" si="435"/>
        <v>New</v>
      </c>
    </row>
    <row r="6931" spans="1:16" x14ac:dyDescent="0.25">
      <c r="A6931">
        <v>2025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  <c r="M6931" t="str">
        <f t="shared" si="432"/>
        <v>30-45</v>
      </c>
      <c r="N6931" t="str">
        <f t="shared" si="433"/>
        <v>Medium</v>
      </c>
      <c r="O6931" t="str">
        <f t="shared" si="434"/>
        <v>High Balance</v>
      </c>
      <c r="P6931" t="str">
        <f t="shared" si="435"/>
        <v>New</v>
      </c>
    </row>
    <row r="6932" spans="1:16" x14ac:dyDescent="0.25">
      <c r="A6932">
        <v>2025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  <c r="M6932" t="str">
        <f t="shared" si="432"/>
        <v>30-45</v>
      </c>
      <c r="N6932" t="str">
        <f t="shared" si="433"/>
        <v>High</v>
      </c>
      <c r="O6932" t="str">
        <f t="shared" si="434"/>
        <v>High Balance</v>
      </c>
      <c r="P6932" t="str">
        <f t="shared" si="435"/>
        <v>New</v>
      </c>
    </row>
    <row r="6933" spans="1:16" x14ac:dyDescent="0.25">
      <c r="A6933">
        <v>2025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  <c r="M6933" t="str">
        <f t="shared" si="432"/>
        <v>30-45</v>
      </c>
      <c r="N6933" t="str">
        <f t="shared" si="433"/>
        <v>Medium</v>
      </c>
      <c r="O6933" t="str">
        <f t="shared" si="434"/>
        <v>Zero Balance</v>
      </c>
      <c r="P6933" t="str">
        <f t="shared" si="435"/>
        <v>New</v>
      </c>
    </row>
    <row r="6934" spans="1:16" x14ac:dyDescent="0.25">
      <c r="A6934">
        <v>2025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  <c r="M6934" t="str">
        <f t="shared" si="432"/>
        <v>30-45</v>
      </c>
      <c r="N6934" t="str">
        <f t="shared" si="433"/>
        <v>Medium</v>
      </c>
      <c r="O6934" t="str">
        <f t="shared" si="434"/>
        <v>Zero Balance</v>
      </c>
      <c r="P6934" t="str">
        <f t="shared" si="435"/>
        <v>Long-term</v>
      </c>
    </row>
    <row r="6935" spans="1:16" x14ac:dyDescent="0.25">
      <c r="A6935">
        <v>2025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  <c r="M6935" t="str">
        <f t="shared" si="432"/>
        <v>46-60</v>
      </c>
      <c r="N6935" t="str">
        <f t="shared" si="433"/>
        <v>High</v>
      </c>
      <c r="O6935" t="str">
        <f t="shared" si="434"/>
        <v>Low Balance</v>
      </c>
      <c r="P6935" t="str">
        <f t="shared" si="435"/>
        <v>Mid-term</v>
      </c>
    </row>
    <row r="6936" spans="1:16" x14ac:dyDescent="0.25">
      <c r="A6936">
        <v>2025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  <c r="M6936" t="str">
        <f t="shared" si="432"/>
        <v>30-45</v>
      </c>
      <c r="N6936" t="str">
        <f t="shared" si="433"/>
        <v>Medium</v>
      </c>
      <c r="O6936" t="str">
        <f t="shared" si="434"/>
        <v>High Balance</v>
      </c>
      <c r="P6936" t="str">
        <f t="shared" si="435"/>
        <v>New</v>
      </c>
    </row>
    <row r="6937" spans="1:16" x14ac:dyDescent="0.25">
      <c r="A6937">
        <v>2025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  <c r="M6937" t="str">
        <f t="shared" si="432"/>
        <v>30-45</v>
      </c>
      <c r="N6937" t="str">
        <f t="shared" si="433"/>
        <v>Medium</v>
      </c>
      <c r="O6937" t="str">
        <f t="shared" si="434"/>
        <v>Zero Balance</v>
      </c>
      <c r="P6937" t="str">
        <f t="shared" si="435"/>
        <v>New</v>
      </c>
    </row>
    <row r="6938" spans="1:16" x14ac:dyDescent="0.25">
      <c r="A6938">
        <v>2025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  <c r="M6938" t="str">
        <f t="shared" si="432"/>
        <v>30-45</v>
      </c>
      <c r="N6938" t="str">
        <f t="shared" si="433"/>
        <v>Medium</v>
      </c>
      <c r="O6938" t="str">
        <f t="shared" si="434"/>
        <v>Low Balance</v>
      </c>
      <c r="P6938" t="str">
        <f t="shared" si="435"/>
        <v>New</v>
      </c>
    </row>
    <row r="6939" spans="1:16" x14ac:dyDescent="0.25">
      <c r="A6939">
        <v>2025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  <c r="M6939" t="str">
        <f t="shared" si="432"/>
        <v>46-60</v>
      </c>
      <c r="N6939" t="str">
        <f t="shared" si="433"/>
        <v>Medium</v>
      </c>
      <c r="O6939" t="str">
        <f t="shared" si="434"/>
        <v>Zero Balance</v>
      </c>
      <c r="P6939" t="str">
        <f t="shared" si="435"/>
        <v>Mid-term</v>
      </c>
    </row>
    <row r="6940" spans="1:16" x14ac:dyDescent="0.25">
      <c r="A6940">
        <v>2025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  <c r="M6940" t="str">
        <f t="shared" si="432"/>
        <v>30-45</v>
      </c>
      <c r="N6940" t="str">
        <f t="shared" si="433"/>
        <v>High</v>
      </c>
      <c r="O6940" t="str">
        <f t="shared" si="434"/>
        <v>Zero Balance</v>
      </c>
      <c r="P6940" t="str">
        <f t="shared" si="435"/>
        <v>Mid-term</v>
      </c>
    </row>
    <row r="6941" spans="1:16" x14ac:dyDescent="0.25">
      <c r="A6941">
        <v>2025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  <c r="M6941" t="str">
        <f t="shared" si="432"/>
        <v>30-45</v>
      </c>
      <c r="N6941" t="str">
        <f t="shared" si="433"/>
        <v>Medium</v>
      </c>
      <c r="O6941" t="str">
        <f t="shared" si="434"/>
        <v>Zero Balance</v>
      </c>
      <c r="P6941" t="str">
        <f t="shared" si="435"/>
        <v>Long-term</v>
      </c>
    </row>
    <row r="6942" spans="1:16" x14ac:dyDescent="0.25">
      <c r="A6942">
        <v>2025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  <c r="M6942" t="str">
        <f t="shared" si="432"/>
        <v>46-60</v>
      </c>
      <c r="N6942" t="str">
        <f t="shared" si="433"/>
        <v>Medium</v>
      </c>
      <c r="O6942" t="str">
        <f t="shared" si="434"/>
        <v>Zero Balance</v>
      </c>
      <c r="P6942" t="str">
        <f t="shared" si="435"/>
        <v>New</v>
      </c>
    </row>
    <row r="6943" spans="1:16" x14ac:dyDescent="0.25">
      <c r="A6943">
        <v>2025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  <c r="M6943" t="str">
        <f t="shared" si="432"/>
        <v>&lt;30</v>
      </c>
      <c r="N6943" t="str">
        <f t="shared" si="433"/>
        <v>Medium</v>
      </c>
      <c r="O6943" t="str">
        <f t="shared" si="434"/>
        <v>High Balance</v>
      </c>
      <c r="P6943" t="str">
        <f t="shared" si="435"/>
        <v>Mid-term</v>
      </c>
    </row>
    <row r="6944" spans="1:16" x14ac:dyDescent="0.25">
      <c r="A6944">
        <v>2025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  <c r="M6944" t="str">
        <f t="shared" si="432"/>
        <v>30-45</v>
      </c>
      <c r="N6944" t="str">
        <f t="shared" si="433"/>
        <v>Low</v>
      </c>
      <c r="O6944" t="str">
        <f t="shared" si="434"/>
        <v>High Balance</v>
      </c>
      <c r="P6944" t="str">
        <f t="shared" si="435"/>
        <v>Long-term</v>
      </c>
    </row>
    <row r="6945" spans="1:16" x14ac:dyDescent="0.25">
      <c r="A6945">
        <v>2025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  <c r="M6945" t="str">
        <f t="shared" si="432"/>
        <v>30-45</v>
      </c>
      <c r="N6945" t="str">
        <f t="shared" si="433"/>
        <v>High</v>
      </c>
      <c r="O6945" t="str">
        <f t="shared" si="434"/>
        <v>High Balance</v>
      </c>
      <c r="P6945" t="str">
        <f t="shared" si="435"/>
        <v>Mid-term</v>
      </c>
    </row>
    <row r="6946" spans="1:16" x14ac:dyDescent="0.25">
      <c r="A6946">
        <v>2025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  <c r="M6946" t="str">
        <f t="shared" si="432"/>
        <v>30-45</v>
      </c>
      <c r="N6946" t="str">
        <f t="shared" si="433"/>
        <v>High</v>
      </c>
      <c r="O6946" t="str">
        <f t="shared" si="434"/>
        <v>High Balance</v>
      </c>
      <c r="P6946" t="str">
        <f t="shared" si="435"/>
        <v>Mid-term</v>
      </c>
    </row>
    <row r="6947" spans="1:16" x14ac:dyDescent="0.25">
      <c r="A6947">
        <v>2025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  <c r="M6947" t="str">
        <f t="shared" si="432"/>
        <v>30-45</v>
      </c>
      <c r="N6947" t="str">
        <f t="shared" si="433"/>
        <v>Medium</v>
      </c>
      <c r="O6947" t="str">
        <f t="shared" si="434"/>
        <v>High Balance</v>
      </c>
      <c r="P6947" t="str">
        <f t="shared" si="435"/>
        <v>Mid-term</v>
      </c>
    </row>
    <row r="6948" spans="1:16" x14ac:dyDescent="0.25">
      <c r="A6948">
        <v>2025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  <c r="M6948" t="str">
        <f t="shared" si="432"/>
        <v>30-45</v>
      </c>
      <c r="N6948" t="str">
        <f t="shared" si="433"/>
        <v>Low</v>
      </c>
      <c r="O6948" t="str">
        <f t="shared" si="434"/>
        <v>Low Balance</v>
      </c>
      <c r="P6948" t="str">
        <f t="shared" si="435"/>
        <v>Mid-term</v>
      </c>
    </row>
    <row r="6949" spans="1:16" x14ac:dyDescent="0.25">
      <c r="A6949">
        <v>2025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  <c r="M6949" t="str">
        <f t="shared" si="432"/>
        <v>30-45</v>
      </c>
      <c r="N6949" t="str">
        <f t="shared" si="433"/>
        <v>High</v>
      </c>
      <c r="O6949" t="str">
        <f t="shared" si="434"/>
        <v>Zero Balance</v>
      </c>
      <c r="P6949" t="str">
        <f t="shared" si="435"/>
        <v>Mid-term</v>
      </c>
    </row>
    <row r="6950" spans="1:16" x14ac:dyDescent="0.25">
      <c r="A6950">
        <v>2025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  <c r="M6950" t="str">
        <f t="shared" si="432"/>
        <v>30-45</v>
      </c>
      <c r="N6950" t="str">
        <f t="shared" si="433"/>
        <v>High</v>
      </c>
      <c r="O6950" t="str">
        <f t="shared" si="434"/>
        <v>High Balance</v>
      </c>
      <c r="P6950" t="str">
        <f t="shared" si="435"/>
        <v>New</v>
      </c>
    </row>
    <row r="6951" spans="1:16" x14ac:dyDescent="0.25">
      <c r="A6951">
        <v>2025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  <c r="M6951" t="str">
        <f t="shared" si="432"/>
        <v>30-45</v>
      </c>
      <c r="N6951" t="str">
        <f t="shared" si="433"/>
        <v>High</v>
      </c>
      <c r="O6951" t="str">
        <f t="shared" si="434"/>
        <v>Low Balance</v>
      </c>
      <c r="P6951" t="str">
        <f t="shared" si="435"/>
        <v>New</v>
      </c>
    </row>
    <row r="6952" spans="1:16" x14ac:dyDescent="0.25">
      <c r="A6952">
        <v>2025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  <c r="M6952" t="str">
        <f t="shared" si="432"/>
        <v>30-45</v>
      </c>
      <c r="N6952" t="str">
        <f t="shared" si="433"/>
        <v>Medium</v>
      </c>
      <c r="O6952" t="str">
        <f t="shared" si="434"/>
        <v>High Balance</v>
      </c>
      <c r="P6952" t="str">
        <f t="shared" si="435"/>
        <v>Mid-term</v>
      </c>
    </row>
    <row r="6953" spans="1:16" x14ac:dyDescent="0.25">
      <c r="A6953">
        <v>2025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  <c r="M6953" t="str">
        <f t="shared" si="432"/>
        <v>30-45</v>
      </c>
      <c r="N6953" t="str">
        <f t="shared" si="433"/>
        <v>Medium</v>
      </c>
      <c r="O6953" t="str">
        <f t="shared" si="434"/>
        <v>High Balance</v>
      </c>
      <c r="P6953" t="str">
        <f t="shared" si="435"/>
        <v>Long-term</v>
      </c>
    </row>
    <row r="6954" spans="1:16" x14ac:dyDescent="0.25">
      <c r="A6954">
        <v>2025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  <c r="M6954" t="str">
        <f t="shared" si="432"/>
        <v>30-45</v>
      </c>
      <c r="N6954" t="str">
        <f t="shared" si="433"/>
        <v>Medium</v>
      </c>
      <c r="O6954" t="str">
        <f t="shared" si="434"/>
        <v>High Balance</v>
      </c>
      <c r="P6954" t="str">
        <f t="shared" si="435"/>
        <v>New</v>
      </c>
    </row>
    <row r="6955" spans="1:16" x14ac:dyDescent="0.25">
      <c r="A6955">
        <v>2025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  <c r="M6955" t="str">
        <f t="shared" si="432"/>
        <v>30-45</v>
      </c>
      <c r="N6955" t="str">
        <f t="shared" si="433"/>
        <v>Medium</v>
      </c>
      <c r="O6955" t="str">
        <f t="shared" si="434"/>
        <v>High Balance</v>
      </c>
      <c r="P6955" t="str">
        <f t="shared" si="435"/>
        <v>Mid-term</v>
      </c>
    </row>
    <row r="6956" spans="1:16" x14ac:dyDescent="0.25">
      <c r="A6956">
        <v>2025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  <c r="M6956" t="str">
        <f t="shared" si="432"/>
        <v>30-45</v>
      </c>
      <c r="N6956" t="str">
        <f t="shared" si="433"/>
        <v>Medium</v>
      </c>
      <c r="O6956" t="str">
        <f t="shared" si="434"/>
        <v>Zero Balance</v>
      </c>
      <c r="P6956" t="str">
        <f t="shared" si="435"/>
        <v>Mid-term</v>
      </c>
    </row>
    <row r="6957" spans="1:16" x14ac:dyDescent="0.25">
      <c r="A6957">
        <v>2025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  <c r="M6957" t="str">
        <f t="shared" si="432"/>
        <v>30-45</v>
      </c>
      <c r="N6957" t="str">
        <f t="shared" si="433"/>
        <v>High</v>
      </c>
      <c r="O6957" t="str">
        <f t="shared" si="434"/>
        <v>High Balance</v>
      </c>
      <c r="P6957" t="str">
        <f t="shared" si="435"/>
        <v>Long-term</v>
      </c>
    </row>
    <row r="6958" spans="1:16" x14ac:dyDescent="0.25">
      <c r="A6958">
        <v>2025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  <c r="M6958" t="str">
        <f t="shared" si="432"/>
        <v>46-60</v>
      </c>
      <c r="N6958" t="str">
        <f t="shared" si="433"/>
        <v>Medium</v>
      </c>
      <c r="O6958" t="str">
        <f t="shared" si="434"/>
        <v>High Balance</v>
      </c>
      <c r="P6958" t="str">
        <f t="shared" si="435"/>
        <v>Mid-term</v>
      </c>
    </row>
    <row r="6959" spans="1:16" x14ac:dyDescent="0.25">
      <c r="A6959">
        <v>2025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  <c r="M6959" t="str">
        <f t="shared" si="432"/>
        <v>30-45</v>
      </c>
      <c r="N6959" t="str">
        <f t="shared" si="433"/>
        <v>Medium</v>
      </c>
      <c r="O6959" t="str">
        <f t="shared" si="434"/>
        <v>Low Balance</v>
      </c>
      <c r="P6959" t="str">
        <f t="shared" si="435"/>
        <v>Mid-term</v>
      </c>
    </row>
    <row r="6960" spans="1:16" x14ac:dyDescent="0.25">
      <c r="A6960">
        <v>2025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  <c r="M6960" t="str">
        <f t="shared" si="432"/>
        <v>30-45</v>
      </c>
      <c r="N6960" t="str">
        <f t="shared" si="433"/>
        <v>Medium</v>
      </c>
      <c r="O6960" t="str">
        <f t="shared" si="434"/>
        <v>Low Balance</v>
      </c>
      <c r="P6960" t="str">
        <f t="shared" si="435"/>
        <v>Mid-term</v>
      </c>
    </row>
    <row r="6961" spans="1:16" x14ac:dyDescent="0.25">
      <c r="A6961">
        <v>2025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  <c r="M6961" t="str">
        <f t="shared" si="432"/>
        <v>46-60</v>
      </c>
      <c r="N6961" t="str">
        <f t="shared" si="433"/>
        <v>Medium</v>
      </c>
      <c r="O6961" t="str">
        <f t="shared" si="434"/>
        <v>High Balance</v>
      </c>
      <c r="P6961" t="str">
        <f t="shared" si="435"/>
        <v>New</v>
      </c>
    </row>
    <row r="6962" spans="1:16" x14ac:dyDescent="0.25">
      <c r="A6962">
        <v>2025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  <c r="M6962" t="str">
        <f t="shared" si="432"/>
        <v>30-45</v>
      </c>
      <c r="N6962" t="str">
        <f t="shared" si="433"/>
        <v>Medium</v>
      </c>
      <c r="O6962" t="str">
        <f t="shared" si="434"/>
        <v>Low Balance</v>
      </c>
      <c r="P6962" t="str">
        <f t="shared" si="435"/>
        <v>Mid-term</v>
      </c>
    </row>
    <row r="6963" spans="1:16" x14ac:dyDescent="0.25">
      <c r="A6963">
        <v>2025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  <c r="M6963" t="str">
        <f t="shared" si="432"/>
        <v>30-45</v>
      </c>
      <c r="N6963" t="str">
        <f t="shared" si="433"/>
        <v>High</v>
      </c>
      <c r="O6963" t="str">
        <f t="shared" si="434"/>
        <v>Zero Balance</v>
      </c>
      <c r="P6963" t="str">
        <f t="shared" si="435"/>
        <v>New</v>
      </c>
    </row>
    <row r="6964" spans="1:16" x14ac:dyDescent="0.25">
      <c r="A6964">
        <v>2025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  <c r="M6964" t="str">
        <f t="shared" si="432"/>
        <v>&lt;30</v>
      </c>
      <c r="N6964" t="str">
        <f t="shared" si="433"/>
        <v>Medium</v>
      </c>
      <c r="O6964" t="str">
        <f t="shared" si="434"/>
        <v>High Balance</v>
      </c>
      <c r="P6964" t="str">
        <f t="shared" si="435"/>
        <v>New</v>
      </c>
    </row>
    <row r="6965" spans="1:16" x14ac:dyDescent="0.25">
      <c r="A6965">
        <v>2025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  <c r="M6965" t="str">
        <f t="shared" si="432"/>
        <v>30-45</v>
      </c>
      <c r="N6965" t="str">
        <f t="shared" si="433"/>
        <v>Medium</v>
      </c>
      <c r="O6965" t="str">
        <f t="shared" si="434"/>
        <v>High Balance</v>
      </c>
      <c r="P6965" t="str">
        <f t="shared" si="435"/>
        <v>Long-term</v>
      </c>
    </row>
    <row r="6966" spans="1:16" x14ac:dyDescent="0.25">
      <c r="A6966">
        <v>2025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  <c r="M6966" t="str">
        <f t="shared" si="432"/>
        <v>46-60</v>
      </c>
      <c r="N6966" t="str">
        <f t="shared" si="433"/>
        <v>Medium</v>
      </c>
      <c r="O6966" t="str">
        <f t="shared" si="434"/>
        <v>Low Balance</v>
      </c>
      <c r="P6966" t="str">
        <f t="shared" si="435"/>
        <v>Mid-term</v>
      </c>
    </row>
    <row r="6967" spans="1:16" x14ac:dyDescent="0.25">
      <c r="A6967">
        <v>2025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  <c r="M6967" t="str">
        <f t="shared" si="432"/>
        <v>30-45</v>
      </c>
      <c r="N6967" t="str">
        <f t="shared" si="433"/>
        <v>Medium</v>
      </c>
      <c r="O6967" t="str">
        <f t="shared" si="434"/>
        <v>Zero Balance</v>
      </c>
      <c r="P6967" t="str">
        <f t="shared" si="435"/>
        <v>Mid-term</v>
      </c>
    </row>
    <row r="6968" spans="1:16" x14ac:dyDescent="0.25">
      <c r="A6968">
        <v>2025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  <c r="M6968" t="str">
        <f t="shared" si="432"/>
        <v>&lt;30</v>
      </c>
      <c r="N6968" t="str">
        <f t="shared" si="433"/>
        <v>Medium</v>
      </c>
      <c r="O6968" t="str">
        <f t="shared" si="434"/>
        <v>Zero Balance</v>
      </c>
      <c r="P6968" t="str">
        <f t="shared" si="435"/>
        <v>Mid-term</v>
      </c>
    </row>
    <row r="6969" spans="1:16" x14ac:dyDescent="0.25">
      <c r="A6969">
        <v>2025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  <c r="M6969" t="str">
        <f t="shared" si="432"/>
        <v>&lt;30</v>
      </c>
      <c r="N6969" t="str">
        <f t="shared" si="433"/>
        <v>Low</v>
      </c>
      <c r="O6969" t="str">
        <f t="shared" si="434"/>
        <v>High Balance</v>
      </c>
      <c r="P6969" t="str">
        <f t="shared" si="435"/>
        <v>Long-term</v>
      </c>
    </row>
    <row r="6970" spans="1:16" x14ac:dyDescent="0.25">
      <c r="A6970">
        <v>2025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  <c r="M6970" t="str">
        <f t="shared" si="432"/>
        <v>46-60</v>
      </c>
      <c r="N6970" t="str">
        <f t="shared" si="433"/>
        <v>Medium</v>
      </c>
      <c r="O6970" t="str">
        <f t="shared" si="434"/>
        <v>High Balance</v>
      </c>
      <c r="P6970" t="str">
        <f t="shared" si="435"/>
        <v>Mid-term</v>
      </c>
    </row>
    <row r="6971" spans="1:16" x14ac:dyDescent="0.25">
      <c r="A6971">
        <v>2025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  <c r="M6971" t="str">
        <f t="shared" si="432"/>
        <v>30-45</v>
      </c>
      <c r="N6971" t="str">
        <f t="shared" si="433"/>
        <v>Medium</v>
      </c>
      <c r="O6971" t="str">
        <f t="shared" si="434"/>
        <v>Zero Balance</v>
      </c>
      <c r="P6971" t="str">
        <f t="shared" si="435"/>
        <v>Mid-term</v>
      </c>
    </row>
    <row r="6972" spans="1:16" x14ac:dyDescent="0.25">
      <c r="A6972">
        <v>2025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  <c r="M6972" t="str">
        <f t="shared" si="432"/>
        <v>60+</v>
      </c>
      <c r="N6972" t="str">
        <f t="shared" si="433"/>
        <v>Medium</v>
      </c>
      <c r="O6972" t="str">
        <f t="shared" si="434"/>
        <v>High Balance</v>
      </c>
      <c r="P6972" t="str">
        <f t="shared" si="435"/>
        <v>Mid-term</v>
      </c>
    </row>
    <row r="6973" spans="1:16" x14ac:dyDescent="0.25">
      <c r="A6973">
        <v>2025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  <c r="M6973" t="str">
        <f t="shared" si="432"/>
        <v>30-45</v>
      </c>
      <c r="N6973" t="str">
        <f t="shared" si="433"/>
        <v>Medium</v>
      </c>
      <c r="O6973" t="str">
        <f t="shared" si="434"/>
        <v>High Balance</v>
      </c>
      <c r="P6973" t="str">
        <f t="shared" si="435"/>
        <v>Long-term</v>
      </c>
    </row>
    <row r="6974" spans="1:16" x14ac:dyDescent="0.25">
      <c r="A6974">
        <v>2025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  <c r="M6974" t="str">
        <f t="shared" si="432"/>
        <v>46-60</v>
      </c>
      <c r="N6974" t="str">
        <f t="shared" si="433"/>
        <v>Medium</v>
      </c>
      <c r="O6974" t="str">
        <f t="shared" si="434"/>
        <v>Zero Balance</v>
      </c>
      <c r="P6974" t="str">
        <f t="shared" si="435"/>
        <v>Long-term</v>
      </c>
    </row>
    <row r="6975" spans="1:16" x14ac:dyDescent="0.25">
      <c r="A6975">
        <v>2025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  <c r="M6975" t="str">
        <f t="shared" si="432"/>
        <v>30-45</v>
      </c>
      <c r="N6975" t="str">
        <f t="shared" si="433"/>
        <v>Medium</v>
      </c>
      <c r="O6975" t="str">
        <f t="shared" si="434"/>
        <v>High Balance</v>
      </c>
      <c r="P6975" t="str">
        <f t="shared" si="435"/>
        <v>Long-term</v>
      </c>
    </row>
    <row r="6976" spans="1:16" x14ac:dyDescent="0.25">
      <c r="A6976">
        <v>2025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  <c r="M6976" t="str">
        <f t="shared" si="432"/>
        <v>30-45</v>
      </c>
      <c r="N6976" t="str">
        <f t="shared" si="433"/>
        <v>Medium</v>
      </c>
      <c r="O6976" t="str">
        <f t="shared" si="434"/>
        <v>Zero Balance</v>
      </c>
      <c r="P6976" t="str">
        <f t="shared" si="435"/>
        <v>Long-term</v>
      </c>
    </row>
    <row r="6977" spans="1:16" x14ac:dyDescent="0.25">
      <c r="A6977">
        <v>2025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  <c r="M6977" t="str">
        <f t="shared" si="432"/>
        <v>30-45</v>
      </c>
      <c r="N6977" t="str">
        <f t="shared" si="433"/>
        <v>Medium</v>
      </c>
      <c r="O6977" t="str">
        <f t="shared" si="434"/>
        <v>High Balance</v>
      </c>
      <c r="P6977" t="str">
        <f t="shared" si="435"/>
        <v>New</v>
      </c>
    </row>
    <row r="6978" spans="1:16" x14ac:dyDescent="0.25">
      <c r="A6978">
        <v>2025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  <c r="M6978" t="str">
        <f t="shared" si="432"/>
        <v>30-45</v>
      </c>
      <c r="N6978" t="str">
        <f t="shared" si="433"/>
        <v>High</v>
      </c>
      <c r="O6978" t="str">
        <f t="shared" si="434"/>
        <v>Zero Balance</v>
      </c>
      <c r="P6978" t="str">
        <f t="shared" si="435"/>
        <v>Long-term</v>
      </c>
    </row>
    <row r="6979" spans="1:16" x14ac:dyDescent="0.25">
      <c r="A6979">
        <v>2025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  <c r="M6979" t="str">
        <f t="shared" ref="M6979:M7042" si="436">IF(E6979&lt;30,"&lt;30",IF(E6979&lt;=45,"30-45",IF(E6979&lt;=60,"46-60","60+")))</f>
        <v>30-45</v>
      </c>
      <c r="N6979" t="str">
        <f t="shared" ref="N6979:N7042" si="437">IF(B6979&lt;500,"Low",IF(B6979&lt;700,"Medium","High"))</f>
        <v>Medium</v>
      </c>
      <c r="O6979" t="str">
        <f t="shared" ref="O6979:O7042" si="438">IF(G6979=0,"Zero Balance",IF(G6979&lt;100000,"Low Balance","High Balance"))</f>
        <v>High Balance</v>
      </c>
      <c r="P6979" t="str">
        <f t="shared" ref="P6979:P7042" si="439">IF(F6979&lt;=3,"New",IF(F6979&lt;=7,"Mid-term","Long-term"))</f>
        <v>Mid-term</v>
      </c>
    </row>
    <row r="6980" spans="1:16" x14ac:dyDescent="0.25">
      <c r="A6980">
        <v>2025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  <c r="M6980" t="str">
        <f t="shared" si="436"/>
        <v>46-60</v>
      </c>
      <c r="N6980" t="str">
        <f t="shared" si="437"/>
        <v>Medium</v>
      </c>
      <c r="O6980" t="str">
        <f t="shared" si="438"/>
        <v>Zero Balance</v>
      </c>
      <c r="P6980" t="str">
        <f t="shared" si="439"/>
        <v>Mid-term</v>
      </c>
    </row>
    <row r="6981" spans="1:16" x14ac:dyDescent="0.25">
      <c r="A6981">
        <v>2025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  <c r="M6981" t="str">
        <f t="shared" si="436"/>
        <v>30-45</v>
      </c>
      <c r="N6981" t="str">
        <f t="shared" si="437"/>
        <v>Medium</v>
      </c>
      <c r="O6981" t="str">
        <f t="shared" si="438"/>
        <v>Low Balance</v>
      </c>
      <c r="P6981" t="str">
        <f t="shared" si="439"/>
        <v>Mid-term</v>
      </c>
    </row>
    <row r="6982" spans="1:16" x14ac:dyDescent="0.25">
      <c r="A6982">
        <v>2025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  <c r="M6982" t="str">
        <f t="shared" si="436"/>
        <v>30-45</v>
      </c>
      <c r="N6982" t="str">
        <f t="shared" si="437"/>
        <v>Medium</v>
      </c>
      <c r="O6982" t="str">
        <f t="shared" si="438"/>
        <v>High Balance</v>
      </c>
      <c r="P6982" t="str">
        <f t="shared" si="439"/>
        <v>Long-term</v>
      </c>
    </row>
    <row r="6983" spans="1:16" x14ac:dyDescent="0.25">
      <c r="A6983">
        <v>2025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  <c r="M6983" t="str">
        <f t="shared" si="436"/>
        <v>30-45</v>
      </c>
      <c r="N6983" t="str">
        <f t="shared" si="437"/>
        <v>Medium</v>
      </c>
      <c r="O6983" t="str">
        <f t="shared" si="438"/>
        <v>High Balance</v>
      </c>
      <c r="P6983" t="str">
        <f t="shared" si="439"/>
        <v>Mid-term</v>
      </c>
    </row>
    <row r="6984" spans="1:16" x14ac:dyDescent="0.25">
      <c r="A6984">
        <v>2025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  <c r="M6984" t="str">
        <f t="shared" si="436"/>
        <v>46-60</v>
      </c>
      <c r="N6984" t="str">
        <f t="shared" si="437"/>
        <v>High</v>
      </c>
      <c r="O6984" t="str">
        <f t="shared" si="438"/>
        <v>Zero Balance</v>
      </c>
      <c r="P6984" t="str">
        <f t="shared" si="439"/>
        <v>Mid-term</v>
      </c>
    </row>
    <row r="6985" spans="1:16" x14ac:dyDescent="0.25">
      <c r="A6985">
        <v>2025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  <c r="M6985" t="str">
        <f t="shared" si="436"/>
        <v>30-45</v>
      </c>
      <c r="N6985" t="str">
        <f t="shared" si="437"/>
        <v>High</v>
      </c>
      <c r="O6985" t="str">
        <f t="shared" si="438"/>
        <v>Zero Balance</v>
      </c>
      <c r="P6985" t="str">
        <f t="shared" si="439"/>
        <v>Mid-term</v>
      </c>
    </row>
    <row r="6986" spans="1:16" x14ac:dyDescent="0.25">
      <c r="A6986">
        <v>2025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  <c r="M6986" t="str">
        <f t="shared" si="436"/>
        <v>30-45</v>
      </c>
      <c r="N6986" t="str">
        <f t="shared" si="437"/>
        <v>Medium</v>
      </c>
      <c r="O6986" t="str">
        <f t="shared" si="438"/>
        <v>High Balance</v>
      </c>
      <c r="P6986" t="str">
        <f t="shared" si="439"/>
        <v>Long-term</v>
      </c>
    </row>
    <row r="6987" spans="1:16" x14ac:dyDescent="0.25">
      <c r="A6987">
        <v>2025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  <c r="M6987" t="str">
        <f t="shared" si="436"/>
        <v>30-45</v>
      </c>
      <c r="N6987" t="str">
        <f t="shared" si="437"/>
        <v>High</v>
      </c>
      <c r="O6987" t="str">
        <f t="shared" si="438"/>
        <v>Zero Balance</v>
      </c>
      <c r="P6987" t="str">
        <f t="shared" si="439"/>
        <v>Long-term</v>
      </c>
    </row>
    <row r="6988" spans="1:16" x14ac:dyDescent="0.25">
      <c r="A6988">
        <v>2025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  <c r="M6988" t="str">
        <f t="shared" si="436"/>
        <v>46-60</v>
      </c>
      <c r="N6988" t="str">
        <f t="shared" si="437"/>
        <v>Medium</v>
      </c>
      <c r="O6988" t="str">
        <f t="shared" si="438"/>
        <v>High Balance</v>
      </c>
      <c r="P6988" t="str">
        <f t="shared" si="439"/>
        <v>New</v>
      </c>
    </row>
    <row r="6989" spans="1:16" x14ac:dyDescent="0.25">
      <c r="A6989">
        <v>2025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  <c r="M6989" t="str">
        <f t="shared" si="436"/>
        <v>46-60</v>
      </c>
      <c r="N6989" t="str">
        <f t="shared" si="437"/>
        <v>Medium</v>
      </c>
      <c r="O6989" t="str">
        <f t="shared" si="438"/>
        <v>Low Balance</v>
      </c>
      <c r="P6989" t="str">
        <f t="shared" si="439"/>
        <v>Mid-term</v>
      </c>
    </row>
    <row r="6990" spans="1:16" x14ac:dyDescent="0.25">
      <c r="A6990">
        <v>2025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  <c r="M6990" t="str">
        <f t="shared" si="436"/>
        <v>30-45</v>
      </c>
      <c r="N6990" t="str">
        <f t="shared" si="437"/>
        <v>High</v>
      </c>
      <c r="O6990" t="str">
        <f t="shared" si="438"/>
        <v>Zero Balance</v>
      </c>
      <c r="P6990" t="str">
        <f t="shared" si="439"/>
        <v>New</v>
      </c>
    </row>
    <row r="6991" spans="1:16" x14ac:dyDescent="0.25">
      <c r="A6991">
        <v>2025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  <c r="M6991" t="str">
        <f t="shared" si="436"/>
        <v>30-45</v>
      </c>
      <c r="N6991" t="str">
        <f t="shared" si="437"/>
        <v>High</v>
      </c>
      <c r="O6991" t="str">
        <f t="shared" si="438"/>
        <v>Zero Balance</v>
      </c>
      <c r="P6991" t="str">
        <f t="shared" si="439"/>
        <v>Mid-term</v>
      </c>
    </row>
    <row r="6992" spans="1:16" x14ac:dyDescent="0.25">
      <c r="A6992">
        <v>2025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  <c r="M6992" t="str">
        <f t="shared" si="436"/>
        <v>30-45</v>
      </c>
      <c r="N6992" t="str">
        <f t="shared" si="437"/>
        <v>Medium</v>
      </c>
      <c r="O6992" t="str">
        <f t="shared" si="438"/>
        <v>Zero Balance</v>
      </c>
      <c r="P6992" t="str">
        <f t="shared" si="439"/>
        <v>New</v>
      </c>
    </row>
    <row r="6993" spans="1:16" x14ac:dyDescent="0.25">
      <c r="A6993">
        <v>2025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  <c r="M6993" t="str">
        <f t="shared" si="436"/>
        <v>&lt;30</v>
      </c>
      <c r="N6993" t="str">
        <f t="shared" si="437"/>
        <v>Medium</v>
      </c>
      <c r="O6993" t="str">
        <f t="shared" si="438"/>
        <v>High Balance</v>
      </c>
      <c r="P6993" t="str">
        <f t="shared" si="439"/>
        <v>Long-term</v>
      </c>
    </row>
    <row r="6994" spans="1:16" x14ac:dyDescent="0.25">
      <c r="A6994">
        <v>2025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  <c r="M6994" t="str">
        <f t="shared" si="436"/>
        <v>30-45</v>
      </c>
      <c r="N6994" t="str">
        <f t="shared" si="437"/>
        <v>Medium</v>
      </c>
      <c r="O6994" t="str">
        <f t="shared" si="438"/>
        <v>Low Balance</v>
      </c>
      <c r="P6994" t="str">
        <f t="shared" si="439"/>
        <v>Mid-term</v>
      </c>
    </row>
    <row r="6995" spans="1:16" x14ac:dyDescent="0.25">
      <c r="A6995">
        <v>2025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  <c r="M6995" t="str">
        <f t="shared" si="436"/>
        <v>30-45</v>
      </c>
      <c r="N6995" t="str">
        <f t="shared" si="437"/>
        <v>Medium</v>
      </c>
      <c r="O6995" t="str">
        <f t="shared" si="438"/>
        <v>High Balance</v>
      </c>
      <c r="P6995" t="str">
        <f t="shared" si="439"/>
        <v>New</v>
      </c>
    </row>
    <row r="6996" spans="1:16" x14ac:dyDescent="0.25">
      <c r="A6996">
        <v>2025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  <c r="M6996" t="str">
        <f t="shared" si="436"/>
        <v>&lt;30</v>
      </c>
      <c r="N6996" t="str">
        <f t="shared" si="437"/>
        <v>Medium</v>
      </c>
      <c r="O6996" t="str">
        <f t="shared" si="438"/>
        <v>Zero Balance</v>
      </c>
      <c r="P6996" t="str">
        <f t="shared" si="439"/>
        <v>Mid-term</v>
      </c>
    </row>
    <row r="6997" spans="1:16" x14ac:dyDescent="0.25">
      <c r="A6997">
        <v>2025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  <c r="M6997" t="str">
        <f t="shared" si="436"/>
        <v>30-45</v>
      </c>
      <c r="N6997" t="str">
        <f t="shared" si="437"/>
        <v>Medium</v>
      </c>
      <c r="O6997" t="str">
        <f t="shared" si="438"/>
        <v>High Balance</v>
      </c>
      <c r="P6997" t="str">
        <f t="shared" si="439"/>
        <v>New</v>
      </c>
    </row>
    <row r="6998" spans="1:16" x14ac:dyDescent="0.25">
      <c r="A6998">
        <v>2025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  <c r="M6998" t="str">
        <f t="shared" si="436"/>
        <v>46-60</v>
      </c>
      <c r="N6998" t="str">
        <f t="shared" si="437"/>
        <v>Medium</v>
      </c>
      <c r="O6998" t="str">
        <f t="shared" si="438"/>
        <v>Low Balance</v>
      </c>
      <c r="P6998" t="str">
        <f t="shared" si="439"/>
        <v>New</v>
      </c>
    </row>
    <row r="6999" spans="1:16" x14ac:dyDescent="0.25">
      <c r="A6999">
        <v>2025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  <c r="M6999" t="str">
        <f t="shared" si="436"/>
        <v>60+</v>
      </c>
      <c r="N6999" t="str">
        <f t="shared" si="437"/>
        <v>Medium</v>
      </c>
      <c r="O6999" t="str">
        <f t="shared" si="438"/>
        <v>Low Balance</v>
      </c>
      <c r="P6999" t="str">
        <f t="shared" si="439"/>
        <v>Mid-term</v>
      </c>
    </row>
    <row r="7000" spans="1:16" x14ac:dyDescent="0.25">
      <c r="A7000">
        <v>2025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  <c r="M7000" t="str">
        <f t="shared" si="436"/>
        <v>46-60</v>
      </c>
      <c r="N7000" t="str">
        <f t="shared" si="437"/>
        <v>Medium</v>
      </c>
      <c r="O7000" t="str">
        <f t="shared" si="438"/>
        <v>Zero Balance</v>
      </c>
      <c r="P7000" t="str">
        <f t="shared" si="439"/>
        <v>Mid-term</v>
      </c>
    </row>
    <row r="7001" spans="1:16" x14ac:dyDescent="0.25">
      <c r="A7001">
        <v>2025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  <c r="M7001" t="str">
        <f t="shared" si="436"/>
        <v>&lt;30</v>
      </c>
      <c r="N7001" t="str">
        <f t="shared" si="437"/>
        <v>Medium</v>
      </c>
      <c r="O7001" t="str">
        <f t="shared" si="438"/>
        <v>High Balance</v>
      </c>
      <c r="P7001" t="str">
        <f t="shared" si="439"/>
        <v>Mid-term</v>
      </c>
    </row>
    <row r="7002" spans="1:16" x14ac:dyDescent="0.25">
      <c r="A7002">
        <v>2025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  <c r="M7002" t="str">
        <f t="shared" si="436"/>
        <v>&lt;30</v>
      </c>
      <c r="N7002" t="str">
        <f t="shared" si="437"/>
        <v>High</v>
      </c>
      <c r="O7002" t="str">
        <f t="shared" si="438"/>
        <v>High Balance</v>
      </c>
      <c r="P7002" t="str">
        <f t="shared" si="439"/>
        <v>Long-term</v>
      </c>
    </row>
    <row r="7003" spans="1:16" x14ac:dyDescent="0.25">
      <c r="A7003">
        <v>2025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  <c r="M7003" t="str">
        <f t="shared" si="436"/>
        <v>46-60</v>
      </c>
      <c r="N7003" t="str">
        <f t="shared" si="437"/>
        <v>Medium</v>
      </c>
      <c r="O7003" t="str">
        <f t="shared" si="438"/>
        <v>High Balance</v>
      </c>
      <c r="P7003" t="str">
        <f t="shared" si="439"/>
        <v>Mid-term</v>
      </c>
    </row>
    <row r="7004" spans="1:16" x14ac:dyDescent="0.25">
      <c r="A7004">
        <v>2025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  <c r="M7004" t="str">
        <f t="shared" si="436"/>
        <v>30-45</v>
      </c>
      <c r="N7004" t="str">
        <f t="shared" si="437"/>
        <v>Medium</v>
      </c>
      <c r="O7004" t="str">
        <f t="shared" si="438"/>
        <v>High Balance</v>
      </c>
      <c r="P7004" t="str">
        <f t="shared" si="439"/>
        <v>Long-term</v>
      </c>
    </row>
    <row r="7005" spans="1:16" x14ac:dyDescent="0.25">
      <c r="A7005">
        <v>2025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  <c r="M7005" t="str">
        <f t="shared" si="436"/>
        <v>30-45</v>
      </c>
      <c r="N7005" t="str">
        <f t="shared" si="437"/>
        <v>Medium</v>
      </c>
      <c r="O7005" t="str">
        <f t="shared" si="438"/>
        <v>High Balance</v>
      </c>
      <c r="P7005" t="str">
        <f t="shared" si="439"/>
        <v>New</v>
      </c>
    </row>
    <row r="7006" spans="1:16" x14ac:dyDescent="0.25">
      <c r="A7006">
        <v>2025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  <c r="M7006" t="str">
        <f t="shared" si="436"/>
        <v>46-60</v>
      </c>
      <c r="N7006" t="str">
        <f t="shared" si="437"/>
        <v>Medium</v>
      </c>
      <c r="O7006" t="str">
        <f t="shared" si="438"/>
        <v>High Balance</v>
      </c>
      <c r="P7006" t="str">
        <f t="shared" si="439"/>
        <v>Long-term</v>
      </c>
    </row>
    <row r="7007" spans="1:16" x14ac:dyDescent="0.25">
      <c r="A7007">
        <v>2025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  <c r="M7007" t="str">
        <f t="shared" si="436"/>
        <v>30-45</v>
      </c>
      <c r="N7007" t="str">
        <f t="shared" si="437"/>
        <v>High</v>
      </c>
      <c r="O7007" t="str">
        <f t="shared" si="438"/>
        <v>High Balance</v>
      </c>
      <c r="P7007" t="str">
        <f t="shared" si="439"/>
        <v>New</v>
      </c>
    </row>
    <row r="7008" spans="1:16" x14ac:dyDescent="0.25">
      <c r="A7008">
        <v>2025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  <c r="M7008" t="str">
        <f t="shared" si="436"/>
        <v>30-45</v>
      </c>
      <c r="N7008" t="str">
        <f t="shared" si="437"/>
        <v>Medium</v>
      </c>
      <c r="O7008" t="str">
        <f t="shared" si="438"/>
        <v>Zero Balance</v>
      </c>
      <c r="P7008" t="str">
        <f t="shared" si="439"/>
        <v>Mid-term</v>
      </c>
    </row>
    <row r="7009" spans="1:16" x14ac:dyDescent="0.25">
      <c r="A7009">
        <v>2025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  <c r="M7009" t="str">
        <f t="shared" si="436"/>
        <v>30-45</v>
      </c>
      <c r="N7009" t="str">
        <f t="shared" si="437"/>
        <v>Medium</v>
      </c>
      <c r="O7009" t="str">
        <f t="shared" si="438"/>
        <v>Zero Balance</v>
      </c>
      <c r="P7009" t="str">
        <f t="shared" si="439"/>
        <v>Mid-term</v>
      </c>
    </row>
    <row r="7010" spans="1:16" x14ac:dyDescent="0.25">
      <c r="A7010">
        <v>2025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  <c r="M7010" t="str">
        <f t="shared" si="436"/>
        <v>60+</v>
      </c>
      <c r="N7010" t="str">
        <f t="shared" si="437"/>
        <v>Medium</v>
      </c>
      <c r="O7010" t="str">
        <f t="shared" si="438"/>
        <v>High Balance</v>
      </c>
      <c r="P7010" t="str">
        <f t="shared" si="439"/>
        <v>Mid-term</v>
      </c>
    </row>
    <row r="7011" spans="1:16" x14ac:dyDescent="0.25">
      <c r="A7011">
        <v>2025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  <c r="M7011" t="str">
        <f t="shared" si="436"/>
        <v>&lt;30</v>
      </c>
      <c r="N7011" t="str">
        <f t="shared" si="437"/>
        <v>Medium</v>
      </c>
      <c r="O7011" t="str">
        <f t="shared" si="438"/>
        <v>Zero Balance</v>
      </c>
      <c r="P7011" t="str">
        <f t="shared" si="439"/>
        <v>Mid-term</v>
      </c>
    </row>
    <row r="7012" spans="1:16" x14ac:dyDescent="0.25">
      <c r="A7012">
        <v>2025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  <c r="M7012" t="str">
        <f t="shared" si="436"/>
        <v>30-45</v>
      </c>
      <c r="N7012" t="str">
        <f t="shared" si="437"/>
        <v>Medium</v>
      </c>
      <c r="O7012" t="str">
        <f t="shared" si="438"/>
        <v>Zero Balance</v>
      </c>
      <c r="P7012" t="str">
        <f t="shared" si="439"/>
        <v>Long-term</v>
      </c>
    </row>
    <row r="7013" spans="1:16" x14ac:dyDescent="0.25">
      <c r="A7013">
        <v>2025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  <c r="M7013" t="str">
        <f t="shared" si="436"/>
        <v>&lt;30</v>
      </c>
      <c r="N7013" t="str">
        <f t="shared" si="437"/>
        <v>Medium</v>
      </c>
      <c r="O7013" t="str">
        <f t="shared" si="438"/>
        <v>Zero Balance</v>
      </c>
      <c r="P7013" t="str">
        <f t="shared" si="439"/>
        <v>New</v>
      </c>
    </row>
    <row r="7014" spans="1:16" x14ac:dyDescent="0.25">
      <c r="A7014">
        <v>2025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  <c r="M7014" t="str">
        <f t="shared" si="436"/>
        <v>30-45</v>
      </c>
      <c r="N7014" t="str">
        <f t="shared" si="437"/>
        <v>High</v>
      </c>
      <c r="O7014" t="str">
        <f t="shared" si="438"/>
        <v>Zero Balance</v>
      </c>
      <c r="P7014" t="str">
        <f t="shared" si="439"/>
        <v>Long-term</v>
      </c>
    </row>
    <row r="7015" spans="1:16" x14ac:dyDescent="0.25">
      <c r="A7015">
        <v>2025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  <c r="M7015" t="str">
        <f t="shared" si="436"/>
        <v>30-45</v>
      </c>
      <c r="N7015" t="str">
        <f t="shared" si="437"/>
        <v>High</v>
      </c>
      <c r="O7015" t="str">
        <f t="shared" si="438"/>
        <v>Zero Balance</v>
      </c>
      <c r="P7015" t="str">
        <f t="shared" si="439"/>
        <v>Long-term</v>
      </c>
    </row>
    <row r="7016" spans="1:16" x14ac:dyDescent="0.25">
      <c r="A7016">
        <v>2025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  <c r="M7016" t="str">
        <f t="shared" si="436"/>
        <v>30-45</v>
      </c>
      <c r="N7016" t="str">
        <f t="shared" si="437"/>
        <v>Low</v>
      </c>
      <c r="O7016" t="str">
        <f t="shared" si="438"/>
        <v>Zero Balance</v>
      </c>
      <c r="P7016" t="str">
        <f t="shared" si="439"/>
        <v>New</v>
      </c>
    </row>
    <row r="7017" spans="1:16" x14ac:dyDescent="0.25">
      <c r="A7017">
        <v>2025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  <c r="M7017" t="str">
        <f t="shared" si="436"/>
        <v>30-45</v>
      </c>
      <c r="N7017" t="str">
        <f t="shared" si="437"/>
        <v>Medium</v>
      </c>
      <c r="O7017" t="str">
        <f t="shared" si="438"/>
        <v>Zero Balance</v>
      </c>
      <c r="P7017" t="str">
        <f t="shared" si="439"/>
        <v>Mid-term</v>
      </c>
    </row>
    <row r="7018" spans="1:16" x14ac:dyDescent="0.25">
      <c r="A7018">
        <v>2025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  <c r="M7018" t="str">
        <f t="shared" si="436"/>
        <v>46-60</v>
      </c>
      <c r="N7018" t="str">
        <f t="shared" si="437"/>
        <v>High</v>
      </c>
      <c r="O7018" t="str">
        <f t="shared" si="438"/>
        <v>Low Balance</v>
      </c>
      <c r="P7018" t="str">
        <f t="shared" si="439"/>
        <v>New</v>
      </c>
    </row>
    <row r="7019" spans="1:16" x14ac:dyDescent="0.25">
      <c r="A7019">
        <v>2025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  <c r="M7019" t="str">
        <f t="shared" si="436"/>
        <v>&lt;30</v>
      </c>
      <c r="N7019" t="str">
        <f t="shared" si="437"/>
        <v>Medium</v>
      </c>
      <c r="O7019" t="str">
        <f t="shared" si="438"/>
        <v>High Balance</v>
      </c>
      <c r="P7019" t="str">
        <f t="shared" si="439"/>
        <v>Mid-term</v>
      </c>
    </row>
    <row r="7020" spans="1:16" x14ac:dyDescent="0.25">
      <c r="A7020">
        <v>2025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  <c r="M7020" t="str">
        <f t="shared" si="436"/>
        <v>46-60</v>
      </c>
      <c r="N7020" t="str">
        <f t="shared" si="437"/>
        <v>High</v>
      </c>
      <c r="O7020" t="str">
        <f t="shared" si="438"/>
        <v>High Balance</v>
      </c>
      <c r="P7020" t="str">
        <f t="shared" si="439"/>
        <v>Long-term</v>
      </c>
    </row>
    <row r="7021" spans="1:16" x14ac:dyDescent="0.25">
      <c r="A7021">
        <v>2025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  <c r="M7021" t="str">
        <f t="shared" si="436"/>
        <v>30-45</v>
      </c>
      <c r="N7021" t="str">
        <f t="shared" si="437"/>
        <v>Medium</v>
      </c>
      <c r="O7021" t="str">
        <f t="shared" si="438"/>
        <v>High Balance</v>
      </c>
      <c r="P7021" t="str">
        <f t="shared" si="439"/>
        <v>New</v>
      </c>
    </row>
    <row r="7022" spans="1:16" x14ac:dyDescent="0.25">
      <c r="A7022">
        <v>2025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  <c r="M7022" t="str">
        <f t="shared" si="436"/>
        <v>&lt;30</v>
      </c>
      <c r="N7022" t="str">
        <f t="shared" si="437"/>
        <v>Medium</v>
      </c>
      <c r="O7022" t="str">
        <f t="shared" si="438"/>
        <v>Zero Balance</v>
      </c>
      <c r="P7022" t="str">
        <f t="shared" si="439"/>
        <v>Mid-term</v>
      </c>
    </row>
    <row r="7023" spans="1:16" x14ac:dyDescent="0.25">
      <c r="A7023">
        <v>2025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  <c r="M7023" t="str">
        <f t="shared" si="436"/>
        <v>&lt;30</v>
      </c>
      <c r="N7023" t="str">
        <f t="shared" si="437"/>
        <v>Medium</v>
      </c>
      <c r="O7023" t="str">
        <f t="shared" si="438"/>
        <v>High Balance</v>
      </c>
      <c r="P7023" t="str">
        <f t="shared" si="439"/>
        <v>Mid-term</v>
      </c>
    </row>
    <row r="7024" spans="1:16" x14ac:dyDescent="0.25">
      <c r="A7024">
        <v>2025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  <c r="M7024" t="str">
        <f t="shared" si="436"/>
        <v>46-60</v>
      </c>
      <c r="N7024" t="str">
        <f t="shared" si="437"/>
        <v>Low</v>
      </c>
      <c r="O7024" t="str">
        <f t="shared" si="438"/>
        <v>High Balance</v>
      </c>
      <c r="P7024" t="str">
        <f t="shared" si="439"/>
        <v>New</v>
      </c>
    </row>
    <row r="7025" spans="1:16" x14ac:dyDescent="0.25">
      <c r="A7025">
        <v>2025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  <c r="M7025" t="str">
        <f t="shared" si="436"/>
        <v>&lt;30</v>
      </c>
      <c r="N7025" t="str">
        <f t="shared" si="437"/>
        <v>Medium</v>
      </c>
      <c r="O7025" t="str">
        <f t="shared" si="438"/>
        <v>High Balance</v>
      </c>
      <c r="P7025" t="str">
        <f t="shared" si="439"/>
        <v>Long-term</v>
      </c>
    </row>
    <row r="7026" spans="1:16" x14ac:dyDescent="0.25">
      <c r="A7026">
        <v>2025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  <c r="M7026" t="str">
        <f t="shared" si="436"/>
        <v>30-45</v>
      </c>
      <c r="N7026" t="str">
        <f t="shared" si="437"/>
        <v>Medium</v>
      </c>
      <c r="O7026" t="str">
        <f t="shared" si="438"/>
        <v>High Balance</v>
      </c>
      <c r="P7026" t="str">
        <f t="shared" si="439"/>
        <v>Mid-term</v>
      </c>
    </row>
    <row r="7027" spans="1:16" x14ac:dyDescent="0.25">
      <c r="A7027">
        <v>2025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  <c r="M7027" t="str">
        <f t="shared" si="436"/>
        <v>46-60</v>
      </c>
      <c r="N7027" t="str">
        <f t="shared" si="437"/>
        <v>Medium</v>
      </c>
      <c r="O7027" t="str">
        <f t="shared" si="438"/>
        <v>Zero Balance</v>
      </c>
      <c r="P7027" t="str">
        <f t="shared" si="439"/>
        <v>New</v>
      </c>
    </row>
    <row r="7028" spans="1:16" x14ac:dyDescent="0.25">
      <c r="A7028">
        <v>2025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  <c r="M7028" t="str">
        <f t="shared" si="436"/>
        <v>&lt;30</v>
      </c>
      <c r="N7028" t="str">
        <f t="shared" si="437"/>
        <v>Medium</v>
      </c>
      <c r="O7028" t="str">
        <f t="shared" si="438"/>
        <v>Zero Balance</v>
      </c>
      <c r="P7028" t="str">
        <f t="shared" si="439"/>
        <v>New</v>
      </c>
    </row>
    <row r="7029" spans="1:16" x14ac:dyDescent="0.25">
      <c r="A7029">
        <v>2025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  <c r="M7029" t="str">
        <f t="shared" si="436"/>
        <v>30-45</v>
      </c>
      <c r="N7029" t="str">
        <f t="shared" si="437"/>
        <v>Low</v>
      </c>
      <c r="O7029" t="str">
        <f t="shared" si="438"/>
        <v>High Balance</v>
      </c>
      <c r="P7029" t="str">
        <f t="shared" si="439"/>
        <v>Mid-term</v>
      </c>
    </row>
    <row r="7030" spans="1:16" x14ac:dyDescent="0.25">
      <c r="A7030">
        <v>2025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  <c r="M7030" t="str">
        <f t="shared" si="436"/>
        <v>&lt;30</v>
      </c>
      <c r="N7030" t="str">
        <f t="shared" si="437"/>
        <v>High</v>
      </c>
      <c r="O7030" t="str">
        <f t="shared" si="438"/>
        <v>High Balance</v>
      </c>
      <c r="P7030" t="str">
        <f t="shared" si="439"/>
        <v>Mid-term</v>
      </c>
    </row>
    <row r="7031" spans="1:16" x14ac:dyDescent="0.25">
      <c r="A7031">
        <v>2025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  <c r="M7031" t="str">
        <f t="shared" si="436"/>
        <v>46-60</v>
      </c>
      <c r="N7031" t="str">
        <f t="shared" si="437"/>
        <v>Medium</v>
      </c>
      <c r="O7031" t="str">
        <f t="shared" si="438"/>
        <v>Zero Balance</v>
      </c>
      <c r="P7031" t="str">
        <f t="shared" si="439"/>
        <v>Mid-term</v>
      </c>
    </row>
    <row r="7032" spans="1:16" x14ac:dyDescent="0.25">
      <c r="A7032">
        <v>2025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  <c r="M7032" t="str">
        <f t="shared" si="436"/>
        <v>30-45</v>
      </c>
      <c r="N7032" t="str">
        <f t="shared" si="437"/>
        <v>Medium</v>
      </c>
      <c r="O7032" t="str">
        <f t="shared" si="438"/>
        <v>High Balance</v>
      </c>
      <c r="P7032" t="str">
        <f t="shared" si="439"/>
        <v>Long-term</v>
      </c>
    </row>
    <row r="7033" spans="1:16" x14ac:dyDescent="0.25">
      <c r="A7033">
        <v>2025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  <c r="M7033" t="str">
        <f t="shared" si="436"/>
        <v>46-60</v>
      </c>
      <c r="N7033" t="str">
        <f t="shared" si="437"/>
        <v>Low</v>
      </c>
      <c r="O7033" t="str">
        <f t="shared" si="438"/>
        <v>Low Balance</v>
      </c>
      <c r="P7033" t="str">
        <f t="shared" si="439"/>
        <v>New</v>
      </c>
    </row>
    <row r="7034" spans="1:16" x14ac:dyDescent="0.25">
      <c r="A7034">
        <v>2025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  <c r="M7034" t="str">
        <f t="shared" si="436"/>
        <v>30-45</v>
      </c>
      <c r="N7034" t="str">
        <f t="shared" si="437"/>
        <v>Medium</v>
      </c>
      <c r="O7034" t="str">
        <f t="shared" si="438"/>
        <v>Zero Balance</v>
      </c>
      <c r="P7034" t="str">
        <f t="shared" si="439"/>
        <v>Mid-term</v>
      </c>
    </row>
    <row r="7035" spans="1:16" x14ac:dyDescent="0.25">
      <c r="A7035">
        <v>2025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  <c r="M7035" t="str">
        <f t="shared" si="436"/>
        <v>30-45</v>
      </c>
      <c r="N7035" t="str">
        <f t="shared" si="437"/>
        <v>Medium</v>
      </c>
      <c r="O7035" t="str">
        <f t="shared" si="438"/>
        <v>Zero Balance</v>
      </c>
      <c r="P7035" t="str">
        <f t="shared" si="439"/>
        <v>Mid-term</v>
      </c>
    </row>
    <row r="7036" spans="1:16" x14ac:dyDescent="0.25">
      <c r="A7036">
        <v>2025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  <c r="M7036" t="str">
        <f t="shared" si="436"/>
        <v>46-60</v>
      </c>
      <c r="N7036" t="str">
        <f t="shared" si="437"/>
        <v>Low</v>
      </c>
      <c r="O7036" t="str">
        <f t="shared" si="438"/>
        <v>High Balance</v>
      </c>
      <c r="P7036" t="str">
        <f t="shared" si="439"/>
        <v>New</v>
      </c>
    </row>
    <row r="7037" spans="1:16" x14ac:dyDescent="0.25">
      <c r="A7037">
        <v>2025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  <c r="M7037" t="str">
        <f t="shared" si="436"/>
        <v>46-60</v>
      </c>
      <c r="N7037" t="str">
        <f t="shared" si="437"/>
        <v>Medium</v>
      </c>
      <c r="O7037" t="str">
        <f t="shared" si="438"/>
        <v>High Balance</v>
      </c>
      <c r="P7037" t="str">
        <f t="shared" si="439"/>
        <v>Mid-term</v>
      </c>
    </row>
    <row r="7038" spans="1:16" x14ac:dyDescent="0.25">
      <c r="A7038">
        <v>2025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  <c r="M7038" t="str">
        <f t="shared" si="436"/>
        <v>30-45</v>
      </c>
      <c r="N7038" t="str">
        <f t="shared" si="437"/>
        <v>Medium</v>
      </c>
      <c r="O7038" t="str">
        <f t="shared" si="438"/>
        <v>High Balance</v>
      </c>
      <c r="P7038" t="str">
        <f t="shared" si="439"/>
        <v>New</v>
      </c>
    </row>
    <row r="7039" spans="1:16" x14ac:dyDescent="0.25">
      <c r="A7039">
        <v>2025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  <c r="M7039" t="str">
        <f t="shared" si="436"/>
        <v>46-60</v>
      </c>
      <c r="N7039" t="str">
        <f t="shared" si="437"/>
        <v>Medium</v>
      </c>
      <c r="O7039" t="str">
        <f t="shared" si="438"/>
        <v>High Balance</v>
      </c>
      <c r="P7039" t="str">
        <f t="shared" si="439"/>
        <v>Long-term</v>
      </c>
    </row>
    <row r="7040" spans="1:16" x14ac:dyDescent="0.25">
      <c r="A7040">
        <v>2025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  <c r="M7040" t="str">
        <f t="shared" si="436"/>
        <v>30-45</v>
      </c>
      <c r="N7040" t="str">
        <f t="shared" si="437"/>
        <v>Medium</v>
      </c>
      <c r="O7040" t="str">
        <f t="shared" si="438"/>
        <v>Zero Balance</v>
      </c>
      <c r="P7040" t="str">
        <f t="shared" si="439"/>
        <v>New</v>
      </c>
    </row>
    <row r="7041" spans="1:16" x14ac:dyDescent="0.25">
      <c r="A7041">
        <v>2025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  <c r="M7041" t="str">
        <f t="shared" si="436"/>
        <v>46-60</v>
      </c>
      <c r="N7041" t="str">
        <f t="shared" si="437"/>
        <v>Medium</v>
      </c>
      <c r="O7041" t="str">
        <f t="shared" si="438"/>
        <v>High Balance</v>
      </c>
      <c r="P7041" t="str">
        <f t="shared" si="439"/>
        <v>New</v>
      </c>
    </row>
    <row r="7042" spans="1:16" x14ac:dyDescent="0.25">
      <c r="A7042">
        <v>2025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  <c r="M7042" t="str">
        <f t="shared" si="436"/>
        <v>46-60</v>
      </c>
      <c r="N7042" t="str">
        <f t="shared" si="437"/>
        <v>Medium</v>
      </c>
      <c r="O7042" t="str">
        <f t="shared" si="438"/>
        <v>Zero Balance</v>
      </c>
      <c r="P7042" t="str">
        <f t="shared" si="439"/>
        <v>New</v>
      </c>
    </row>
    <row r="7043" spans="1:16" x14ac:dyDescent="0.25">
      <c r="A7043">
        <v>2025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  <c r="M7043" t="str">
        <f t="shared" ref="M7043:M7106" si="440">IF(E7043&lt;30,"&lt;30",IF(E7043&lt;=45,"30-45",IF(E7043&lt;=60,"46-60","60+")))</f>
        <v>30-45</v>
      </c>
      <c r="N7043" t="str">
        <f t="shared" ref="N7043:N7106" si="441">IF(B7043&lt;500,"Low",IF(B7043&lt;700,"Medium","High"))</f>
        <v>Low</v>
      </c>
      <c r="O7043" t="str">
        <f t="shared" ref="O7043:O7106" si="442">IF(G7043=0,"Zero Balance",IF(G7043&lt;100000,"Low Balance","High Balance"))</f>
        <v>Zero Balance</v>
      </c>
      <c r="P7043" t="str">
        <f t="shared" ref="P7043:P7106" si="443">IF(F7043&lt;=3,"New",IF(F7043&lt;=7,"Mid-term","Long-term"))</f>
        <v>New</v>
      </c>
    </row>
    <row r="7044" spans="1:16" x14ac:dyDescent="0.25">
      <c r="A7044">
        <v>2025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  <c r="M7044" t="str">
        <f t="shared" si="440"/>
        <v>30-45</v>
      </c>
      <c r="N7044" t="str">
        <f t="shared" si="441"/>
        <v>Medium</v>
      </c>
      <c r="O7044" t="str">
        <f t="shared" si="442"/>
        <v>Zero Balance</v>
      </c>
      <c r="P7044" t="str">
        <f t="shared" si="443"/>
        <v>New</v>
      </c>
    </row>
    <row r="7045" spans="1:16" x14ac:dyDescent="0.25">
      <c r="A7045">
        <v>2025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  <c r="M7045" t="str">
        <f t="shared" si="440"/>
        <v>30-45</v>
      </c>
      <c r="N7045" t="str">
        <f t="shared" si="441"/>
        <v>Medium</v>
      </c>
      <c r="O7045" t="str">
        <f t="shared" si="442"/>
        <v>Low Balance</v>
      </c>
      <c r="P7045" t="str">
        <f t="shared" si="443"/>
        <v>New</v>
      </c>
    </row>
    <row r="7046" spans="1:16" x14ac:dyDescent="0.25">
      <c r="A7046">
        <v>2025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  <c r="M7046" t="str">
        <f t="shared" si="440"/>
        <v>&lt;30</v>
      </c>
      <c r="N7046" t="str">
        <f t="shared" si="441"/>
        <v>Medium</v>
      </c>
      <c r="O7046" t="str">
        <f t="shared" si="442"/>
        <v>Zero Balance</v>
      </c>
      <c r="P7046" t="str">
        <f t="shared" si="443"/>
        <v>New</v>
      </c>
    </row>
    <row r="7047" spans="1:16" x14ac:dyDescent="0.25">
      <c r="A7047">
        <v>2025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  <c r="M7047" t="str">
        <f t="shared" si="440"/>
        <v>30-45</v>
      </c>
      <c r="N7047" t="str">
        <f t="shared" si="441"/>
        <v>High</v>
      </c>
      <c r="O7047" t="str">
        <f t="shared" si="442"/>
        <v>Zero Balance</v>
      </c>
      <c r="P7047" t="str">
        <f t="shared" si="443"/>
        <v>Mid-term</v>
      </c>
    </row>
    <row r="7048" spans="1:16" x14ac:dyDescent="0.25">
      <c r="A7048">
        <v>2025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  <c r="M7048" t="str">
        <f t="shared" si="440"/>
        <v>&lt;30</v>
      </c>
      <c r="N7048" t="str">
        <f t="shared" si="441"/>
        <v>Medium</v>
      </c>
      <c r="O7048" t="str">
        <f t="shared" si="442"/>
        <v>High Balance</v>
      </c>
      <c r="P7048" t="str">
        <f t="shared" si="443"/>
        <v>New</v>
      </c>
    </row>
    <row r="7049" spans="1:16" x14ac:dyDescent="0.25">
      <c r="A7049">
        <v>2025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  <c r="M7049" t="str">
        <f t="shared" si="440"/>
        <v>30-45</v>
      </c>
      <c r="N7049" t="str">
        <f t="shared" si="441"/>
        <v>High</v>
      </c>
      <c r="O7049" t="str">
        <f t="shared" si="442"/>
        <v>High Balance</v>
      </c>
      <c r="P7049" t="str">
        <f t="shared" si="443"/>
        <v>New</v>
      </c>
    </row>
    <row r="7050" spans="1:16" x14ac:dyDescent="0.25">
      <c r="A7050">
        <v>2025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  <c r="M7050" t="str">
        <f t="shared" si="440"/>
        <v>46-60</v>
      </c>
      <c r="N7050" t="str">
        <f t="shared" si="441"/>
        <v>Medium</v>
      </c>
      <c r="O7050" t="str">
        <f t="shared" si="442"/>
        <v>Zero Balance</v>
      </c>
      <c r="P7050" t="str">
        <f t="shared" si="443"/>
        <v>Mid-term</v>
      </c>
    </row>
    <row r="7051" spans="1:16" x14ac:dyDescent="0.25">
      <c r="A7051">
        <v>2025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  <c r="M7051" t="str">
        <f t="shared" si="440"/>
        <v>30-45</v>
      </c>
      <c r="N7051" t="str">
        <f t="shared" si="441"/>
        <v>Medium</v>
      </c>
      <c r="O7051" t="str">
        <f t="shared" si="442"/>
        <v>High Balance</v>
      </c>
      <c r="P7051" t="str">
        <f t="shared" si="443"/>
        <v>Mid-term</v>
      </c>
    </row>
    <row r="7052" spans="1:16" x14ac:dyDescent="0.25">
      <c r="A7052">
        <v>2025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  <c r="M7052" t="str">
        <f t="shared" si="440"/>
        <v>&lt;30</v>
      </c>
      <c r="N7052" t="str">
        <f t="shared" si="441"/>
        <v>Medium</v>
      </c>
      <c r="O7052" t="str">
        <f t="shared" si="442"/>
        <v>Zero Balance</v>
      </c>
      <c r="P7052" t="str">
        <f t="shared" si="443"/>
        <v>Mid-term</v>
      </c>
    </row>
    <row r="7053" spans="1:16" x14ac:dyDescent="0.25">
      <c r="A7053">
        <v>2025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  <c r="M7053" t="str">
        <f t="shared" si="440"/>
        <v>30-45</v>
      </c>
      <c r="N7053" t="str">
        <f t="shared" si="441"/>
        <v>Medium</v>
      </c>
      <c r="O7053" t="str">
        <f t="shared" si="442"/>
        <v>Zero Balance</v>
      </c>
      <c r="P7053" t="str">
        <f t="shared" si="443"/>
        <v>New</v>
      </c>
    </row>
    <row r="7054" spans="1:16" x14ac:dyDescent="0.25">
      <c r="A7054">
        <v>2025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  <c r="M7054" t="str">
        <f t="shared" si="440"/>
        <v>30-45</v>
      </c>
      <c r="N7054" t="str">
        <f t="shared" si="441"/>
        <v>Medium</v>
      </c>
      <c r="O7054" t="str">
        <f t="shared" si="442"/>
        <v>Zero Balance</v>
      </c>
      <c r="P7054" t="str">
        <f t="shared" si="443"/>
        <v>Mid-term</v>
      </c>
    </row>
    <row r="7055" spans="1:16" x14ac:dyDescent="0.25">
      <c r="A7055">
        <v>2025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  <c r="M7055" t="str">
        <f t="shared" si="440"/>
        <v>30-45</v>
      </c>
      <c r="N7055" t="str">
        <f t="shared" si="441"/>
        <v>High</v>
      </c>
      <c r="O7055" t="str">
        <f t="shared" si="442"/>
        <v>High Balance</v>
      </c>
      <c r="P7055" t="str">
        <f t="shared" si="443"/>
        <v>Mid-term</v>
      </c>
    </row>
    <row r="7056" spans="1:16" x14ac:dyDescent="0.25">
      <c r="A7056">
        <v>2025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  <c r="M7056" t="str">
        <f t="shared" si="440"/>
        <v>30-45</v>
      </c>
      <c r="N7056" t="str">
        <f t="shared" si="441"/>
        <v>High</v>
      </c>
      <c r="O7056" t="str">
        <f t="shared" si="442"/>
        <v>Zero Balance</v>
      </c>
      <c r="P7056" t="str">
        <f t="shared" si="443"/>
        <v>Mid-term</v>
      </c>
    </row>
    <row r="7057" spans="1:16" x14ac:dyDescent="0.25">
      <c r="A7057">
        <v>2025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  <c r="M7057" t="str">
        <f t="shared" si="440"/>
        <v>30-45</v>
      </c>
      <c r="N7057" t="str">
        <f t="shared" si="441"/>
        <v>Medium</v>
      </c>
      <c r="O7057" t="str">
        <f t="shared" si="442"/>
        <v>High Balance</v>
      </c>
      <c r="P7057" t="str">
        <f t="shared" si="443"/>
        <v>Long-term</v>
      </c>
    </row>
    <row r="7058" spans="1:16" x14ac:dyDescent="0.25">
      <c r="A7058">
        <v>2025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  <c r="M7058" t="str">
        <f t="shared" si="440"/>
        <v>30-45</v>
      </c>
      <c r="N7058" t="str">
        <f t="shared" si="441"/>
        <v>High</v>
      </c>
      <c r="O7058" t="str">
        <f t="shared" si="442"/>
        <v>Zero Balance</v>
      </c>
      <c r="P7058" t="str">
        <f t="shared" si="443"/>
        <v>Long-term</v>
      </c>
    </row>
    <row r="7059" spans="1:16" x14ac:dyDescent="0.25">
      <c r="A7059">
        <v>2025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  <c r="M7059" t="str">
        <f t="shared" si="440"/>
        <v>60+</v>
      </c>
      <c r="N7059" t="str">
        <f t="shared" si="441"/>
        <v>High</v>
      </c>
      <c r="O7059" t="str">
        <f t="shared" si="442"/>
        <v>High Balance</v>
      </c>
      <c r="P7059" t="str">
        <f t="shared" si="443"/>
        <v>Long-term</v>
      </c>
    </row>
    <row r="7060" spans="1:16" x14ac:dyDescent="0.25">
      <c r="A7060">
        <v>2025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  <c r="M7060" t="str">
        <f t="shared" si="440"/>
        <v>60+</v>
      </c>
      <c r="N7060" t="str">
        <f t="shared" si="441"/>
        <v>Medium</v>
      </c>
      <c r="O7060" t="str">
        <f t="shared" si="442"/>
        <v>High Balance</v>
      </c>
      <c r="P7060" t="str">
        <f t="shared" si="443"/>
        <v>Mid-term</v>
      </c>
    </row>
    <row r="7061" spans="1:16" x14ac:dyDescent="0.25">
      <c r="A7061">
        <v>2025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  <c r="M7061" t="str">
        <f t="shared" si="440"/>
        <v>30-45</v>
      </c>
      <c r="N7061" t="str">
        <f t="shared" si="441"/>
        <v>Medium</v>
      </c>
      <c r="O7061" t="str">
        <f t="shared" si="442"/>
        <v>High Balance</v>
      </c>
      <c r="P7061" t="str">
        <f t="shared" si="443"/>
        <v>Mid-term</v>
      </c>
    </row>
    <row r="7062" spans="1:16" x14ac:dyDescent="0.25">
      <c r="A7062">
        <v>2025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  <c r="M7062" t="str">
        <f t="shared" si="440"/>
        <v>30-45</v>
      </c>
      <c r="N7062" t="str">
        <f t="shared" si="441"/>
        <v>High</v>
      </c>
      <c r="O7062" t="str">
        <f t="shared" si="442"/>
        <v>Zero Balance</v>
      </c>
      <c r="P7062" t="str">
        <f t="shared" si="443"/>
        <v>New</v>
      </c>
    </row>
    <row r="7063" spans="1:16" x14ac:dyDescent="0.25">
      <c r="A7063">
        <v>2025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  <c r="M7063" t="str">
        <f t="shared" si="440"/>
        <v>30-45</v>
      </c>
      <c r="N7063" t="str">
        <f t="shared" si="441"/>
        <v>Medium</v>
      </c>
      <c r="O7063" t="str">
        <f t="shared" si="442"/>
        <v>High Balance</v>
      </c>
      <c r="P7063" t="str">
        <f t="shared" si="443"/>
        <v>Long-term</v>
      </c>
    </row>
    <row r="7064" spans="1:16" x14ac:dyDescent="0.25">
      <c r="A7064">
        <v>2025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  <c r="M7064" t="str">
        <f t="shared" si="440"/>
        <v>30-45</v>
      </c>
      <c r="N7064" t="str">
        <f t="shared" si="441"/>
        <v>Medium</v>
      </c>
      <c r="O7064" t="str">
        <f t="shared" si="442"/>
        <v>High Balance</v>
      </c>
      <c r="P7064" t="str">
        <f t="shared" si="443"/>
        <v>Mid-term</v>
      </c>
    </row>
    <row r="7065" spans="1:16" x14ac:dyDescent="0.25">
      <c r="A7065">
        <v>2025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  <c r="M7065" t="str">
        <f t="shared" si="440"/>
        <v>60+</v>
      </c>
      <c r="N7065" t="str">
        <f t="shared" si="441"/>
        <v>Medium</v>
      </c>
      <c r="O7065" t="str">
        <f t="shared" si="442"/>
        <v>High Balance</v>
      </c>
      <c r="P7065" t="str">
        <f t="shared" si="443"/>
        <v>New</v>
      </c>
    </row>
    <row r="7066" spans="1:16" x14ac:dyDescent="0.25">
      <c r="A7066">
        <v>2025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  <c r="M7066" t="str">
        <f t="shared" si="440"/>
        <v>30-45</v>
      </c>
      <c r="N7066" t="str">
        <f t="shared" si="441"/>
        <v>High</v>
      </c>
      <c r="O7066" t="str">
        <f t="shared" si="442"/>
        <v>Zero Balance</v>
      </c>
      <c r="P7066" t="str">
        <f t="shared" si="443"/>
        <v>New</v>
      </c>
    </row>
    <row r="7067" spans="1:16" x14ac:dyDescent="0.25">
      <c r="A7067">
        <v>2025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  <c r="M7067" t="str">
        <f t="shared" si="440"/>
        <v>46-60</v>
      </c>
      <c r="N7067" t="str">
        <f t="shared" si="441"/>
        <v>Medium</v>
      </c>
      <c r="O7067" t="str">
        <f t="shared" si="442"/>
        <v>Zero Balance</v>
      </c>
      <c r="P7067" t="str">
        <f t="shared" si="443"/>
        <v>Long-term</v>
      </c>
    </row>
    <row r="7068" spans="1:16" x14ac:dyDescent="0.25">
      <c r="A7068">
        <v>2025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  <c r="M7068" t="str">
        <f t="shared" si="440"/>
        <v>30-45</v>
      </c>
      <c r="N7068" t="str">
        <f t="shared" si="441"/>
        <v>High</v>
      </c>
      <c r="O7068" t="str">
        <f t="shared" si="442"/>
        <v>Zero Balance</v>
      </c>
      <c r="P7068" t="str">
        <f t="shared" si="443"/>
        <v>New</v>
      </c>
    </row>
    <row r="7069" spans="1:16" x14ac:dyDescent="0.25">
      <c r="A7069">
        <v>2025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  <c r="M7069" t="str">
        <f t="shared" si="440"/>
        <v>&lt;30</v>
      </c>
      <c r="N7069" t="str">
        <f t="shared" si="441"/>
        <v>High</v>
      </c>
      <c r="O7069" t="str">
        <f t="shared" si="442"/>
        <v>Zero Balance</v>
      </c>
      <c r="P7069" t="str">
        <f t="shared" si="443"/>
        <v>Mid-term</v>
      </c>
    </row>
    <row r="7070" spans="1:16" x14ac:dyDescent="0.25">
      <c r="A7070">
        <v>2025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  <c r="M7070" t="str">
        <f t="shared" si="440"/>
        <v>46-60</v>
      </c>
      <c r="N7070" t="str">
        <f t="shared" si="441"/>
        <v>Medium</v>
      </c>
      <c r="O7070" t="str">
        <f t="shared" si="442"/>
        <v>High Balance</v>
      </c>
      <c r="P7070" t="str">
        <f t="shared" si="443"/>
        <v>New</v>
      </c>
    </row>
    <row r="7071" spans="1:16" x14ac:dyDescent="0.25">
      <c r="A7071">
        <v>2025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  <c r="M7071" t="str">
        <f t="shared" si="440"/>
        <v>46-60</v>
      </c>
      <c r="N7071" t="str">
        <f t="shared" si="441"/>
        <v>High</v>
      </c>
      <c r="O7071" t="str">
        <f t="shared" si="442"/>
        <v>Zero Balance</v>
      </c>
      <c r="P7071" t="str">
        <f t="shared" si="443"/>
        <v>New</v>
      </c>
    </row>
    <row r="7072" spans="1:16" x14ac:dyDescent="0.25">
      <c r="A7072">
        <v>2025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  <c r="M7072" t="str">
        <f t="shared" si="440"/>
        <v>30-45</v>
      </c>
      <c r="N7072" t="str">
        <f t="shared" si="441"/>
        <v>High</v>
      </c>
      <c r="O7072" t="str">
        <f t="shared" si="442"/>
        <v>High Balance</v>
      </c>
      <c r="P7072" t="str">
        <f t="shared" si="443"/>
        <v>New</v>
      </c>
    </row>
    <row r="7073" spans="1:16" x14ac:dyDescent="0.25">
      <c r="A7073">
        <v>2025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  <c r="M7073" t="str">
        <f t="shared" si="440"/>
        <v>60+</v>
      </c>
      <c r="N7073" t="str">
        <f t="shared" si="441"/>
        <v>Medium</v>
      </c>
      <c r="O7073" t="str">
        <f t="shared" si="442"/>
        <v>Zero Balance</v>
      </c>
      <c r="P7073" t="str">
        <f t="shared" si="443"/>
        <v>Mid-term</v>
      </c>
    </row>
    <row r="7074" spans="1:16" x14ac:dyDescent="0.25">
      <c r="A7074">
        <v>2025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  <c r="M7074" t="str">
        <f t="shared" si="440"/>
        <v>30-45</v>
      </c>
      <c r="N7074" t="str">
        <f t="shared" si="441"/>
        <v>Medium</v>
      </c>
      <c r="O7074" t="str">
        <f t="shared" si="442"/>
        <v>High Balance</v>
      </c>
      <c r="P7074" t="str">
        <f t="shared" si="443"/>
        <v>Long-term</v>
      </c>
    </row>
    <row r="7075" spans="1:16" x14ac:dyDescent="0.25">
      <c r="A7075">
        <v>2025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  <c r="M7075" t="str">
        <f t="shared" si="440"/>
        <v>30-45</v>
      </c>
      <c r="N7075" t="str">
        <f t="shared" si="441"/>
        <v>Medium</v>
      </c>
      <c r="O7075" t="str">
        <f t="shared" si="442"/>
        <v>Zero Balance</v>
      </c>
      <c r="P7075" t="str">
        <f t="shared" si="443"/>
        <v>New</v>
      </c>
    </row>
    <row r="7076" spans="1:16" x14ac:dyDescent="0.25">
      <c r="A7076">
        <v>2025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  <c r="M7076" t="str">
        <f t="shared" si="440"/>
        <v>30-45</v>
      </c>
      <c r="N7076" t="str">
        <f t="shared" si="441"/>
        <v>Medium</v>
      </c>
      <c r="O7076" t="str">
        <f t="shared" si="442"/>
        <v>Low Balance</v>
      </c>
      <c r="P7076" t="str">
        <f t="shared" si="443"/>
        <v>Mid-term</v>
      </c>
    </row>
    <row r="7077" spans="1:16" x14ac:dyDescent="0.25">
      <c r="A7077">
        <v>2025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  <c r="M7077" t="str">
        <f t="shared" si="440"/>
        <v>30-45</v>
      </c>
      <c r="N7077" t="str">
        <f t="shared" si="441"/>
        <v>High</v>
      </c>
      <c r="O7077" t="str">
        <f t="shared" si="442"/>
        <v>High Balance</v>
      </c>
      <c r="P7077" t="str">
        <f t="shared" si="443"/>
        <v>Mid-term</v>
      </c>
    </row>
    <row r="7078" spans="1:16" x14ac:dyDescent="0.25">
      <c r="A7078">
        <v>2025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  <c r="M7078" t="str">
        <f t="shared" si="440"/>
        <v>&lt;30</v>
      </c>
      <c r="N7078" t="str">
        <f t="shared" si="441"/>
        <v>High</v>
      </c>
      <c r="O7078" t="str">
        <f t="shared" si="442"/>
        <v>High Balance</v>
      </c>
      <c r="P7078" t="str">
        <f t="shared" si="443"/>
        <v>Mid-term</v>
      </c>
    </row>
    <row r="7079" spans="1:16" x14ac:dyDescent="0.25">
      <c r="A7079">
        <v>2025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  <c r="M7079" t="str">
        <f t="shared" si="440"/>
        <v>&lt;30</v>
      </c>
      <c r="N7079" t="str">
        <f t="shared" si="441"/>
        <v>Medium</v>
      </c>
      <c r="O7079" t="str">
        <f t="shared" si="442"/>
        <v>High Balance</v>
      </c>
      <c r="P7079" t="str">
        <f t="shared" si="443"/>
        <v>Mid-term</v>
      </c>
    </row>
    <row r="7080" spans="1:16" x14ac:dyDescent="0.25">
      <c r="A7080">
        <v>2025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  <c r="M7080" t="str">
        <f t="shared" si="440"/>
        <v>60+</v>
      </c>
      <c r="N7080" t="str">
        <f t="shared" si="441"/>
        <v>High</v>
      </c>
      <c r="O7080" t="str">
        <f t="shared" si="442"/>
        <v>High Balance</v>
      </c>
      <c r="P7080" t="str">
        <f t="shared" si="443"/>
        <v>New</v>
      </c>
    </row>
    <row r="7081" spans="1:16" x14ac:dyDescent="0.25">
      <c r="A7081">
        <v>2025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  <c r="M7081" t="str">
        <f t="shared" si="440"/>
        <v>30-45</v>
      </c>
      <c r="N7081" t="str">
        <f t="shared" si="441"/>
        <v>Medium</v>
      </c>
      <c r="O7081" t="str">
        <f t="shared" si="442"/>
        <v>High Balance</v>
      </c>
      <c r="P7081" t="str">
        <f t="shared" si="443"/>
        <v>Long-term</v>
      </c>
    </row>
    <row r="7082" spans="1:16" x14ac:dyDescent="0.25">
      <c r="A7082">
        <v>2025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  <c r="M7082" t="str">
        <f t="shared" si="440"/>
        <v>46-60</v>
      </c>
      <c r="N7082" t="str">
        <f t="shared" si="441"/>
        <v>Medium</v>
      </c>
      <c r="O7082" t="str">
        <f t="shared" si="442"/>
        <v>High Balance</v>
      </c>
      <c r="P7082" t="str">
        <f t="shared" si="443"/>
        <v>Long-term</v>
      </c>
    </row>
    <row r="7083" spans="1:16" x14ac:dyDescent="0.25">
      <c r="A7083">
        <v>2025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  <c r="M7083" t="str">
        <f t="shared" si="440"/>
        <v>30-45</v>
      </c>
      <c r="N7083" t="str">
        <f t="shared" si="441"/>
        <v>Medium</v>
      </c>
      <c r="O7083" t="str">
        <f t="shared" si="442"/>
        <v>High Balance</v>
      </c>
      <c r="P7083" t="str">
        <f t="shared" si="443"/>
        <v>Long-term</v>
      </c>
    </row>
    <row r="7084" spans="1:16" x14ac:dyDescent="0.25">
      <c r="A7084">
        <v>2025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  <c r="M7084" t="str">
        <f t="shared" si="440"/>
        <v>30-45</v>
      </c>
      <c r="N7084" t="str">
        <f t="shared" si="441"/>
        <v>High</v>
      </c>
      <c r="O7084" t="str">
        <f t="shared" si="442"/>
        <v>Zero Balance</v>
      </c>
      <c r="P7084" t="str">
        <f t="shared" si="443"/>
        <v>Mid-term</v>
      </c>
    </row>
    <row r="7085" spans="1:16" x14ac:dyDescent="0.25">
      <c r="A7085">
        <v>2025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  <c r="M7085" t="str">
        <f t="shared" si="440"/>
        <v>30-45</v>
      </c>
      <c r="N7085" t="str">
        <f t="shared" si="441"/>
        <v>Medium</v>
      </c>
      <c r="O7085" t="str">
        <f t="shared" si="442"/>
        <v>Zero Balance</v>
      </c>
      <c r="P7085" t="str">
        <f t="shared" si="443"/>
        <v>Long-term</v>
      </c>
    </row>
    <row r="7086" spans="1:16" x14ac:dyDescent="0.25">
      <c r="A7086">
        <v>2025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  <c r="M7086" t="str">
        <f t="shared" si="440"/>
        <v>46-60</v>
      </c>
      <c r="N7086" t="str">
        <f t="shared" si="441"/>
        <v>High</v>
      </c>
      <c r="O7086" t="str">
        <f t="shared" si="442"/>
        <v>High Balance</v>
      </c>
      <c r="P7086" t="str">
        <f t="shared" si="443"/>
        <v>Mid-term</v>
      </c>
    </row>
    <row r="7087" spans="1:16" x14ac:dyDescent="0.25">
      <c r="A7087">
        <v>2025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  <c r="M7087" t="str">
        <f t="shared" si="440"/>
        <v>30-45</v>
      </c>
      <c r="N7087" t="str">
        <f t="shared" si="441"/>
        <v>High</v>
      </c>
      <c r="O7087" t="str">
        <f t="shared" si="442"/>
        <v>Zero Balance</v>
      </c>
      <c r="P7087" t="str">
        <f t="shared" si="443"/>
        <v>Mid-term</v>
      </c>
    </row>
    <row r="7088" spans="1:16" x14ac:dyDescent="0.25">
      <c r="A7088">
        <v>2025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  <c r="M7088" t="str">
        <f t="shared" si="440"/>
        <v>30-45</v>
      </c>
      <c r="N7088" t="str">
        <f t="shared" si="441"/>
        <v>Medium</v>
      </c>
      <c r="O7088" t="str">
        <f t="shared" si="442"/>
        <v>High Balance</v>
      </c>
      <c r="P7088" t="str">
        <f t="shared" si="443"/>
        <v>New</v>
      </c>
    </row>
    <row r="7089" spans="1:16" x14ac:dyDescent="0.25">
      <c r="A7089">
        <v>2025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  <c r="M7089" t="str">
        <f t="shared" si="440"/>
        <v>30-45</v>
      </c>
      <c r="N7089" t="str">
        <f t="shared" si="441"/>
        <v>Medium</v>
      </c>
      <c r="O7089" t="str">
        <f t="shared" si="442"/>
        <v>High Balance</v>
      </c>
      <c r="P7089" t="str">
        <f t="shared" si="443"/>
        <v>Long-term</v>
      </c>
    </row>
    <row r="7090" spans="1:16" x14ac:dyDescent="0.25">
      <c r="A7090">
        <v>2025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  <c r="M7090" t="str">
        <f t="shared" si="440"/>
        <v>46-60</v>
      </c>
      <c r="N7090" t="str">
        <f t="shared" si="441"/>
        <v>Medium</v>
      </c>
      <c r="O7090" t="str">
        <f t="shared" si="442"/>
        <v>High Balance</v>
      </c>
      <c r="P7090" t="str">
        <f t="shared" si="443"/>
        <v>Mid-term</v>
      </c>
    </row>
    <row r="7091" spans="1:16" x14ac:dyDescent="0.25">
      <c r="A7091">
        <v>2025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  <c r="M7091" t="str">
        <f t="shared" si="440"/>
        <v>46-60</v>
      </c>
      <c r="N7091" t="str">
        <f t="shared" si="441"/>
        <v>Medium</v>
      </c>
      <c r="O7091" t="str">
        <f t="shared" si="442"/>
        <v>Zero Balance</v>
      </c>
      <c r="P7091" t="str">
        <f t="shared" si="443"/>
        <v>New</v>
      </c>
    </row>
    <row r="7092" spans="1:16" x14ac:dyDescent="0.25">
      <c r="A7092">
        <v>2025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  <c r="M7092" t="str">
        <f t="shared" si="440"/>
        <v>46-60</v>
      </c>
      <c r="N7092" t="str">
        <f t="shared" si="441"/>
        <v>Medium</v>
      </c>
      <c r="O7092" t="str">
        <f t="shared" si="442"/>
        <v>Low Balance</v>
      </c>
      <c r="P7092" t="str">
        <f t="shared" si="443"/>
        <v>New</v>
      </c>
    </row>
    <row r="7093" spans="1:16" x14ac:dyDescent="0.25">
      <c r="A7093">
        <v>2025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  <c r="M7093" t="str">
        <f t="shared" si="440"/>
        <v>46-60</v>
      </c>
      <c r="N7093" t="str">
        <f t="shared" si="441"/>
        <v>Medium</v>
      </c>
      <c r="O7093" t="str">
        <f t="shared" si="442"/>
        <v>High Balance</v>
      </c>
      <c r="P7093" t="str">
        <f t="shared" si="443"/>
        <v>Mid-term</v>
      </c>
    </row>
    <row r="7094" spans="1:16" x14ac:dyDescent="0.25">
      <c r="A7094">
        <v>2025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  <c r="M7094" t="str">
        <f t="shared" si="440"/>
        <v>30-45</v>
      </c>
      <c r="N7094" t="str">
        <f t="shared" si="441"/>
        <v>High</v>
      </c>
      <c r="O7094" t="str">
        <f t="shared" si="442"/>
        <v>Zero Balance</v>
      </c>
      <c r="P7094" t="str">
        <f t="shared" si="443"/>
        <v>New</v>
      </c>
    </row>
    <row r="7095" spans="1:16" x14ac:dyDescent="0.25">
      <c r="A7095">
        <v>2025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  <c r="M7095" t="str">
        <f t="shared" si="440"/>
        <v>30-45</v>
      </c>
      <c r="N7095" t="str">
        <f t="shared" si="441"/>
        <v>Medium</v>
      </c>
      <c r="O7095" t="str">
        <f t="shared" si="442"/>
        <v>High Balance</v>
      </c>
      <c r="P7095" t="str">
        <f t="shared" si="443"/>
        <v>Mid-term</v>
      </c>
    </row>
    <row r="7096" spans="1:16" x14ac:dyDescent="0.25">
      <c r="A7096">
        <v>2025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  <c r="M7096" t="str">
        <f t="shared" si="440"/>
        <v>60+</v>
      </c>
      <c r="N7096" t="str">
        <f t="shared" si="441"/>
        <v>Medium</v>
      </c>
      <c r="O7096" t="str">
        <f t="shared" si="442"/>
        <v>Zero Balance</v>
      </c>
      <c r="P7096" t="str">
        <f t="shared" si="443"/>
        <v>New</v>
      </c>
    </row>
    <row r="7097" spans="1:16" x14ac:dyDescent="0.25">
      <c r="A7097">
        <v>2025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  <c r="M7097" t="str">
        <f t="shared" si="440"/>
        <v>30-45</v>
      </c>
      <c r="N7097" t="str">
        <f t="shared" si="441"/>
        <v>High</v>
      </c>
      <c r="O7097" t="str">
        <f t="shared" si="442"/>
        <v>High Balance</v>
      </c>
      <c r="P7097" t="str">
        <f t="shared" si="443"/>
        <v>New</v>
      </c>
    </row>
    <row r="7098" spans="1:16" x14ac:dyDescent="0.25">
      <c r="A7098">
        <v>2025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  <c r="M7098" t="str">
        <f t="shared" si="440"/>
        <v>30-45</v>
      </c>
      <c r="N7098" t="str">
        <f t="shared" si="441"/>
        <v>Medium</v>
      </c>
      <c r="O7098" t="str">
        <f t="shared" si="442"/>
        <v>High Balance</v>
      </c>
      <c r="P7098" t="str">
        <f t="shared" si="443"/>
        <v>New</v>
      </c>
    </row>
    <row r="7099" spans="1:16" x14ac:dyDescent="0.25">
      <c r="A7099">
        <v>2025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  <c r="M7099" t="str">
        <f t="shared" si="440"/>
        <v>46-60</v>
      </c>
      <c r="N7099" t="str">
        <f t="shared" si="441"/>
        <v>High</v>
      </c>
      <c r="O7099" t="str">
        <f t="shared" si="442"/>
        <v>High Balance</v>
      </c>
      <c r="P7099" t="str">
        <f t="shared" si="443"/>
        <v>Mid-term</v>
      </c>
    </row>
    <row r="7100" spans="1:16" x14ac:dyDescent="0.25">
      <c r="A7100">
        <v>2025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  <c r="M7100" t="str">
        <f t="shared" si="440"/>
        <v>46-60</v>
      </c>
      <c r="N7100" t="str">
        <f t="shared" si="441"/>
        <v>Medium</v>
      </c>
      <c r="O7100" t="str">
        <f t="shared" si="442"/>
        <v>High Balance</v>
      </c>
      <c r="P7100" t="str">
        <f t="shared" si="443"/>
        <v>Mid-term</v>
      </c>
    </row>
    <row r="7101" spans="1:16" x14ac:dyDescent="0.25">
      <c r="A7101">
        <v>2025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  <c r="M7101" t="str">
        <f t="shared" si="440"/>
        <v>30-45</v>
      </c>
      <c r="N7101" t="str">
        <f t="shared" si="441"/>
        <v>Medium</v>
      </c>
      <c r="O7101" t="str">
        <f t="shared" si="442"/>
        <v>Zero Balance</v>
      </c>
      <c r="P7101" t="str">
        <f t="shared" si="443"/>
        <v>Mid-term</v>
      </c>
    </row>
    <row r="7102" spans="1:16" x14ac:dyDescent="0.25">
      <c r="A7102">
        <v>2025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  <c r="M7102" t="str">
        <f t="shared" si="440"/>
        <v>&lt;30</v>
      </c>
      <c r="N7102" t="str">
        <f t="shared" si="441"/>
        <v>Medium</v>
      </c>
      <c r="O7102" t="str">
        <f t="shared" si="442"/>
        <v>High Balance</v>
      </c>
      <c r="P7102" t="str">
        <f t="shared" si="443"/>
        <v>Long-term</v>
      </c>
    </row>
    <row r="7103" spans="1:16" x14ac:dyDescent="0.25">
      <c r="A7103">
        <v>2025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  <c r="M7103" t="str">
        <f t="shared" si="440"/>
        <v>30-45</v>
      </c>
      <c r="N7103" t="str">
        <f t="shared" si="441"/>
        <v>High</v>
      </c>
      <c r="O7103" t="str">
        <f t="shared" si="442"/>
        <v>Zero Balance</v>
      </c>
      <c r="P7103" t="str">
        <f t="shared" si="443"/>
        <v>Long-term</v>
      </c>
    </row>
    <row r="7104" spans="1:16" x14ac:dyDescent="0.25">
      <c r="A7104">
        <v>2025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  <c r="M7104" t="str">
        <f t="shared" si="440"/>
        <v>30-45</v>
      </c>
      <c r="N7104" t="str">
        <f t="shared" si="441"/>
        <v>Medium</v>
      </c>
      <c r="O7104" t="str">
        <f t="shared" si="442"/>
        <v>High Balance</v>
      </c>
      <c r="P7104" t="str">
        <f t="shared" si="443"/>
        <v>New</v>
      </c>
    </row>
    <row r="7105" spans="1:16" x14ac:dyDescent="0.25">
      <c r="A7105">
        <v>2025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  <c r="M7105" t="str">
        <f t="shared" si="440"/>
        <v>30-45</v>
      </c>
      <c r="N7105" t="str">
        <f t="shared" si="441"/>
        <v>Medium</v>
      </c>
      <c r="O7105" t="str">
        <f t="shared" si="442"/>
        <v>High Balance</v>
      </c>
      <c r="P7105" t="str">
        <f t="shared" si="443"/>
        <v>Long-term</v>
      </c>
    </row>
    <row r="7106" spans="1:16" x14ac:dyDescent="0.25">
      <c r="A7106">
        <v>2025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  <c r="M7106" t="str">
        <f t="shared" si="440"/>
        <v>30-45</v>
      </c>
      <c r="N7106" t="str">
        <f t="shared" si="441"/>
        <v>Medium</v>
      </c>
      <c r="O7106" t="str">
        <f t="shared" si="442"/>
        <v>Low Balance</v>
      </c>
      <c r="P7106" t="str">
        <f t="shared" si="443"/>
        <v>Mid-term</v>
      </c>
    </row>
    <row r="7107" spans="1:16" x14ac:dyDescent="0.25">
      <c r="A7107">
        <v>2025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  <c r="M7107" t="str">
        <f t="shared" ref="M7107:M7170" si="444">IF(E7107&lt;30,"&lt;30",IF(E7107&lt;=45,"30-45",IF(E7107&lt;=60,"46-60","60+")))</f>
        <v>30-45</v>
      </c>
      <c r="N7107" t="str">
        <f t="shared" ref="N7107:N7170" si="445">IF(B7107&lt;500,"Low",IF(B7107&lt;700,"Medium","High"))</f>
        <v>Medium</v>
      </c>
      <c r="O7107" t="str">
        <f t="shared" ref="O7107:O7170" si="446">IF(G7107=0,"Zero Balance",IF(G7107&lt;100000,"Low Balance","High Balance"))</f>
        <v>High Balance</v>
      </c>
      <c r="P7107" t="str">
        <f t="shared" ref="P7107:P7170" si="447">IF(F7107&lt;=3,"New",IF(F7107&lt;=7,"Mid-term","Long-term"))</f>
        <v>Mid-term</v>
      </c>
    </row>
    <row r="7108" spans="1:16" x14ac:dyDescent="0.25">
      <c r="A7108">
        <v>2025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  <c r="M7108" t="str">
        <f t="shared" si="444"/>
        <v>30-45</v>
      </c>
      <c r="N7108" t="str">
        <f t="shared" si="445"/>
        <v>Medium</v>
      </c>
      <c r="O7108" t="str">
        <f t="shared" si="446"/>
        <v>Low Balance</v>
      </c>
      <c r="P7108" t="str">
        <f t="shared" si="447"/>
        <v>Mid-term</v>
      </c>
    </row>
    <row r="7109" spans="1:16" x14ac:dyDescent="0.25">
      <c r="A7109">
        <v>2025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  <c r="M7109" t="str">
        <f t="shared" si="444"/>
        <v>30-45</v>
      </c>
      <c r="N7109" t="str">
        <f t="shared" si="445"/>
        <v>High</v>
      </c>
      <c r="O7109" t="str">
        <f t="shared" si="446"/>
        <v>Low Balance</v>
      </c>
      <c r="P7109" t="str">
        <f t="shared" si="447"/>
        <v>New</v>
      </c>
    </row>
    <row r="7110" spans="1:16" x14ac:dyDescent="0.25">
      <c r="A7110">
        <v>2025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  <c r="M7110" t="str">
        <f t="shared" si="444"/>
        <v>30-45</v>
      </c>
      <c r="N7110" t="str">
        <f t="shared" si="445"/>
        <v>High</v>
      </c>
      <c r="O7110" t="str">
        <f t="shared" si="446"/>
        <v>High Balance</v>
      </c>
      <c r="P7110" t="str">
        <f t="shared" si="447"/>
        <v>New</v>
      </c>
    </row>
    <row r="7111" spans="1:16" x14ac:dyDescent="0.25">
      <c r="A7111">
        <v>2025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  <c r="M7111" t="str">
        <f t="shared" si="444"/>
        <v>30-45</v>
      </c>
      <c r="N7111" t="str">
        <f t="shared" si="445"/>
        <v>Medium</v>
      </c>
      <c r="O7111" t="str">
        <f t="shared" si="446"/>
        <v>High Balance</v>
      </c>
      <c r="P7111" t="str">
        <f t="shared" si="447"/>
        <v>Long-term</v>
      </c>
    </row>
    <row r="7112" spans="1:16" x14ac:dyDescent="0.25">
      <c r="A7112">
        <v>2025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  <c r="M7112" t="str">
        <f t="shared" si="444"/>
        <v>&lt;30</v>
      </c>
      <c r="N7112" t="str">
        <f t="shared" si="445"/>
        <v>Medium</v>
      </c>
      <c r="O7112" t="str">
        <f t="shared" si="446"/>
        <v>Zero Balance</v>
      </c>
      <c r="P7112" t="str">
        <f t="shared" si="447"/>
        <v>Long-term</v>
      </c>
    </row>
    <row r="7113" spans="1:16" x14ac:dyDescent="0.25">
      <c r="A7113">
        <v>2025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  <c r="M7113" t="str">
        <f t="shared" si="444"/>
        <v>30-45</v>
      </c>
      <c r="N7113" t="str">
        <f t="shared" si="445"/>
        <v>High</v>
      </c>
      <c r="O7113" t="str">
        <f t="shared" si="446"/>
        <v>Zero Balance</v>
      </c>
      <c r="P7113" t="str">
        <f t="shared" si="447"/>
        <v>Mid-term</v>
      </c>
    </row>
    <row r="7114" spans="1:16" x14ac:dyDescent="0.25">
      <c r="A7114">
        <v>2025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  <c r="M7114" t="str">
        <f t="shared" si="444"/>
        <v>30-45</v>
      </c>
      <c r="N7114" t="str">
        <f t="shared" si="445"/>
        <v>Medium</v>
      </c>
      <c r="O7114" t="str">
        <f t="shared" si="446"/>
        <v>Low Balance</v>
      </c>
      <c r="P7114" t="str">
        <f t="shared" si="447"/>
        <v>New</v>
      </c>
    </row>
    <row r="7115" spans="1:16" x14ac:dyDescent="0.25">
      <c r="A7115">
        <v>2025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  <c r="M7115" t="str">
        <f t="shared" si="444"/>
        <v>&lt;30</v>
      </c>
      <c r="N7115" t="str">
        <f t="shared" si="445"/>
        <v>High</v>
      </c>
      <c r="O7115" t="str">
        <f t="shared" si="446"/>
        <v>High Balance</v>
      </c>
      <c r="P7115" t="str">
        <f t="shared" si="447"/>
        <v>New</v>
      </c>
    </row>
    <row r="7116" spans="1:16" x14ac:dyDescent="0.25">
      <c r="A7116">
        <v>2025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  <c r="M7116" t="str">
        <f t="shared" si="444"/>
        <v>30-45</v>
      </c>
      <c r="N7116" t="str">
        <f t="shared" si="445"/>
        <v>High</v>
      </c>
      <c r="O7116" t="str">
        <f t="shared" si="446"/>
        <v>High Balance</v>
      </c>
      <c r="P7116" t="str">
        <f t="shared" si="447"/>
        <v>New</v>
      </c>
    </row>
    <row r="7117" spans="1:16" x14ac:dyDescent="0.25">
      <c r="A7117">
        <v>2025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  <c r="M7117" t="str">
        <f t="shared" si="444"/>
        <v>30-45</v>
      </c>
      <c r="N7117" t="str">
        <f t="shared" si="445"/>
        <v>Medium</v>
      </c>
      <c r="O7117" t="str">
        <f t="shared" si="446"/>
        <v>Zero Balance</v>
      </c>
      <c r="P7117" t="str">
        <f t="shared" si="447"/>
        <v>Mid-term</v>
      </c>
    </row>
    <row r="7118" spans="1:16" x14ac:dyDescent="0.25">
      <c r="A7118">
        <v>2025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  <c r="M7118" t="str">
        <f t="shared" si="444"/>
        <v>46-60</v>
      </c>
      <c r="N7118" t="str">
        <f t="shared" si="445"/>
        <v>Medium</v>
      </c>
      <c r="O7118" t="str">
        <f t="shared" si="446"/>
        <v>High Balance</v>
      </c>
      <c r="P7118" t="str">
        <f t="shared" si="447"/>
        <v>Mid-term</v>
      </c>
    </row>
    <row r="7119" spans="1:16" x14ac:dyDescent="0.25">
      <c r="A7119">
        <v>2025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  <c r="M7119" t="str">
        <f t="shared" si="444"/>
        <v>30-45</v>
      </c>
      <c r="N7119" t="str">
        <f t="shared" si="445"/>
        <v>Medium</v>
      </c>
      <c r="O7119" t="str">
        <f t="shared" si="446"/>
        <v>High Balance</v>
      </c>
      <c r="P7119" t="str">
        <f t="shared" si="447"/>
        <v>Mid-term</v>
      </c>
    </row>
    <row r="7120" spans="1:16" x14ac:dyDescent="0.25">
      <c r="A7120">
        <v>2025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  <c r="M7120" t="str">
        <f t="shared" si="444"/>
        <v>30-45</v>
      </c>
      <c r="N7120" t="str">
        <f t="shared" si="445"/>
        <v>High</v>
      </c>
      <c r="O7120" t="str">
        <f t="shared" si="446"/>
        <v>High Balance</v>
      </c>
      <c r="P7120" t="str">
        <f t="shared" si="447"/>
        <v>Long-term</v>
      </c>
    </row>
    <row r="7121" spans="1:16" x14ac:dyDescent="0.25">
      <c r="A7121">
        <v>2025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  <c r="M7121" t="str">
        <f t="shared" si="444"/>
        <v>30-45</v>
      </c>
      <c r="N7121" t="str">
        <f t="shared" si="445"/>
        <v>Medium</v>
      </c>
      <c r="O7121" t="str">
        <f t="shared" si="446"/>
        <v>High Balance</v>
      </c>
      <c r="P7121" t="str">
        <f t="shared" si="447"/>
        <v>Mid-term</v>
      </c>
    </row>
    <row r="7122" spans="1:16" x14ac:dyDescent="0.25">
      <c r="A7122">
        <v>2025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  <c r="M7122" t="str">
        <f t="shared" si="444"/>
        <v>&lt;30</v>
      </c>
      <c r="N7122" t="str">
        <f t="shared" si="445"/>
        <v>High</v>
      </c>
      <c r="O7122" t="str">
        <f t="shared" si="446"/>
        <v>High Balance</v>
      </c>
      <c r="P7122" t="str">
        <f t="shared" si="447"/>
        <v>New</v>
      </c>
    </row>
    <row r="7123" spans="1:16" x14ac:dyDescent="0.25">
      <c r="A7123">
        <v>2025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  <c r="M7123" t="str">
        <f t="shared" si="444"/>
        <v>30-45</v>
      </c>
      <c r="N7123" t="str">
        <f t="shared" si="445"/>
        <v>Medium</v>
      </c>
      <c r="O7123" t="str">
        <f t="shared" si="446"/>
        <v>Zero Balance</v>
      </c>
      <c r="P7123" t="str">
        <f t="shared" si="447"/>
        <v>Mid-term</v>
      </c>
    </row>
    <row r="7124" spans="1:16" x14ac:dyDescent="0.25">
      <c r="A7124">
        <v>2025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  <c r="M7124" t="str">
        <f t="shared" si="444"/>
        <v>46-60</v>
      </c>
      <c r="N7124" t="str">
        <f t="shared" si="445"/>
        <v>Medium</v>
      </c>
      <c r="O7124" t="str">
        <f t="shared" si="446"/>
        <v>High Balance</v>
      </c>
      <c r="P7124" t="str">
        <f t="shared" si="447"/>
        <v>Long-term</v>
      </c>
    </row>
    <row r="7125" spans="1:16" x14ac:dyDescent="0.25">
      <c r="A7125">
        <v>2025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  <c r="M7125" t="str">
        <f t="shared" si="444"/>
        <v>30-45</v>
      </c>
      <c r="N7125" t="str">
        <f t="shared" si="445"/>
        <v>High</v>
      </c>
      <c r="O7125" t="str">
        <f t="shared" si="446"/>
        <v>Zero Balance</v>
      </c>
      <c r="P7125" t="str">
        <f t="shared" si="447"/>
        <v>New</v>
      </c>
    </row>
    <row r="7126" spans="1:16" x14ac:dyDescent="0.25">
      <c r="A7126">
        <v>2025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  <c r="M7126" t="str">
        <f t="shared" si="444"/>
        <v>30-45</v>
      </c>
      <c r="N7126" t="str">
        <f t="shared" si="445"/>
        <v>Medium</v>
      </c>
      <c r="O7126" t="str">
        <f t="shared" si="446"/>
        <v>Low Balance</v>
      </c>
      <c r="P7126" t="str">
        <f t="shared" si="447"/>
        <v>Mid-term</v>
      </c>
    </row>
    <row r="7127" spans="1:16" x14ac:dyDescent="0.25">
      <c r="A7127">
        <v>2025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  <c r="M7127" t="str">
        <f t="shared" si="444"/>
        <v>30-45</v>
      </c>
      <c r="N7127" t="str">
        <f t="shared" si="445"/>
        <v>High</v>
      </c>
      <c r="O7127" t="str">
        <f t="shared" si="446"/>
        <v>Zero Balance</v>
      </c>
      <c r="P7127" t="str">
        <f t="shared" si="447"/>
        <v>Mid-term</v>
      </c>
    </row>
    <row r="7128" spans="1:16" x14ac:dyDescent="0.25">
      <c r="A7128">
        <v>2025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  <c r="M7128" t="str">
        <f t="shared" si="444"/>
        <v>&lt;30</v>
      </c>
      <c r="N7128" t="str">
        <f t="shared" si="445"/>
        <v>Medium</v>
      </c>
      <c r="O7128" t="str">
        <f t="shared" si="446"/>
        <v>Zero Balance</v>
      </c>
      <c r="P7128" t="str">
        <f t="shared" si="447"/>
        <v>Mid-term</v>
      </c>
    </row>
    <row r="7129" spans="1:16" x14ac:dyDescent="0.25">
      <c r="A7129">
        <v>2025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  <c r="M7129" t="str">
        <f t="shared" si="444"/>
        <v>30-45</v>
      </c>
      <c r="N7129" t="str">
        <f t="shared" si="445"/>
        <v>Medium</v>
      </c>
      <c r="O7129" t="str">
        <f t="shared" si="446"/>
        <v>Zero Balance</v>
      </c>
      <c r="P7129" t="str">
        <f t="shared" si="447"/>
        <v>New</v>
      </c>
    </row>
    <row r="7130" spans="1:16" x14ac:dyDescent="0.25">
      <c r="A7130">
        <v>2025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  <c r="M7130" t="str">
        <f t="shared" si="444"/>
        <v>30-45</v>
      </c>
      <c r="N7130" t="str">
        <f t="shared" si="445"/>
        <v>Medium</v>
      </c>
      <c r="O7130" t="str">
        <f t="shared" si="446"/>
        <v>High Balance</v>
      </c>
      <c r="P7130" t="str">
        <f t="shared" si="447"/>
        <v>New</v>
      </c>
    </row>
    <row r="7131" spans="1:16" x14ac:dyDescent="0.25">
      <c r="A7131">
        <v>2025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  <c r="M7131" t="str">
        <f t="shared" si="444"/>
        <v>30-45</v>
      </c>
      <c r="N7131" t="str">
        <f t="shared" si="445"/>
        <v>High</v>
      </c>
      <c r="O7131" t="str">
        <f t="shared" si="446"/>
        <v>High Balance</v>
      </c>
      <c r="P7131" t="str">
        <f t="shared" si="447"/>
        <v>New</v>
      </c>
    </row>
    <row r="7132" spans="1:16" x14ac:dyDescent="0.25">
      <c r="A7132">
        <v>2025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  <c r="M7132" t="str">
        <f t="shared" si="444"/>
        <v>30-45</v>
      </c>
      <c r="N7132" t="str">
        <f t="shared" si="445"/>
        <v>Medium</v>
      </c>
      <c r="O7132" t="str">
        <f t="shared" si="446"/>
        <v>Low Balance</v>
      </c>
      <c r="P7132" t="str">
        <f t="shared" si="447"/>
        <v>New</v>
      </c>
    </row>
    <row r="7133" spans="1:16" x14ac:dyDescent="0.25">
      <c r="A7133">
        <v>2025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  <c r="M7133" t="str">
        <f t="shared" si="444"/>
        <v>30-45</v>
      </c>
      <c r="N7133" t="str">
        <f t="shared" si="445"/>
        <v>Low</v>
      </c>
      <c r="O7133" t="str">
        <f t="shared" si="446"/>
        <v>High Balance</v>
      </c>
      <c r="P7133" t="str">
        <f t="shared" si="447"/>
        <v>Long-term</v>
      </c>
    </row>
    <row r="7134" spans="1:16" x14ac:dyDescent="0.25">
      <c r="A7134">
        <v>2025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  <c r="M7134" t="str">
        <f t="shared" si="444"/>
        <v>46-60</v>
      </c>
      <c r="N7134" t="str">
        <f t="shared" si="445"/>
        <v>High</v>
      </c>
      <c r="O7134" t="str">
        <f t="shared" si="446"/>
        <v>Low Balance</v>
      </c>
      <c r="P7134" t="str">
        <f t="shared" si="447"/>
        <v>Long-term</v>
      </c>
    </row>
    <row r="7135" spans="1:16" x14ac:dyDescent="0.25">
      <c r="A7135">
        <v>2025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  <c r="M7135" t="str">
        <f t="shared" si="444"/>
        <v>30-45</v>
      </c>
      <c r="N7135" t="str">
        <f t="shared" si="445"/>
        <v>High</v>
      </c>
      <c r="O7135" t="str">
        <f t="shared" si="446"/>
        <v>High Balance</v>
      </c>
      <c r="P7135" t="str">
        <f t="shared" si="447"/>
        <v>New</v>
      </c>
    </row>
    <row r="7136" spans="1:16" x14ac:dyDescent="0.25">
      <c r="A7136">
        <v>2025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  <c r="M7136" t="str">
        <f t="shared" si="444"/>
        <v>30-45</v>
      </c>
      <c r="N7136" t="str">
        <f t="shared" si="445"/>
        <v>Medium</v>
      </c>
      <c r="O7136" t="str">
        <f t="shared" si="446"/>
        <v>High Balance</v>
      </c>
      <c r="P7136" t="str">
        <f t="shared" si="447"/>
        <v>Mid-term</v>
      </c>
    </row>
    <row r="7137" spans="1:16" x14ac:dyDescent="0.25">
      <c r="A7137">
        <v>2025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  <c r="M7137" t="str">
        <f t="shared" si="444"/>
        <v>46-60</v>
      </c>
      <c r="N7137" t="str">
        <f t="shared" si="445"/>
        <v>Medium</v>
      </c>
      <c r="O7137" t="str">
        <f t="shared" si="446"/>
        <v>High Balance</v>
      </c>
      <c r="P7137" t="str">
        <f t="shared" si="447"/>
        <v>New</v>
      </c>
    </row>
    <row r="7138" spans="1:16" x14ac:dyDescent="0.25">
      <c r="A7138">
        <v>2025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  <c r="M7138" t="str">
        <f t="shared" si="444"/>
        <v>46-60</v>
      </c>
      <c r="N7138" t="str">
        <f t="shared" si="445"/>
        <v>High</v>
      </c>
      <c r="O7138" t="str">
        <f t="shared" si="446"/>
        <v>Zero Balance</v>
      </c>
      <c r="P7138" t="str">
        <f t="shared" si="447"/>
        <v>New</v>
      </c>
    </row>
    <row r="7139" spans="1:16" x14ac:dyDescent="0.25">
      <c r="A7139">
        <v>2025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  <c r="M7139" t="str">
        <f t="shared" si="444"/>
        <v>&lt;30</v>
      </c>
      <c r="N7139" t="str">
        <f t="shared" si="445"/>
        <v>Medium</v>
      </c>
      <c r="O7139" t="str">
        <f t="shared" si="446"/>
        <v>High Balance</v>
      </c>
      <c r="P7139" t="str">
        <f t="shared" si="447"/>
        <v>Long-term</v>
      </c>
    </row>
    <row r="7140" spans="1:16" x14ac:dyDescent="0.25">
      <c r="A7140">
        <v>2025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  <c r="M7140" t="str">
        <f t="shared" si="444"/>
        <v>60+</v>
      </c>
      <c r="N7140" t="str">
        <f t="shared" si="445"/>
        <v>Low</v>
      </c>
      <c r="O7140" t="str">
        <f t="shared" si="446"/>
        <v>High Balance</v>
      </c>
      <c r="P7140" t="str">
        <f t="shared" si="447"/>
        <v>Mid-term</v>
      </c>
    </row>
    <row r="7141" spans="1:16" x14ac:dyDescent="0.25">
      <c r="A7141">
        <v>2025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  <c r="M7141" t="str">
        <f t="shared" si="444"/>
        <v>60+</v>
      </c>
      <c r="N7141" t="str">
        <f t="shared" si="445"/>
        <v>High</v>
      </c>
      <c r="O7141" t="str">
        <f t="shared" si="446"/>
        <v>Zero Balance</v>
      </c>
      <c r="P7141" t="str">
        <f t="shared" si="447"/>
        <v>New</v>
      </c>
    </row>
    <row r="7142" spans="1:16" x14ac:dyDescent="0.25">
      <c r="A7142">
        <v>2025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  <c r="M7142" t="str">
        <f t="shared" si="444"/>
        <v>30-45</v>
      </c>
      <c r="N7142" t="str">
        <f t="shared" si="445"/>
        <v>High</v>
      </c>
      <c r="O7142" t="str">
        <f t="shared" si="446"/>
        <v>High Balance</v>
      </c>
      <c r="P7142" t="str">
        <f t="shared" si="447"/>
        <v>Mid-term</v>
      </c>
    </row>
    <row r="7143" spans="1:16" x14ac:dyDescent="0.25">
      <c r="A7143">
        <v>2025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  <c r="M7143" t="str">
        <f t="shared" si="444"/>
        <v>30-45</v>
      </c>
      <c r="N7143" t="str">
        <f t="shared" si="445"/>
        <v>High</v>
      </c>
      <c r="O7143" t="str">
        <f t="shared" si="446"/>
        <v>Low Balance</v>
      </c>
      <c r="P7143" t="str">
        <f t="shared" si="447"/>
        <v>New</v>
      </c>
    </row>
    <row r="7144" spans="1:16" x14ac:dyDescent="0.25">
      <c r="A7144">
        <v>2025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  <c r="M7144" t="str">
        <f t="shared" si="444"/>
        <v>60+</v>
      </c>
      <c r="N7144" t="str">
        <f t="shared" si="445"/>
        <v>Medium</v>
      </c>
      <c r="O7144" t="str">
        <f t="shared" si="446"/>
        <v>High Balance</v>
      </c>
      <c r="P7144" t="str">
        <f t="shared" si="447"/>
        <v>New</v>
      </c>
    </row>
    <row r="7145" spans="1:16" x14ac:dyDescent="0.25">
      <c r="A7145">
        <v>2025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  <c r="M7145" t="str">
        <f t="shared" si="444"/>
        <v>46-60</v>
      </c>
      <c r="N7145" t="str">
        <f t="shared" si="445"/>
        <v>High</v>
      </c>
      <c r="O7145" t="str">
        <f t="shared" si="446"/>
        <v>Zero Balance</v>
      </c>
      <c r="P7145" t="str">
        <f t="shared" si="447"/>
        <v>Mid-term</v>
      </c>
    </row>
    <row r="7146" spans="1:16" x14ac:dyDescent="0.25">
      <c r="A7146">
        <v>2025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  <c r="M7146" t="str">
        <f t="shared" si="444"/>
        <v>46-60</v>
      </c>
      <c r="N7146" t="str">
        <f t="shared" si="445"/>
        <v>Medium</v>
      </c>
      <c r="O7146" t="str">
        <f t="shared" si="446"/>
        <v>High Balance</v>
      </c>
      <c r="P7146" t="str">
        <f t="shared" si="447"/>
        <v>New</v>
      </c>
    </row>
    <row r="7147" spans="1:16" x14ac:dyDescent="0.25">
      <c r="A7147">
        <v>2025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  <c r="M7147" t="str">
        <f t="shared" si="444"/>
        <v>30-45</v>
      </c>
      <c r="N7147" t="str">
        <f t="shared" si="445"/>
        <v>Medium</v>
      </c>
      <c r="O7147" t="str">
        <f t="shared" si="446"/>
        <v>High Balance</v>
      </c>
      <c r="P7147" t="str">
        <f t="shared" si="447"/>
        <v>Mid-term</v>
      </c>
    </row>
    <row r="7148" spans="1:16" x14ac:dyDescent="0.25">
      <c r="A7148">
        <v>2025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  <c r="M7148" t="str">
        <f t="shared" si="444"/>
        <v>30-45</v>
      </c>
      <c r="N7148" t="str">
        <f t="shared" si="445"/>
        <v>High</v>
      </c>
      <c r="O7148" t="str">
        <f t="shared" si="446"/>
        <v>Low Balance</v>
      </c>
      <c r="P7148" t="str">
        <f t="shared" si="447"/>
        <v>Mid-term</v>
      </c>
    </row>
    <row r="7149" spans="1:16" x14ac:dyDescent="0.25">
      <c r="A7149">
        <v>2025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  <c r="M7149" t="str">
        <f t="shared" si="444"/>
        <v>30-45</v>
      </c>
      <c r="N7149" t="str">
        <f t="shared" si="445"/>
        <v>High</v>
      </c>
      <c r="O7149" t="str">
        <f t="shared" si="446"/>
        <v>Zero Balance</v>
      </c>
      <c r="P7149" t="str">
        <f t="shared" si="447"/>
        <v>New</v>
      </c>
    </row>
    <row r="7150" spans="1:16" x14ac:dyDescent="0.25">
      <c r="A7150">
        <v>2025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  <c r="M7150" t="str">
        <f t="shared" si="444"/>
        <v>30-45</v>
      </c>
      <c r="N7150" t="str">
        <f t="shared" si="445"/>
        <v>High</v>
      </c>
      <c r="O7150" t="str">
        <f t="shared" si="446"/>
        <v>Zero Balance</v>
      </c>
      <c r="P7150" t="str">
        <f t="shared" si="447"/>
        <v>Long-term</v>
      </c>
    </row>
    <row r="7151" spans="1:16" x14ac:dyDescent="0.25">
      <c r="A7151">
        <v>2025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  <c r="M7151" t="str">
        <f t="shared" si="444"/>
        <v>30-45</v>
      </c>
      <c r="N7151" t="str">
        <f t="shared" si="445"/>
        <v>Medium</v>
      </c>
      <c r="O7151" t="str">
        <f t="shared" si="446"/>
        <v>Zero Balance</v>
      </c>
      <c r="P7151" t="str">
        <f t="shared" si="447"/>
        <v>Mid-term</v>
      </c>
    </row>
    <row r="7152" spans="1:16" x14ac:dyDescent="0.25">
      <c r="A7152">
        <v>2025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  <c r="M7152" t="str">
        <f t="shared" si="444"/>
        <v>30-45</v>
      </c>
      <c r="N7152" t="str">
        <f t="shared" si="445"/>
        <v>Medium</v>
      </c>
      <c r="O7152" t="str">
        <f t="shared" si="446"/>
        <v>High Balance</v>
      </c>
      <c r="P7152" t="str">
        <f t="shared" si="447"/>
        <v>Mid-term</v>
      </c>
    </row>
    <row r="7153" spans="1:16" x14ac:dyDescent="0.25">
      <c r="A7153">
        <v>2025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  <c r="M7153" t="str">
        <f t="shared" si="444"/>
        <v>30-45</v>
      </c>
      <c r="N7153" t="str">
        <f t="shared" si="445"/>
        <v>Low</v>
      </c>
      <c r="O7153" t="str">
        <f t="shared" si="446"/>
        <v>Zero Balance</v>
      </c>
      <c r="P7153" t="str">
        <f t="shared" si="447"/>
        <v>Mid-term</v>
      </c>
    </row>
    <row r="7154" spans="1:16" x14ac:dyDescent="0.25">
      <c r="A7154">
        <v>2025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  <c r="M7154" t="str">
        <f t="shared" si="444"/>
        <v>46-60</v>
      </c>
      <c r="N7154" t="str">
        <f t="shared" si="445"/>
        <v>Medium</v>
      </c>
      <c r="O7154" t="str">
        <f t="shared" si="446"/>
        <v>Zero Balance</v>
      </c>
      <c r="P7154" t="str">
        <f t="shared" si="447"/>
        <v>Long-term</v>
      </c>
    </row>
    <row r="7155" spans="1:16" x14ac:dyDescent="0.25">
      <c r="A7155">
        <v>2025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  <c r="M7155" t="str">
        <f t="shared" si="444"/>
        <v>30-45</v>
      </c>
      <c r="N7155" t="str">
        <f t="shared" si="445"/>
        <v>Medium</v>
      </c>
      <c r="O7155" t="str">
        <f t="shared" si="446"/>
        <v>Zero Balance</v>
      </c>
      <c r="P7155" t="str">
        <f t="shared" si="447"/>
        <v>New</v>
      </c>
    </row>
    <row r="7156" spans="1:16" x14ac:dyDescent="0.25">
      <c r="A7156">
        <v>2025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  <c r="M7156" t="str">
        <f t="shared" si="444"/>
        <v>30-45</v>
      </c>
      <c r="N7156" t="str">
        <f t="shared" si="445"/>
        <v>Medium</v>
      </c>
      <c r="O7156" t="str">
        <f t="shared" si="446"/>
        <v>High Balance</v>
      </c>
      <c r="P7156" t="str">
        <f t="shared" si="447"/>
        <v>Long-term</v>
      </c>
    </row>
    <row r="7157" spans="1:16" x14ac:dyDescent="0.25">
      <c r="A7157">
        <v>2025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  <c r="M7157" t="str">
        <f t="shared" si="444"/>
        <v>30-45</v>
      </c>
      <c r="N7157" t="str">
        <f t="shared" si="445"/>
        <v>Medium</v>
      </c>
      <c r="O7157" t="str">
        <f t="shared" si="446"/>
        <v>High Balance</v>
      </c>
      <c r="P7157" t="str">
        <f t="shared" si="447"/>
        <v>Mid-term</v>
      </c>
    </row>
    <row r="7158" spans="1:16" x14ac:dyDescent="0.25">
      <c r="A7158">
        <v>2025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  <c r="M7158" t="str">
        <f t="shared" si="444"/>
        <v>60+</v>
      </c>
      <c r="N7158" t="str">
        <f t="shared" si="445"/>
        <v>Medium</v>
      </c>
      <c r="O7158" t="str">
        <f t="shared" si="446"/>
        <v>High Balance</v>
      </c>
      <c r="P7158" t="str">
        <f t="shared" si="447"/>
        <v>Mid-term</v>
      </c>
    </row>
    <row r="7159" spans="1:16" x14ac:dyDescent="0.25">
      <c r="A7159">
        <v>2025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  <c r="M7159" t="str">
        <f t="shared" si="444"/>
        <v>30-45</v>
      </c>
      <c r="N7159" t="str">
        <f t="shared" si="445"/>
        <v>Medium</v>
      </c>
      <c r="O7159" t="str">
        <f t="shared" si="446"/>
        <v>High Balance</v>
      </c>
      <c r="P7159" t="str">
        <f t="shared" si="447"/>
        <v>Long-term</v>
      </c>
    </row>
    <row r="7160" spans="1:16" x14ac:dyDescent="0.25">
      <c r="A7160">
        <v>2025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  <c r="M7160" t="str">
        <f t="shared" si="444"/>
        <v>46-60</v>
      </c>
      <c r="N7160" t="str">
        <f t="shared" si="445"/>
        <v>Low</v>
      </c>
      <c r="O7160" t="str">
        <f t="shared" si="446"/>
        <v>High Balance</v>
      </c>
      <c r="P7160" t="str">
        <f t="shared" si="447"/>
        <v>Long-term</v>
      </c>
    </row>
    <row r="7161" spans="1:16" x14ac:dyDescent="0.25">
      <c r="A7161">
        <v>2025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  <c r="M7161" t="str">
        <f t="shared" si="444"/>
        <v>46-60</v>
      </c>
      <c r="N7161" t="str">
        <f t="shared" si="445"/>
        <v>Medium</v>
      </c>
      <c r="O7161" t="str">
        <f t="shared" si="446"/>
        <v>Low Balance</v>
      </c>
      <c r="P7161" t="str">
        <f t="shared" si="447"/>
        <v>Mid-term</v>
      </c>
    </row>
    <row r="7162" spans="1:16" x14ac:dyDescent="0.25">
      <c r="A7162">
        <v>2025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  <c r="M7162" t="str">
        <f t="shared" si="444"/>
        <v>&lt;30</v>
      </c>
      <c r="N7162" t="str">
        <f t="shared" si="445"/>
        <v>Medium</v>
      </c>
      <c r="O7162" t="str">
        <f t="shared" si="446"/>
        <v>Low Balance</v>
      </c>
      <c r="P7162" t="str">
        <f t="shared" si="447"/>
        <v>New</v>
      </c>
    </row>
    <row r="7163" spans="1:16" x14ac:dyDescent="0.25">
      <c r="A7163">
        <v>2025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  <c r="M7163" t="str">
        <f t="shared" si="444"/>
        <v>30-45</v>
      </c>
      <c r="N7163" t="str">
        <f t="shared" si="445"/>
        <v>Medium</v>
      </c>
      <c r="O7163" t="str">
        <f t="shared" si="446"/>
        <v>High Balance</v>
      </c>
      <c r="P7163" t="str">
        <f t="shared" si="447"/>
        <v>Mid-term</v>
      </c>
    </row>
    <row r="7164" spans="1:16" x14ac:dyDescent="0.25">
      <c r="A7164">
        <v>2025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  <c r="M7164" t="str">
        <f t="shared" si="444"/>
        <v>30-45</v>
      </c>
      <c r="N7164" t="str">
        <f t="shared" si="445"/>
        <v>Medium</v>
      </c>
      <c r="O7164" t="str">
        <f t="shared" si="446"/>
        <v>High Balance</v>
      </c>
      <c r="P7164" t="str">
        <f t="shared" si="447"/>
        <v>Long-term</v>
      </c>
    </row>
    <row r="7165" spans="1:16" x14ac:dyDescent="0.25">
      <c r="A7165">
        <v>2025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  <c r="M7165" t="str">
        <f t="shared" si="444"/>
        <v>46-60</v>
      </c>
      <c r="N7165" t="str">
        <f t="shared" si="445"/>
        <v>High</v>
      </c>
      <c r="O7165" t="str">
        <f t="shared" si="446"/>
        <v>Zero Balance</v>
      </c>
      <c r="P7165" t="str">
        <f t="shared" si="447"/>
        <v>New</v>
      </c>
    </row>
    <row r="7166" spans="1:16" x14ac:dyDescent="0.25">
      <c r="A7166">
        <v>2025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  <c r="M7166" t="str">
        <f t="shared" si="444"/>
        <v>30-45</v>
      </c>
      <c r="N7166" t="str">
        <f t="shared" si="445"/>
        <v>High</v>
      </c>
      <c r="O7166" t="str">
        <f t="shared" si="446"/>
        <v>Low Balance</v>
      </c>
      <c r="P7166" t="str">
        <f t="shared" si="447"/>
        <v>Mid-term</v>
      </c>
    </row>
    <row r="7167" spans="1:16" x14ac:dyDescent="0.25">
      <c r="A7167">
        <v>2025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  <c r="M7167" t="str">
        <f t="shared" si="444"/>
        <v>&lt;30</v>
      </c>
      <c r="N7167" t="str">
        <f t="shared" si="445"/>
        <v>Medium</v>
      </c>
      <c r="O7167" t="str">
        <f t="shared" si="446"/>
        <v>High Balance</v>
      </c>
      <c r="P7167" t="str">
        <f t="shared" si="447"/>
        <v>Long-term</v>
      </c>
    </row>
    <row r="7168" spans="1:16" x14ac:dyDescent="0.25">
      <c r="A7168">
        <v>2025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  <c r="M7168" t="str">
        <f t="shared" si="444"/>
        <v>30-45</v>
      </c>
      <c r="N7168" t="str">
        <f t="shared" si="445"/>
        <v>Medium</v>
      </c>
      <c r="O7168" t="str">
        <f t="shared" si="446"/>
        <v>Zero Balance</v>
      </c>
      <c r="P7168" t="str">
        <f t="shared" si="447"/>
        <v>Long-term</v>
      </c>
    </row>
    <row r="7169" spans="1:16" x14ac:dyDescent="0.25">
      <c r="A7169">
        <v>2025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  <c r="M7169" t="str">
        <f t="shared" si="444"/>
        <v>&lt;30</v>
      </c>
      <c r="N7169" t="str">
        <f t="shared" si="445"/>
        <v>Medium</v>
      </c>
      <c r="O7169" t="str">
        <f t="shared" si="446"/>
        <v>High Balance</v>
      </c>
      <c r="P7169" t="str">
        <f t="shared" si="447"/>
        <v>Mid-term</v>
      </c>
    </row>
    <row r="7170" spans="1:16" x14ac:dyDescent="0.25">
      <c r="A7170">
        <v>2025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  <c r="M7170" t="str">
        <f t="shared" si="444"/>
        <v>30-45</v>
      </c>
      <c r="N7170" t="str">
        <f t="shared" si="445"/>
        <v>Medium</v>
      </c>
      <c r="O7170" t="str">
        <f t="shared" si="446"/>
        <v>Zero Balance</v>
      </c>
      <c r="P7170" t="str">
        <f t="shared" si="447"/>
        <v>Mid-term</v>
      </c>
    </row>
    <row r="7171" spans="1:16" x14ac:dyDescent="0.25">
      <c r="A7171">
        <v>2025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  <c r="M7171" t="str">
        <f t="shared" ref="M7171:M7234" si="448">IF(E7171&lt;30,"&lt;30",IF(E7171&lt;=45,"30-45",IF(E7171&lt;=60,"46-60","60+")))</f>
        <v>30-45</v>
      </c>
      <c r="N7171" t="str">
        <f t="shared" ref="N7171:N7234" si="449">IF(B7171&lt;500,"Low",IF(B7171&lt;700,"Medium","High"))</f>
        <v>Low</v>
      </c>
      <c r="O7171" t="str">
        <f t="shared" ref="O7171:O7234" si="450">IF(G7171=0,"Zero Balance",IF(G7171&lt;100000,"Low Balance","High Balance"))</f>
        <v>High Balance</v>
      </c>
      <c r="P7171" t="str">
        <f t="shared" ref="P7171:P7234" si="451">IF(F7171&lt;=3,"New",IF(F7171&lt;=7,"Mid-term","Long-term"))</f>
        <v>Mid-term</v>
      </c>
    </row>
    <row r="7172" spans="1:16" x14ac:dyDescent="0.25">
      <c r="A7172">
        <v>2025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  <c r="M7172" t="str">
        <f t="shared" si="448"/>
        <v>30-45</v>
      </c>
      <c r="N7172" t="str">
        <f t="shared" si="449"/>
        <v>Medium</v>
      </c>
      <c r="O7172" t="str">
        <f t="shared" si="450"/>
        <v>High Balance</v>
      </c>
      <c r="P7172" t="str">
        <f t="shared" si="451"/>
        <v>New</v>
      </c>
    </row>
    <row r="7173" spans="1:16" x14ac:dyDescent="0.25">
      <c r="A7173">
        <v>2025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  <c r="M7173" t="str">
        <f t="shared" si="448"/>
        <v>30-45</v>
      </c>
      <c r="N7173" t="str">
        <f t="shared" si="449"/>
        <v>Medium</v>
      </c>
      <c r="O7173" t="str">
        <f t="shared" si="450"/>
        <v>High Balance</v>
      </c>
      <c r="P7173" t="str">
        <f t="shared" si="451"/>
        <v>Mid-term</v>
      </c>
    </row>
    <row r="7174" spans="1:16" x14ac:dyDescent="0.25">
      <c r="A7174">
        <v>2025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  <c r="M7174" t="str">
        <f t="shared" si="448"/>
        <v>30-45</v>
      </c>
      <c r="N7174" t="str">
        <f t="shared" si="449"/>
        <v>Medium</v>
      </c>
      <c r="O7174" t="str">
        <f t="shared" si="450"/>
        <v>Zero Balance</v>
      </c>
      <c r="P7174" t="str">
        <f t="shared" si="451"/>
        <v>Long-term</v>
      </c>
    </row>
    <row r="7175" spans="1:16" x14ac:dyDescent="0.25">
      <c r="A7175">
        <v>2025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  <c r="M7175" t="str">
        <f t="shared" si="448"/>
        <v>30-45</v>
      </c>
      <c r="N7175" t="str">
        <f t="shared" si="449"/>
        <v>High</v>
      </c>
      <c r="O7175" t="str">
        <f t="shared" si="450"/>
        <v>High Balance</v>
      </c>
      <c r="P7175" t="str">
        <f t="shared" si="451"/>
        <v>New</v>
      </c>
    </row>
    <row r="7176" spans="1:16" x14ac:dyDescent="0.25">
      <c r="A7176">
        <v>2025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  <c r="M7176" t="str">
        <f t="shared" si="448"/>
        <v>46-60</v>
      </c>
      <c r="N7176" t="str">
        <f t="shared" si="449"/>
        <v>Medium</v>
      </c>
      <c r="O7176" t="str">
        <f t="shared" si="450"/>
        <v>High Balance</v>
      </c>
      <c r="P7176" t="str">
        <f t="shared" si="451"/>
        <v>Long-term</v>
      </c>
    </row>
    <row r="7177" spans="1:16" x14ac:dyDescent="0.25">
      <c r="A7177">
        <v>2025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  <c r="M7177" t="str">
        <f t="shared" si="448"/>
        <v>30-45</v>
      </c>
      <c r="N7177" t="str">
        <f t="shared" si="449"/>
        <v>Medium</v>
      </c>
      <c r="O7177" t="str">
        <f t="shared" si="450"/>
        <v>High Balance</v>
      </c>
      <c r="P7177" t="str">
        <f t="shared" si="451"/>
        <v>Mid-term</v>
      </c>
    </row>
    <row r="7178" spans="1:16" x14ac:dyDescent="0.25">
      <c r="A7178">
        <v>2025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  <c r="M7178" t="str">
        <f t="shared" si="448"/>
        <v>30-45</v>
      </c>
      <c r="N7178" t="str">
        <f t="shared" si="449"/>
        <v>Low</v>
      </c>
      <c r="O7178" t="str">
        <f t="shared" si="450"/>
        <v>High Balance</v>
      </c>
      <c r="P7178" t="str">
        <f t="shared" si="451"/>
        <v>Long-term</v>
      </c>
    </row>
    <row r="7179" spans="1:16" x14ac:dyDescent="0.25">
      <c r="A7179">
        <v>2025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  <c r="M7179" t="str">
        <f t="shared" si="448"/>
        <v>&lt;30</v>
      </c>
      <c r="N7179" t="str">
        <f t="shared" si="449"/>
        <v>Medium</v>
      </c>
      <c r="O7179" t="str">
        <f t="shared" si="450"/>
        <v>High Balance</v>
      </c>
      <c r="P7179" t="str">
        <f t="shared" si="451"/>
        <v>New</v>
      </c>
    </row>
    <row r="7180" spans="1:16" x14ac:dyDescent="0.25">
      <c r="A7180">
        <v>2025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  <c r="M7180" t="str">
        <f t="shared" si="448"/>
        <v>30-45</v>
      </c>
      <c r="N7180" t="str">
        <f t="shared" si="449"/>
        <v>Medium</v>
      </c>
      <c r="O7180" t="str">
        <f t="shared" si="450"/>
        <v>High Balance</v>
      </c>
      <c r="P7180" t="str">
        <f t="shared" si="451"/>
        <v>Mid-term</v>
      </c>
    </row>
    <row r="7181" spans="1:16" x14ac:dyDescent="0.25">
      <c r="A7181">
        <v>2025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  <c r="M7181" t="str">
        <f t="shared" si="448"/>
        <v>30-45</v>
      </c>
      <c r="N7181" t="str">
        <f t="shared" si="449"/>
        <v>Medium</v>
      </c>
      <c r="O7181" t="str">
        <f t="shared" si="450"/>
        <v>High Balance</v>
      </c>
      <c r="P7181" t="str">
        <f t="shared" si="451"/>
        <v>Mid-term</v>
      </c>
    </row>
    <row r="7182" spans="1:16" x14ac:dyDescent="0.25">
      <c r="A7182">
        <v>2025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  <c r="M7182" t="str">
        <f t="shared" si="448"/>
        <v>30-45</v>
      </c>
      <c r="N7182" t="str">
        <f t="shared" si="449"/>
        <v>High</v>
      </c>
      <c r="O7182" t="str">
        <f t="shared" si="450"/>
        <v>Zero Balance</v>
      </c>
      <c r="P7182" t="str">
        <f t="shared" si="451"/>
        <v>Long-term</v>
      </c>
    </row>
    <row r="7183" spans="1:16" x14ac:dyDescent="0.25">
      <c r="A7183">
        <v>2025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  <c r="M7183" t="str">
        <f t="shared" si="448"/>
        <v>30-45</v>
      </c>
      <c r="N7183" t="str">
        <f t="shared" si="449"/>
        <v>High</v>
      </c>
      <c r="O7183" t="str">
        <f t="shared" si="450"/>
        <v>High Balance</v>
      </c>
      <c r="P7183" t="str">
        <f t="shared" si="451"/>
        <v>Mid-term</v>
      </c>
    </row>
    <row r="7184" spans="1:16" x14ac:dyDescent="0.25">
      <c r="A7184">
        <v>2025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  <c r="M7184" t="str">
        <f t="shared" si="448"/>
        <v>46-60</v>
      </c>
      <c r="N7184" t="str">
        <f t="shared" si="449"/>
        <v>Medium</v>
      </c>
      <c r="O7184" t="str">
        <f t="shared" si="450"/>
        <v>High Balance</v>
      </c>
      <c r="P7184" t="str">
        <f t="shared" si="451"/>
        <v>Mid-term</v>
      </c>
    </row>
    <row r="7185" spans="1:16" x14ac:dyDescent="0.25">
      <c r="A7185">
        <v>2025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  <c r="M7185" t="str">
        <f t="shared" si="448"/>
        <v>30-45</v>
      </c>
      <c r="N7185" t="str">
        <f t="shared" si="449"/>
        <v>High</v>
      </c>
      <c r="O7185" t="str">
        <f t="shared" si="450"/>
        <v>High Balance</v>
      </c>
      <c r="P7185" t="str">
        <f t="shared" si="451"/>
        <v>Mid-term</v>
      </c>
    </row>
    <row r="7186" spans="1:16" x14ac:dyDescent="0.25">
      <c r="A7186">
        <v>2025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  <c r="M7186" t="str">
        <f t="shared" si="448"/>
        <v>&lt;30</v>
      </c>
      <c r="N7186" t="str">
        <f t="shared" si="449"/>
        <v>High</v>
      </c>
      <c r="O7186" t="str">
        <f t="shared" si="450"/>
        <v>High Balance</v>
      </c>
      <c r="P7186" t="str">
        <f t="shared" si="451"/>
        <v>New</v>
      </c>
    </row>
    <row r="7187" spans="1:16" x14ac:dyDescent="0.25">
      <c r="A7187">
        <v>2025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  <c r="M7187" t="str">
        <f t="shared" si="448"/>
        <v>30-45</v>
      </c>
      <c r="N7187" t="str">
        <f t="shared" si="449"/>
        <v>High</v>
      </c>
      <c r="O7187" t="str">
        <f t="shared" si="450"/>
        <v>High Balance</v>
      </c>
      <c r="P7187" t="str">
        <f t="shared" si="451"/>
        <v>New</v>
      </c>
    </row>
    <row r="7188" spans="1:16" x14ac:dyDescent="0.25">
      <c r="A7188">
        <v>2025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  <c r="M7188" t="str">
        <f t="shared" si="448"/>
        <v>30-45</v>
      </c>
      <c r="N7188" t="str">
        <f t="shared" si="449"/>
        <v>Medium</v>
      </c>
      <c r="O7188" t="str">
        <f t="shared" si="450"/>
        <v>Zero Balance</v>
      </c>
      <c r="P7188" t="str">
        <f t="shared" si="451"/>
        <v>Long-term</v>
      </c>
    </row>
    <row r="7189" spans="1:16" x14ac:dyDescent="0.25">
      <c r="A7189">
        <v>2025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  <c r="M7189" t="str">
        <f t="shared" si="448"/>
        <v>30-45</v>
      </c>
      <c r="N7189" t="str">
        <f t="shared" si="449"/>
        <v>Medium</v>
      </c>
      <c r="O7189" t="str">
        <f t="shared" si="450"/>
        <v>High Balance</v>
      </c>
      <c r="P7189" t="str">
        <f t="shared" si="451"/>
        <v>Long-term</v>
      </c>
    </row>
    <row r="7190" spans="1:16" x14ac:dyDescent="0.25">
      <c r="A7190">
        <v>2025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  <c r="M7190" t="str">
        <f t="shared" si="448"/>
        <v>30-45</v>
      </c>
      <c r="N7190" t="str">
        <f t="shared" si="449"/>
        <v>High</v>
      </c>
      <c r="O7190" t="str">
        <f t="shared" si="450"/>
        <v>Zero Balance</v>
      </c>
      <c r="P7190" t="str">
        <f t="shared" si="451"/>
        <v>Mid-term</v>
      </c>
    </row>
    <row r="7191" spans="1:16" x14ac:dyDescent="0.25">
      <c r="A7191">
        <v>2025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  <c r="M7191" t="str">
        <f t="shared" si="448"/>
        <v>30-45</v>
      </c>
      <c r="N7191" t="str">
        <f t="shared" si="449"/>
        <v>Medium</v>
      </c>
      <c r="O7191" t="str">
        <f t="shared" si="450"/>
        <v>Zero Balance</v>
      </c>
      <c r="P7191" t="str">
        <f t="shared" si="451"/>
        <v>Long-term</v>
      </c>
    </row>
    <row r="7192" spans="1:16" x14ac:dyDescent="0.25">
      <c r="A7192">
        <v>2025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  <c r="M7192" t="str">
        <f t="shared" si="448"/>
        <v>46-60</v>
      </c>
      <c r="N7192" t="str">
        <f t="shared" si="449"/>
        <v>Medium</v>
      </c>
      <c r="O7192" t="str">
        <f t="shared" si="450"/>
        <v>Low Balance</v>
      </c>
      <c r="P7192" t="str">
        <f t="shared" si="451"/>
        <v>Long-term</v>
      </c>
    </row>
    <row r="7193" spans="1:16" x14ac:dyDescent="0.25">
      <c r="A7193">
        <v>2025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  <c r="M7193" t="str">
        <f t="shared" si="448"/>
        <v>30-45</v>
      </c>
      <c r="N7193" t="str">
        <f t="shared" si="449"/>
        <v>Medium</v>
      </c>
      <c r="O7193" t="str">
        <f t="shared" si="450"/>
        <v>High Balance</v>
      </c>
      <c r="P7193" t="str">
        <f t="shared" si="451"/>
        <v>Long-term</v>
      </c>
    </row>
    <row r="7194" spans="1:16" x14ac:dyDescent="0.25">
      <c r="A7194">
        <v>2025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  <c r="M7194" t="str">
        <f t="shared" si="448"/>
        <v>30-45</v>
      </c>
      <c r="N7194" t="str">
        <f t="shared" si="449"/>
        <v>High</v>
      </c>
      <c r="O7194" t="str">
        <f t="shared" si="450"/>
        <v>High Balance</v>
      </c>
      <c r="P7194" t="str">
        <f t="shared" si="451"/>
        <v>Long-term</v>
      </c>
    </row>
    <row r="7195" spans="1:16" x14ac:dyDescent="0.25">
      <c r="A7195">
        <v>2025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  <c r="M7195" t="str">
        <f t="shared" si="448"/>
        <v>30-45</v>
      </c>
      <c r="N7195" t="str">
        <f t="shared" si="449"/>
        <v>Medium</v>
      </c>
      <c r="O7195" t="str">
        <f t="shared" si="450"/>
        <v>Low Balance</v>
      </c>
      <c r="P7195" t="str">
        <f t="shared" si="451"/>
        <v>New</v>
      </c>
    </row>
    <row r="7196" spans="1:16" x14ac:dyDescent="0.25">
      <c r="A7196">
        <v>2025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  <c r="M7196" t="str">
        <f t="shared" si="448"/>
        <v>60+</v>
      </c>
      <c r="N7196" t="str">
        <f t="shared" si="449"/>
        <v>High</v>
      </c>
      <c r="O7196" t="str">
        <f t="shared" si="450"/>
        <v>Low Balance</v>
      </c>
      <c r="P7196" t="str">
        <f t="shared" si="451"/>
        <v>Long-term</v>
      </c>
    </row>
    <row r="7197" spans="1:16" x14ac:dyDescent="0.25">
      <c r="A7197">
        <v>2025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  <c r="M7197" t="str">
        <f t="shared" si="448"/>
        <v>30-45</v>
      </c>
      <c r="N7197" t="str">
        <f t="shared" si="449"/>
        <v>Medium</v>
      </c>
      <c r="O7197" t="str">
        <f t="shared" si="450"/>
        <v>Zero Balance</v>
      </c>
      <c r="P7197" t="str">
        <f t="shared" si="451"/>
        <v>Mid-term</v>
      </c>
    </row>
    <row r="7198" spans="1:16" x14ac:dyDescent="0.25">
      <c r="A7198">
        <v>2025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  <c r="M7198" t="str">
        <f t="shared" si="448"/>
        <v>30-45</v>
      </c>
      <c r="N7198" t="str">
        <f t="shared" si="449"/>
        <v>Medium</v>
      </c>
      <c r="O7198" t="str">
        <f t="shared" si="450"/>
        <v>Zero Balance</v>
      </c>
      <c r="P7198" t="str">
        <f t="shared" si="451"/>
        <v>Mid-term</v>
      </c>
    </row>
    <row r="7199" spans="1:16" x14ac:dyDescent="0.25">
      <c r="A7199">
        <v>2025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  <c r="M7199" t="str">
        <f t="shared" si="448"/>
        <v>30-45</v>
      </c>
      <c r="N7199" t="str">
        <f t="shared" si="449"/>
        <v>High</v>
      </c>
      <c r="O7199" t="str">
        <f t="shared" si="450"/>
        <v>Zero Balance</v>
      </c>
      <c r="P7199" t="str">
        <f t="shared" si="451"/>
        <v>Long-term</v>
      </c>
    </row>
    <row r="7200" spans="1:16" x14ac:dyDescent="0.25">
      <c r="A7200">
        <v>2025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  <c r="M7200" t="str">
        <f t="shared" si="448"/>
        <v>30-45</v>
      </c>
      <c r="N7200" t="str">
        <f t="shared" si="449"/>
        <v>Medium</v>
      </c>
      <c r="O7200" t="str">
        <f t="shared" si="450"/>
        <v>Low Balance</v>
      </c>
      <c r="P7200" t="str">
        <f t="shared" si="451"/>
        <v>Mid-term</v>
      </c>
    </row>
    <row r="7201" spans="1:16" x14ac:dyDescent="0.25">
      <c r="A7201">
        <v>2025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  <c r="M7201" t="str">
        <f t="shared" si="448"/>
        <v>30-45</v>
      </c>
      <c r="N7201" t="str">
        <f t="shared" si="449"/>
        <v>Medium</v>
      </c>
      <c r="O7201" t="str">
        <f t="shared" si="450"/>
        <v>Zero Balance</v>
      </c>
      <c r="P7201" t="str">
        <f t="shared" si="451"/>
        <v>Mid-term</v>
      </c>
    </row>
    <row r="7202" spans="1:16" x14ac:dyDescent="0.25">
      <c r="A7202">
        <v>2025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  <c r="M7202" t="str">
        <f t="shared" si="448"/>
        <v>&lt;30</v>
      </c>
      <c r="N7202" t="str">
        <f t="shared" si="449"/>
        <v>Medium</v>
      </c>
      <c r="O7202" t="str">
        <f t="shared" si="450"/>
        <v>Low Balance</v>
      </c>
      <c r="P7202" t="str">
        <f t="shared" si="451"/>
        <v>New</v>
      </c>
    </row>
    <row r="7203" spans="1:16" x14ac:dyDescent="0.25">
      <c r="A7203">
        <v>2025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  <c r="M7203" t="str">
        <f t="shared" si="448"/>
        <v>30-45</v>
      </c>
      <c r="N7203" t="str">
        <f t="shared" si="449"/>
        <v>Medium</v>
      </c>
      <c r="O7203" t="str">
        <f t="shared" si="450"/>
        <v>High Balance</v>
      </c>
      <c r="P7203" t="str">
        <f t="shared" si="451"/>
        <v>Mid-term</v>
      </c>
    </row>
    <row r="7204" spans="1:16" x14ac:dyDescent="0.25">
      <c r="A7204">
        <v>2025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  <c r="M7204" t="str">
        <f t="shared" si="448"/>
        <v>60+</v>
      </c>
      <c r="N7204" t="str">
        <f t="shared" si="449"/>
        <v>Medium</v>
      </c>
      <c r="O7204" t="str">
        <f t="shared" si="450"/>
        <v>Low Balance</v>
      </c>
      <c r="P7204" t="str">
        <f t="shared" si="451"/>
        <v>Long-term</v>
      </c>
    </row>
    <row r="7205" spans="1:16" x14ac:dyDescent="0.25">
      <c r="A7205">
        <v>2025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  <c r="M7205" t="str">
        <f t="shared" si="448"/>
        <v>30-45</v>
      </c>
      <c r="N7205" t="str">
        <f t="shared" si="449"/>
        <v>Medium</v>
      </c>
      <c r="O7205" t="str">
        <f t="shared" si="450"/>
        <v>Low Balance</v>
      </c>
      <c r="P7205" t="str">
        <f t="shared" si="451"/>
        <v>New</v>
      </c>
    </row>
    <row r="7206" spans="1:16" x14ac:dyDescent="0.25">
      <c r="A7206">
        <v>2025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  <c r="M7206" t="str">
        <f t="shared" si="448"/>
        <v>30-45</v>
      </c>
      <c r="N7206" t="str">
        <f t="shared" si="449"/>
        <v>Medium</v>
      </c>
      <c r="O7206" t="str">
        <f t="shared" si="450"/>
        <v>High Balance</v>
      </c>
      <c r="P7206" t="str">
        <f t="shared" si="451"/>
        <v>Long-term</v>
      </c>
    </row>
    <row r="7207" spans="1:16" x14ac:dyDescent="0.25">
      <c r="A7207">
        <v>2025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  <c r="M7207" t="str">
        <f t="shared" si="448"/>
        <v>&lt;30</v>
      </c>
      <c r="N7207" t="str">
        <f t="shared" si="449"/>
        <v>Medium</v>
      </c>
      <c r="O7207" t="str">
        <f t="shared" si="450"/>
        <v>Zero Balance</v>
      </c>
      <c r="P7207" t="str">
        <f t="shared" si="451"/>
        <v>Long-term</v>
      </c>
    </row>
    <row r="7208" spans="1:16" x14ac:dyDescent="0.25">
      <c r="A7208">
        <v>2025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  <c r="M7208" t="str">
        <f t="shared" si="448"/>
        <v>46-60</v>
      </c>
      <c r="N7208" t="str">
        <f t="shared" si="449"/>
        <v>High</v>
      </c>
      <c r="O7208" t="str">
        <f t="shared" si="450"/>
        <v>High Balance</v>
      </c>
      <c r="P7208" t="str">
        <f t="shared" si="451"/>
        <v>New</v>
      </c>
    </row>
    <row r="7209" spans="1:16" x14ac:dyDescent="0.25">
      <c r="A7209">
        <v>2025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  <c r="M7209" t="str">
        <f t="shared" si="448"/>
        <v>30-45</v>
      </c>
      <c r="N7209" t="str">
        <f t="shared" si="449"/>
        <v>Medium</v>
      </c>
      <c r="O7209" t="str">
        <f t="shared" si="450"/>
        <v>High Balance</v>
      </c>
      <c r="P7209" t="str">
        <f t="shared" si="451"/>
        <v>Mid-term</v>
      </c>
    </row>
    <row r="7210" spans="1:16" x14ac:dyDescent="0.25">
      <c r="A7210">
        <v>2025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  <c r="M7210" t="str">
        <f t="shared" si="448"/>
        <v>&lt;30</v>
      </c>
      <c r="N7210" t="str">
        <f t="shared" si="449"/>
        <v>Medium</v>
      </c>
      <c r="O7210" t="str">
        <f t="shared" si="450"/>
        <v>Low Balance</v>
      </c>
      <c r="P7210" t="str">
        <f t="shared" si="451"/>
        <v>Mid-term</v>
      </c>
    </row>
    <row r="7211" spans="1:16" x14ac:dyDescent="0.25">
      <c r="A7211">
        <v>2025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  <c r="M7211" t="str">
        <f t="shared" si="448"/>
        <v>46-60</v>
      </c>
      <c r="N7211" t="str">
        <f t="shared" si="449"/>
        <v>Medium</v>
      </c>
      <c r="O7211" t="str">
        <f t="shared" si="450"/>
        <v>Zero Balance</v>
      </c>
      <c r="P7211" t="str">
        <f t="shared" si="451"/>
        <v>Mid-term</v>
      </c>
    </row>
    <row r="7212" spans="1:16" x14ac:dyDescent="0.25">
      <c r="A7212">
        <v>2025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  <c r="M7212" t="str">
        <f t="shared" si="448"/>
        <v>&lt;30</v>
      </c>
      <c r="N7212" t="str">
        <f t="shared" si="449"/>
        <v>Medium</v>
      </c>
      <c r="O7212" t="str">
        <f t="shared" si="450"/>
        <v>High Balance</v>
      </c>
      <c r="P7212" t="str">
        <f t="shared" si="451"/>
        <v>Long-term</v>
      </c>
    </row>
    <row r="7213" spans="1:16" x14ac:dyDescent="0.25">
      <c r="A7213">
        <v>2025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  <c r="M7213" t="str">
        <f t="shared" si="448"/>
        <v>30-45</v>
      </c>
      <c r="N7213" t="str">
        <f t="shared" si="449"/>
        <v>Medium</v>
      </c>
      <c r="O7213" t="str">
        <f t="shared" si="450"/>
        <v>High Balance</v>
      </c>
      <c r="P7213" t="str">
        <f t="shared" si="451"/>
        <v>Mid-term</v>
      </c>
    </row>
    <row r="7214" spans="1:16" x14ac:dyDescent="0.25">
      <c r="A7214">
        <v>2025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  <c r="M7214" t="str">
        <f t="shared" si="448"/>
        <v>&lt;30</v>
      </c>
      <c r="N7214" t="str">
        <f t="shared" si="449"/>
        <v>High</v>
      </c>
      <c r="O7214" t="str">
        <f t="shared" si="450"/>
        <v>High Balance</v>
      </c>
      <c r="P7214" t="str">
        <f t="shared" si="451"/>
        <v>Mid-term</v>
      </c>
    </row>
    <row r="7215" spans="1:16" x14ac:dyDescent="0.25">
      <c r="A7215">
        <v>2025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  <c r="M7215" t="str">
        <f t="shared" si="448"/>
        <v>46-60</v>
      </c>
      <c r="N7215" t="str">
        <f t="shared" si="449"/>
        <v>Low</v>
      </c>
      <c r="O7215" t="str">
        <f t="shared" si="450"/>
        <v>High Balance</v>
      </c>
      <c r="P7215" t="str">
        <f t="shared" si="451"/>
        <v>Long-term</v>
      </c>
    </row>
    <row r="7216" spans="1:16" x14ac:dyDescent="0.25">
      <c r="A7216">
        <v>2025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  <c r="M7216" t="str">
        <f t="shared" si="448"/>
        <v>30-45</v>
      </c>
      <c r="N7216" t="str">
        <f t="shared" si="449"/>
        <v>High</v>
      </c>
      <c r="O7216" t="str">
        <f t="shared" si="450"/>
        <v>High Balance</v>
      </c>
      <c r="P7216" t="str">
        <f t="shared" si="451"/>
        <v>New</v>
      </c>
    </row>
    <row r="7217" spans="1:16" x14ac:dyDescent="0.25">
      <c r="A7217">
        <v>2025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  <c r="M7217" t="str">
        <f t="shared" si="448"/>
        <v>30-45</v>
      </c>
      <c r="N7217" t="str">
        <f t="shared" si="449"/>
        <v>Medium</v>
      </c>
      <c r="O7217" t="str">
        <f t="shared" si="450"/>
        <v>Low Balance</v>
      </c>
      <c r="P7217" t="str">
        <f t="shared" si="451"/>
        <v>New</v>
      </c>
    </row>
    <row r="7218" spans="1:16" x14ac:dyDescent="0.25">
      <c r="A7218">
        <v>2025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  <c r="M7218" t="str">
        <f t="shared" si="448"/>
        <v>30-45</v>
      </c>
      <c r="N7218" t="str">
        <f t="shared" si="449"/>
        <v>Medium</v>
      </c>
      <c r="O7218" t="str">
        <f t="shared" si="450"/>
        <v>High Balance</v>
      </c>
      <c r="P7218" t="str">
        <f t="shared" si="451"/>
        <v>Long-term</v>
      </c>
    </row>
    <row r="7219" spans="1:16" x14ac:dyDescent="0.25">
      <c r="A7219">
        <v>2025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  <c r="M7219" t="str">
        <f t="shared" si="448"/>
        <v>30-45</v>
      </c>
      <c r="N7219" t="str">
        <f t="shared" si="449"/>
        <v>Medium</v>
      </c>
      <c r="O7219" t="str">
        <f t="shared" si="450"/>
        <v>Zero Balance</v>
      </c>
      <c r="P7219" t="str">
        <f t="shared" si="451"/>
        <v>New</v>
      </c>
    </row>
    <row r="7220" spans="1:16" x14ac:dyDescent="0.25">
      <c r="A7220">
        <v>2025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  <c r="M7220" t="str">
        <f t="shared" si="448"/>
        <v>30-45</v>
      </c>
      <c r="N7220" t="str">
        <f t="shared" si="449"/>
        <v>High</v>
      </c>
      <c r="O7220" t="str">
        <f t="shared" si="450"/>
        <v>High Balance</v>
      </c>
      <c r="P7220" t="str">
        <f t="shared" si="451"/>
        <v>Mid-term</v>
      </c>
    </row>
    <row r="7221" spans="1:16" x14ac:dyDescent="0.25">
      <c r="A7221">
        <v>2025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  <c r="M7221" t="str">
        <f t="shared" si="448"/>
        <v>46-60</v>
      </c>
      <c r="N7221" t="str">
        <f t="shared" si="449"/>
        <v>Medium</v>
      </c>
      <c r="O7221" t="str">
        <f t="shared" si="450"/>
        <v>Low Balance</v>
      </c>
      <c r="P7221" t="str">
        <f t="shared" si="451"/>
        <v>Mid-term</v>
      </c>
    </row>
    <row r="7222" spans="1:16" x14ac:dyDescent="0.25">
      <c r="A7222">
        <v>2025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  <c r="M7222" t="str">
        <f t="shared" si="448"/>
        <v>30-45</v>
      </c>
      <c r="N7222" t="str">
        <f t="shared" si="449"/>
        <v>High</v>
      </c>
      <c r="O7222" t="str">
        <f t="shared" si="450"/>
        <v>Zero Balance</v>
      </c>
      <c r="P7222" t="str">
        <f t="shared" si="451"/>
        <v>Long-term</v>
      </c>
    </row>
    <row r="7223" spans="1:16" x14ac:dyDescent="0.25">
      <c r="A7223">
        <v>2025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  <c r="M7223" t="str">
        <f t="shared" si="448"/>
        <v>30-45</v>
      </c>
      <c r="N7223" t="str">
        <f t="shared" si="449"/>
        <v>Medium</v>
      </c>
      <c r="O7223" t="str">
        <f t="shared" si="450"/>
        <v>Low Balance</v>
      </c>
      <c r="P7223" t="str">
        <f t="shared" si="451"/>
        <v>Mid-term</v>
      </c>
    </row>
    <row r="7224" spans="1:16" x14ac:dyDescent="0.25">
      <c r="A7224">
        <v>2025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  <c r="M7224" t="str">
        <f t="shared" si="448"/>
        <v>30-45</v>
      </c>
      <c r="N7224" t="str">
        <f t="shared" si="449"/>
        <v>High</v>
      </c>
      <c r="O7224" t="str">
        <f t="shared" si="450"/>
        <v>Low Balance</v>
      </c>
      <c r="P7224" t="str">
        <f t="shared" si="451"/>
        <v>Mid-term</v>
      </c>
    </row>
    <row r="7225" spans="1:16" x14ac:dyDescent="0.25">
      <c r="A7225">
        <v>2025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  <c r="M7225" t="str">
        <f t="shared" si="448"/>
        <v>30-45</v>
      </c>
      <c r="N7225" t="str">
        <f t="shared" si="449"/>
        <v>High</v>
      </c>
      <c r="O7225" t="str">
        <f t="shared" si="450"/>
        <v>High Balance</v>
      </c>
      <c r="P7225" t="str">
        <f t="shared" si="451"/>
        <v>Long-term</v>
      </c>
    </row>
    <row r="7226" spans="1:16" x14ac:dyDescent="0.25">
      <c r="A7226">
        <v>2025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  <c r="M7226" t="str">
        <f t="shared" si="448"/>
        <v>30-45</v>
      </c>
      <c r="N7226" t="str">
        <f t="shared" si="449"/>
        <v>High</v>
      </c>
      <c r="O7226" t="str">
        <f t="shared" si="450"/>
        <v>High Balance</v>
      </c>
      <c r="P7226" t="str">
        <f t="shared" si="451"/>
        <v>Long-term</v>
      </c>
    </row>
    <row r="7227" spans="1:16" x14ac:dyDescent="0.25">
      <c r="A7227">
        <v>2025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  <c r="M7227" t="str">
        <f t="shared" si="448"/>
        <v>30-45</v>
      </c>
      <c r="N7227" t="str">
        <f t="shared" si="449"/>
        <v>High</v>
      </c>
      <c r="O7227" t="str">
        <f t="shared" si="450"/>
        <v>Low Balance</v>
      </c>
      <c r="P7227" t="str">
        <f t="shared" si="451"/>
        <v>Mid-term</v>
      </c>
    </row>
    <row r="7228" spans="1:16" x14ac:dyDescent="0.25">
      <c r="A7228">
        <v>2025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  <c r="M7228" t="str">
        <f t="shared" si="448"/>
        <v>46-60</v>
      </c>
      <c r="N7228" t="str">
        <f t="shared" si="449"/>
        <v>High</v>
      </c>
      <c r="O7228" t="str">
        <f t="shared" si="450"/>
        <v>High Balance</v>
      </c>
      <c r="P7228" t="str">
        <f t="shared" si="451"/>
        <v>New</v>
      </c>
    </row>
    <row r="7229" spans="1:16" x14ac:dyDescent="0.25">
      <c r="A7229">
        <v>2025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  <c r="M7229" t="str">
        <f t="shared" si="448"/>
        <v>&lt;30</v>
      </c>
      <c r="N7229" t="str">
        <f t="shared" si="449"/>
        <v>High</v>
      </c>
      <c r="O7229" t="str">
        <f t="shared" si="450"/>
        <v>Zero Balance</v>
      </c>
      <c r="P7229" t="str">
        <f t="shared" si="451"/>
        <v>New</v>
      </c>
    </row>
    <row r="7230" spans="1:16" x14ac:dyDescent="0.25">
      <c r="A7230">
        <v>2025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  <c r="M7230" t="str">
        <f t="shared" si="448"/>
        <v>46-60</v>
      </c>
      <c r="N7230" t="str">
        <f t="shared" si="449"/>
        <v>Medium</v>
      </c>
      <c r="O7230" t="str">
        <f t="shared" si="450"/>
        <v>High Balance</v>
      </c>
      <c r="P7230" t="str">
        <f t="shared" si="451"/>
        <v>New</v>
      </c>
    </row>
    <row r="7231" spans="1:16" x14ac:dyDescent="0.25">
      <c r="A7231">
        <v>2025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  <c r="M7231" t="str">
        <f t="shared" si="448"/>
        <v>&lt;30</v>
      </c>
      <c r="N7231" t="str">
        <f t="shared" si="449"/>
        <v>High</v>
      </c>
      <c r="O7231" t="str">
        <f t="shared" si="450"/>
        <v>Zero Balance</v>
      </c>
      <c r="P7231" t="str">
        <f t="shared" si="451"/>
        <v>Mid-term</v>
      </c>
    </row>
    <row r="7232" spans="1:16" x14ac:dyDescent="0.25">
      <c r="A7232">
        <v>2025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  <c r="M7232" t="str">
        <f t="shared" si="448"/>
        <v>30-45</v>
      </c>
      <c r="N7232" t="str">
        <f t="shared" si="449"/>
        <v>Medium</v>
      </c>
      <c r="O7232" t="str">
        <f t="shared" si="450"/>
        <v>Zero Balance</v>
      </c>
      <c r="P7232" t="str">
        <f t="shared" si="451"/>
        <v>New</v>
      </c>
    </row>
    <row r="7233" spans="1:16" x14ac:dyDescent="0.25">
      <c r="A7233">
        <v>2025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  <c r="M7233" t="str">
        <f t="shared" si="448"/>
        <v>30-45</v>
      </c>
      <c r="N7233" t="str">
        <f t="shared" si="449"/>
        <v>Medium</v>
      </c>
      <c r="O7233" t="str">
        <f t="shared" si="450"/>
        <v>High Balance</v>
      </c>
      <c r="P7233" t="str">
        <f t="shared" si="451"/>
        <v>Long-term</v>
      </c>
    </row>
    <row r="7234" spans="1:16" x14ac:dyDescent="0.25">
      <c r="A7234">
        <v>2025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  <c r="M7234" t="str">
        <f t="shared" si="448"/>
        <v>30-45</v>
      </c>
      <c r="N7234" t="str">
        <f t="shared" si="449"/>
        <v>Medium</v>
      </c>
      <c r="O7234" t="str">
        <f t="shared" si="450"/>
        <v>Low Balance</v>
      </c>
      <c r="P7234" t="str">
        <f t="shared" si="451"/>
        <v>Mid-term</v>
      </c>
    </row>
    <row r="7235" spans="1:16" x14ac:dyDescent="0.25">
      <c r="A7235">
        <v>2025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  <c r="M7235" t="str">
        <f t="shared" ref="M7235:M7298" si="452">IF(E7235&lt;30,"&lt;30",IF(E7235&lt;=45,"30-45",IF(E7235&lt;=60,"46-60","60+")))</f>
        <v>30-45</v>
      </c>
      <c r="N7235" t="str">
        <f t="shared" ref="N7235:N7298" si="453">IF(B7235&lt;500,"Low",IF(B7235&lt;700,"Medium","High"))</f>
        <v>Medium</v>
      </c>
      <c r="O7235" t="str">
        <f t="shared" ref="O7235:O7298" si="454">IF(G7235=0,"Zero Balance",IF(G7235&lt;100000,"Low Balance","High Balance"))</f>
        <v>High Balance</v>
      </c>
      <c r="P7235" t="str">
        <f t="shared" ref="P7235:P7298" si="455">IF(F7235&lt;=3,"New",IF(F7235&lt;=7,"Mid-term","Long-term"))</f>
        <v>New</v>
      </c>
    </row>
    <row r="7236" spans="1:16" x14ac:dyDescent="0.25">
      <c r="A7236">
        <v>2025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  <c r="M7236" t="str">
        <f t="shared" si="452"/>
        <v>30-45</v>
      </c>
      <c r="N7236" t="str">
        <f t="shared" si="453"/>
        <v>Medium</v>
      </c>
      <c r="O7236" t="str">
        <f t="shared" si="454"/>
        <v>High Balance</v>
      </c>
      <c r="P7236" t="str">
        <f t="shared" si="455"/>
        <v>Mid-term</v>
      </c>
    </row>
    <row r="7237" spans="1:16" x14ac:dyDescent="0.25">
      <c r="A7237">
        <v>2025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  <c r="M7237" t="str">
        <f t="shared" si="452"/>
        <v>30-45</v>
      </c>
      <c r="N7237" t="str">
        <f t="shared" si="453"/>
        <v>Medium</v>
      </c>
      <c r="O7237" t="str">
        <f t="shared" si="454"/>
        <v>High Balance</v>
      </c>
      <c r="P7237" t="str">
        <f t="shared" si="455"/>
        <v>Mid-term</v>
      </c>
    </row>
    <row r="7238" spans="1:16" x14ac:dyDescent="0.25">
      <c r="A7238">
        <v>2025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  <c r="M7238" t="str">
        <f t="shared" si="452"/>
        <v>30-45</v>
      </c>
      <c r="N7238" t="str">
        <f t="shared" si="453"/>
        <v>Low</v>
      </c>
      <c r="O7238" t="str">
        <f t="shared" si="454"/>
        <v>Zero Balance</v>
      </c>
      <c r="P7238" t="str">
        <f t="shared" si="455"/>
        <v>Mid-term</v>
      </c>
    </row>
    <row r="7239" spans="1:16" x14ac:dyDescent="0.25">
      <c r="A7239">
        <v>2025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  <c r="M7239" t="str">
        <f t="shared" si="452"/>
        <v>30-45</v>
      </c>
      <c r="N7239" t="str">
        <f t="shared" si="453"/>
        <v>Medium</v>
      </c>
      <c r="O7239" t="str">
        <f t="shared" si="454"/>
        <v>Zero Balance</v>
      </c>
      <c r="P7239" t="str">
        <f t="shared" si="455"/>
        <v>Mid-term</v>
      </c>
    </row>
    <row r="7240" spans="1:16" x14ac:dyDescent="0.25">
      <c r="A7240">
        <v>2025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  <c r="M7240" t="str">
        <f t="shared" si="452"/>
        <v>60+</v>
      </c>
      <c r="N7240" t="str">
        <f t="shared" si="453"/>
        <v>Medium</v>
      </c>
      <c r="O7240" t="str">
        <f t="shared" si="454"/>
        <v>Zero Balance</v>
      </c>
      <c r="P7240" t="str">
        <f t="shared" si="455"/>
        <v>Mid-term</v>
      </c>
    </row>
    <row r="7241" spans="1:16" x14ac:dyDescent="0.25">
      <c r="A7241">
        <v>2025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  <c r="M7241" t="str">
        <f t="shared" si="452"/>
        <v>30-45</v>
      </c>
      <c r="N7241" t="str">
        <f t="shared" si="453"/>
        <v>Medium</v>
      </c>
      <c r="O7241" t="str">
        <f t="shared" si="454"/>
        <v>High Balance</v>
      </c>
      <c r="P7241" t="str">
        <f t="shared" si="455"/>
        <v>Long-term</v>
      </c>
    </row>
    <row r="7242" spans="1:16" x14ac:dyDescent="0.25">
      <c r="A7242">
        <v>2025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  <c r="M7242" t="str">
        <f t="shared" si="452"/>
        <v>30-45</v>
      </c>
      <c r="N7242" t="str">
        <f t="shared" si="453"/>
        <v>Medium</v>
      </c>
      <c r="O7242" t="str">
        <f t="shared" si="454"/>
        <v>Low Balance</v>
      </c>
      <c r="P7242" t="str">
        <f t="shared" si="455"/>
        <v>Mid-term</v>
      </c>
    </row>
    <row r="7243" spans="1:16" x14ac:dyDescent="0.25">
      <c r="A7243">
        <v>2025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  <c r="M7243" t="str">
        <f t="shared" si="452"/>
        <v>30-45</v>
      </c>
      <c r="N7243" t="str">
        <f t="shared" si="453"/>
        <v>Medium</v>
      </c>
      <c r="O7243" t="str">
        <f t="shared" si="454"/>
        <v>High Balance</v>
      </c>
      <c r="P7243" t="str">
        <f t="shared" si="455"/>
        <v>Mid-term</v>
      </c>
    </row>
    <row r="7244" spans="1:16" x14ac:dyDescent="0.25">
      <c r="A7244">
        <v>2025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  <c r="M7244" t="str">
        <f t="shared" si="452"/>
        <v>30-45</v>
      </c>
      <c r="N7244" t="str">
        <f t="shared" si="453"/>
        <v>Medium</v>
      </c>
      <c r="O7244" t="str">
        <f t="shared" si="454"/>
        <v>Low Balance</v>
      </c>
      <c r="P7244" t="str">
        <f t="shared" si="455"/>
        <v>Mid-term</v>
      </c>
    </row>
    <row r="7245" spans="1:16" x14ac:dyDescent="0.25">
      <c r="A7245">
        <v>2025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  <c r="M7245" t="str">
        <f t="shared" si="452"/>
        <v>60+</v>
      </c>
      <c r="N7245" t="str">
        <f t="shared" si="453"/>
        <v>Medium</v>
      </c>
      <c r="O7245" t="str">
        <f t="shared" si="454"/>
        <v>Zero Balance</v>
      </c>
      <c r="P7245" t="str">
        <f t="shared" si="455"/>
        <v>Mid-term</v>
      </c>
    </row>
    <row r="7246" spans="1:16" x14ac:dyDescent="0.25">
      <c r="A7246">
        <v>2025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  <c r="M7246" t="str">
        <f t="shared" si="452"/>
        <v>30-45</v>
      </c>
      <c r="N7246" t="str">
        <f t="shared" si="453"/>
        <v>Low</v>
      </c>
      <c r="O7246" t="str">
        <f t="shared" si="454"/>
        <v>Zero Balance</v>
      </c>
      <c r="P7246" t="str">
        <f t="shared" si="455"/>
        <v>Mid-term</v>
      </c>
    </row>
    <row r="7247" spans="1:16" x14ac:dyDescent="0.25">
      <c r="A7247">
        <v>2025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  <c r="M7247" t="str">
        <f t="shared" si="452"/>
        <v>30-45</v>
      </c>
      <c r="N7247" t="str">
        <f t="shared" si="453"/>
        <v>High</v>
      </c>
      <c r="O7247" t="str">
        <f t="shared" si="454"/>
        <v>High Balance</v>
      </c>
      <c r="P7247" t="str">
        <f t="shared" si="455"/>
        <v>New</v>
      </c>
    </row>
    <row r="7248" spans="1:16" x14ac:dyDescent="0.25">
      <c r="A7248">
        <v>2025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  <c r="M7248" t="str">
        <f t="shared" si="452"/>
        <v>30-45</v>
      </c>
      <c r="N7248" t="str">
        <f t="shared" si="453"/>
        <v>Low</v>
      </c>
      <c r="O7248" t="str">
        <f t="shared" si="454"/>
        <v>Zero Balance</v>
      </c>
      <c r="P7248" t="str">
        <f t="shared" si="455"/>
        <v>Mid-term</v>
      </c>
    </row>
    <row r="7249" spans="1:16" x14ac:dyDescent="0.25">
      <c r="A7249">
        <v>2025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  <c r="M7249" t="str">
        <f t="shared" si="452"/>
        <v>30-45</v>
      </c>
      <c r="N7249" t="str">
        <f t="shared" si="453"/>
        <v>Medium</v>
      </c>
      <c r="O7249" t="str">
        <f t="shared" si="454"/>
        <v>High Balance</v>
      </c>
      <c r="P7249" t="str">
        <f t="shared" si="455"/>
        <v>New</v>
      </c>
    </row>
    <row r="7250" spans="1:16" x14ac:dyDescent="0.25">
      <c r="A7250">
        <v>2025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  <c r="M7250" t="str">
        <f t="shared" si="452"/>
        <v>46-60</v>
      </c>
      <c r="N7250" t="str">
        <f t="shared" si="453"/>
        <v>Medium</v>
      </c>
      <c r="O7250" t="str">
        <f t="shared" si="454"/>
        <v>Zero Balance</v>
      </c>
      <c r="P7250" t="str">
        <f t="shared" si="455"/>
        <v>New</v>
      </c>
    </row>
    <row r="7251" spans="1:16" x14ac:dyDescent="0.25">
      <c r="A7251">
        <v>2025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  <c r="M7251" t="str">
        <f t="shared" si="452"/>
        <v>&lt;30</v>
      </c>
      <c r="N7251" t="str">
        <f t="shared" si="453"/>
        <v>Medium</v>
      </c>
      <c r="O7251" t="str">
        <f t="shared" si="454"/>
        <v>Zero Balance</v>
      </c>
      <c r="P7251" t="str">
        <f t="shared" si="455"/>
        <v>Mid-term</v>
      </c>
    </row>
    <row r="7252" spans="1:16" x14ac:dyDescent="0.25">
      <c r="A7252">
        <v>2025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  <c r="M7252" t="str">
        <f t="shared" si="452"/>
        <v>&lt;30</v>
      </c>
      <c r="N7252" t="str">
        <f t="shared" si="453"/>
        <v>Medium</v>
      </c>
      <c r="O7252" t="str">
        <f t="shared" si="454"/>
        <v>Zero Balance</v>
      </c>
      <c r="P7252" t="str">
        <f t="shared" si="455"/>
        <v>Mid-term</v>
      </c>
    </row>
    <row r="7253" spans="1:16" x14ac:dyDescent="0.25">
      <c r="A7253">
        <v>2025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  <c r="M7253" t="str">
        <f t="shared" si="452"/>
        <v>30-45</v>
      </c>
      <c r="N7253" t="str">
        <f t="shared" si="453"/>
        <v>High</v>
      </c>
      <c r="O7253" t="str">
        <f t="shared" si="454"/>
        <v>High Balance</v>
      </c>
      <c r="P7253" t="str">
        <f t="shared" si="455"/>
        <v>Long-term</v>
      </c>
    </row>
    <row r="7254" spans="1:16" x14ac:dyDescent="0.25">
      <c r="A7254">
        <v>2025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  <c r="M7254" t="str">
        <f t="shared" si="452"/>
        <v>30-45</v>
      </c>
      <c r="N7254" t="str">
        <f t="shared" si="453"/>
        <v>Medium</v>
      </c>
      <c r="O7254" t="str">
        <f t="shared" si="454"/>
        <v>High Balance</v>
      </c>
      <c r="P7254" t="str">
        <f t="shared" si="455"/>
        <v>Mid-term</v>
      </c>
    </row>
    <row r="7255" spans="1:16" x14ac:dyDescent="0.25">
      <c r="A7255">
        <v>2025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  <c r="M7255" t="str">
        <f t="shared" si="452"/>
        <v>46-60</v>
      </c>
      <c r="N7255" t="str">
        <f t="shared" si="453"/>
        <v>High</v>
      </c>
      <c r="O7255" t="str">
        <f t="shared" si="454"/>
        <v>High Balance</v>
      </c>
      <c r="P7255" t="str">
        <f t="shared" si="455"/>
        <v>New</v>
      </c>
    </row>
    <row r="7256" spans="1:16" x14ac:dyDescent="0.25">
      <c r="A7256">
        <v>2025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  <c r="M7256" t="str">
        <f t="shared" si="452"/>
        <v>30-45</v>
      </c>
      <c r="N7256" t="str">
        <f t="shared" si="453"/>
        <v>High</v>
      </c>
      <c r="O7256" t="str">
        <f t="shared" si="454"/>
        <v>Zero Balance</v>
      </c>
      <c r="P7256" t="str">
        <f t="shared" si="455"/>
        <v>New</v>
      </c>
    </row>
    <row r="7257" spans="1:16" x14ac:dyDescent="0.25">
      <c r="A7257">
        <v>2025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  <c r="M7257" t="str">
        <f t="shared" si="452"/>
        <v>30-45</v>
      </c>
      <c r="N7257" t="str">
        <f t="shared" si="453"/>
        <v>Medium</v>
      </c>
      <c r="O7257" t="str">
        <f t="shared" si="454"/>
        <v>High Balance</v>
      </c>
      <c r="P7257" t="str">
        <f t="shared" si="455"/>
        <v>New</v>
      </c>
    </row>
    <row r="7258" spans="1:16" x14ac:dyDescent="0.25">
      <c r="A7258">
        <v>2025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  <c r="M7258" t="str">
        <f t="shared" si="452"/>
        <v>30-45</v>
      </c>
      <c r="N7258" t="str">
        <f t="shared" si="453"/>
        <v>High</v>
      </c>
      <c r="O7258" t="str">
        <f t="shared" si="454"/>
        <v>Low Balance</v>
      </c>
      <c r="P7258" t="str">
        <f t="shared" si="455"/>
        <v>New</v>
      </c>
    </row>
    <row r="7259" spans="1:16" x14ac:dyDescent="0.25">
      <c r="A7259">
        <v>2025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  <c r="M7259" t="str">
        <f t="shared" si="452"/>
        <v>46-60</v>
      </c>
      <c r="N7259" t="str">
        <f t="shared" si="453"/>
        <v>High</v>
      </c>
      <c r="O7259" t="str">
        <f t="shared" si="454"/>
        <v>High Balance</v>
      </c>
      <c r="P7259" t="str">
        <f t="shared" si="455"/>
        <v>Mid-term</v>
      </c>
    </row>
    <row r="7260" spans="1:16" x14ac:dyDescent="0.25">
      <c r="A7260">
        <v>2025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  <c r="M7260" t="str">
        <f t="shared" si="452"/>
        <v>46-60</v>
      </c>
      <c r="N7260" t="str">
        <f t="shared" si="453"/>
        <v>Medium</v>
      </c>
      <c r="O7260" t="str">
        <f t="shared" si="454"/>
        <v>High Balance</v>
      </c>
      <c r="P7260" t="str">
        <f t="shared" si="455"/>
        <v>Long-term</v>
      </c>
    </row>
    <row r="7261" spans="1:16" x14ac:dyDescent="0.25">
      <c r="A7261">
        <v>2025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  <c r="M7261" t="str">
        <f t="shared" si="452"/>
        <v>30-45</v>
      </c>
      <c r="N7261" t="str">
        <f t="shared" si="453"/>
        <v>Medium</v>
      </c>
      <c r="O7261" t="str">
        <f t="shared" si="454"/>
        <v>High Balance</v>
      </c>
      <c r="P7261" t="str">
        <f t="shared" si="455"/>
        <v>Mid-term</v>
      </c>
    </row>
    <row r="7262" spans="1:16" x14ac:dyDescent="0.25">
      <c r="A7262">
        <v>2025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  <c r="M7262" t="str">
        <f t="shared" si="452"/>
        <v>30-45</v>
      </c>
      <c r="N7262" t="str">
        <f t="shared" si="453"/>
        <v>High</v>
      </c>
      <c r="O7262" t="str">
        <f t="shared" si="454"/>
        <v>High Balance</v>
      </c>
      <c r="P7262" t="str">
        <f t="shared" si="455"/>
        <v>Mid-term</v>
      </c>
    </row>
    <row r="7263" spans="1:16" x14ac:dyDescent="0.25">
      <c r="A7263">
        <v>2025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  <c r="M7263" t="str">
        <f t="shared" si="452"/>
        <v>46-60</v>
      </c>
      <c r="N7263" t="str">
        <f t="shared" si="453"/>
        <v>High</v>
      </c>
      <c r="O7263" t="str">
        <f t="shared" si="454"/>
        <v>High Balance</v>
      </c>
      <c r="P7263" t="str">
        <f t="shared" si="455"/>
        <v>New</v>
      </c>
    </row>
    <row r="7264" spans="1:16" x14ac:dyDescent="0.25">
      <c r="A7264">
        <v>2025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  <c r="M7264" t="str">
        <f t="shared" si="452"/>
        <v>30-45</v>
      </c>
      <c r="N7264" t="str">
        <f t="shared" si="453"/>
        <v>Medium</v>
      </c>
      <c r="O7264" t="str">
        <f t="shared" si="454"/>
        <v>High Balance</v>
      </c>
      <c r="P7264" t="str">
        <f t="shared" si="455"/>
        <v>Mid-term</v>
      </c>
    </row>
    <row r="7265" spans="1:16" x14ac:dyDescent="0.25">
      <c r="A7265">
        <v>2025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  <c r="M7265" t="str">
        <f t="shared" si="452"/>
        <v>46-60</v>
      </c>
      <c r="N7265" t="str">
        <f t="shared" si="453"/>
        <v>Medium</v>
      </c>
      <c r="O7265" t="str">
        <f t="shared" si="454"/>
        <v>Zero Balance</v>
      </c>
      <c r="P7265" t="str">
        <f t="shared" si="455"/>
        <v>New</v>
      </c>
    </row>
    <row r="7266" spans="1:16" x14ac:dyDescent="0.25">
      <c r="A7266">
        <v>2025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  <c r="M7266" t="str">
        <f t="shared" si="452"/>
        <v>30-45</v>
      </c>
      <c r="N7266" t="str">
        <f t="shared" si="453"/>
        <v>Low</v>
      </c>
      <c r="O7266" t="str">
        <f t="shared" si="454"/>
        <v>Zero Balance</v>
      </c>
      <c r="P7266" t="str">
        <f t="shared" si="455"/>
        <v>New</v>
      </c>
    </row>
    <row r="7267" spans="1:16" x14ac:dyDescent="0.25">
      <c r="A7267">
        <v>2025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  <c r="M7267" t="str">
        <f t="shared" si="452"/>
        <v>30-45</v>
      </c>
      <c r="N7267" t="str">
        <f t="shared" si="453"/>
        <v>High</v>
      </c>
      <c r="O7267" t="str">
        <f t="shared" si="454"/>
        <v>Zero Balance</v>
      </c>
      <c r="P7267" t="str">
        <f t="shared" si="455"/>
        <v>Mid-term</v>
      </c>
    </row>
    <row r="7268" spans="1:16" x14ac:dyDescent="0.25">
      <c r="A7268">
        <v>2025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  <c r="M7268" t="str">
        <f t="shared" si="452"/>
        <v>46-60</v>
      </c>
      <c r="N7268" t="str">
        <f t="shared" si="453"/>
        <v>High</v>
      </c>
      <c r="O7268" t="str">
        <f t="shared" si="454"/>
        <v>High Balance</v>
      </c>
      <c r="P7268" t="str">
        <f t="shared" si="455"/>
        <v>Long-term</v>
      </c>
    </row>
    <row r="7269" spans="1:16" x14ac:dyDescent="0.25">
      <c r="A7269">
        <v>2025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  <c r="M7269" t="str">
        <f t="shared" si="452"/>
        <v>30-45</v>
      </c>
      <c r="N7269" t="str">
        <f t="shared" si="453"/>
        <v>Medium</v>
      </c>
      <c r="O7269" t="str">
        <f t="shared" si="454"/>
        <v>High Balance</v>
      </c>
      <c r="P7269" t="str">
        <f t="shared" si="455"/>
        <v>Long-term</v>
      </c>
    </row>
    <row r="7270" spans="1:16" x14ac:dyDescent="0.25">
      <c r="A7270">
        <v>2025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  <c r="M7270" t="str">
        <f t="shared" si="452"/>
        <v>&lt;30</v>
      </c>
      <c r="N7270" t="str">
        <f t="shared" si="453"/>
        <v>Medium</v>
      </c>
      <c r="O7270" t="str">
        <f t="shared" si="454"/>
        <v>High Balance</v>
      </c>
      <c r="P7270" t="str">
        <f t="shared" si="455"/>
        <v>Mid-term</v>
      </c>
    </row>
    <row r="7271" spans="1:16" x14ac:dyDescent="0.25">
      <c r="A7271">
        <v>2025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  <c r="M7271" t="str">
        <f t="shared" si="452"/>
        <v>30-45</v>
      </c>
      <c r="N7271" t="str">
        <f t="shared" si="453"/>
        <v>Medium</v>
      </c>
      <c r="O7271" t="str">
        <f t="shared" si="454"/>
        <v>High Balance</v>
      </c>
      <c r="P7271" t="str">
        <f t="shared" si="455"/>
        <v>Mid-term</v>
      </c>
    </row>
    <row r="7272" spans="1:16" x14ac:dyDescent="0.25">
      <c r="A7272">
        <v>2025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  <c r="M7272" t="str">
        <f t="shared" si="452"/>
        <v>46-60</v>
      </c>
      <c r="N7272" t="str">
        <f t="shared" si="453"/>
        <v>Medium</v>
      </c>
      <c r="O7272" t="str">
        <f t="shared" si="454"/>
        <v>High Balance</v>
      </c>
      <c r="P7272" t="str">
        <f t="shared" si="455"/>
        <v>New</v>
      </c>
    </row>
    <row r="7273" spans="1:16" x14ac:dyDescent="0.25">
      <c r="A7273">
        <v>2025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  <c r="M7273" t="str">
        <f t="shared" si="452"/>
        <v>30-45</v>
      </c>
      <c r="N7273" t="str">
        <f t="shared" si="453"/>
        <v>Medium</v>
      </c>
      <c r="O7273" t="str">
        <f t="shared" si="454"/>
        <v>High Balance</v>
      </c>
      <c r="P7273" t="str">
        <f t="shared" si="455"/>
        <v>Mid-term</v>
      </c>
    </row>
    <row r="7274" spans="1:16" x14ac:dyDescent="0.25">
      <c r="A7274">
        <v>2025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  <c r="M7274" t="str">
        <f t="shared" si="452"/>
        <v>60+</v>
      </c>
      <c r="N7274" t="str">
        <f t="shared" si="453"/>
        <v>Medium</v>
      </c>
      <c r="O7274" t="str">
        <f t="shared" si="454"/>
        <v>High Balance</v>
      </c>
      <c r="P7274" t="str">
        <f t="shared" si="455"/>
        <v>New</v>
      </c>
    </row>
    <row r="7275" spans="1:16" x14ac:dyDescent="0.25">
      <c r="A7275">
        <v>2025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  <c r="M7275" t="str">
        <f t="shared" si="452"/>
        <v>30-45</v>
      </c>
      <c r="N7275" t="str">
        <f t="shared" si="453"/>
        <v>Medium</v>
      </c>
      <c r="O7275" t="str">
        <f t="shared" si="454"/>
        <v>High Balance</v>
      </c>
      <c r="P7275" t="str">
        <f t="shared" si="455"/>
        <v>Mid-term</v>
      </c>
    </row>
    <row r="7276" spans="1:16" x14ac:dyDescent="0.25">
      <c r="A7276">
        <v>2025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  <c r="M7276" t="str">
        <f t="shared" si="452"/>
        <v>30-45</v>
      </c>
      <c r="N7276" t="str">
        <f t="shared" si="453"/>
        <v>Medium</v>
      </c>
      <c r="O7276" t="str">
        <f t="shared" si="454"/>
        <v>Low Balance</v>
      </c>
      <c r="P7276" t="str">
        <f t="shared" si="455"/>
        <v>Mid-term</v>
      </c>
    </row>
    <row r="7277" spans="1:16" x14ac:dyDescent="0.25">
      <c r="A7277">
        <v>2025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  <c r="M7277" t="str">
        <f t="shared" si="452"/>
        <v>30-45</v>
      </c>
      <c r="N7277" t="str">
        <f t="shared" si="453"/>
        <v>Medium</v>
      </c>
      <c r="O7277" t="str">
        <f t="shared" si="454"/>
        <v>Zero Balance</v>
      </c>
      <c r="P7277" t="str">
        <f t="shared" si="455"/>
        <v>Long-term</v>
      </c>
    </row>
    <row r="7278" spans="1:16" x14ac:dyDescent="0.25">
      <c r="A7278">
        <v>2025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  <c r="M7278" t="str">
        <f t="shared" si="452"/>
        <v>30-45</v>
      </c>
      <c r="N7278" t="str">
        <f t="shared" si="453"/>
        <v>Medium</v>
      </c>
      <c r="O7278" t="str">
        <f t="shared" si="454"/>
        <v>High Balance</v>
      </c>
      <c r="P7278" t="str">
        <f t="shared" si="455"/>
        <v>New</v>
      </c>
    </row>
    <row r="7279" spans="1:16" x14ac:dyDescent="0.25">
      <c r="A7279">
        <v>2025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  <c r="M7279" t="str">
        <f t="shared" si="452"/>
        <v>30-45</v>
      </c>
      <c r="N7279" t="str">
        <f t="shared" si="453"/>
        <v>High</v>
      </c>
      <c r="O7279" t="str">
        <f t="shared" si="454"/>
        <v>High Balance</v>
      </c>
      <c r="P7279" t="str">
        <f t="shared" si="455"/>
        <v>New</v>
      </c>
    </row>
    <row r="7280" spans="1:16" x14ac:dyDescent="0.25">
      <c r="A7280">
        <v>2025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  <c r="M7280" t="str">
        <f t="shared" si="452"/>
        <v>30-45</v>
      </c>
      <c r="N7280" t="str">
        <f t="shared" si="453"/>
        <v>Medium</v>
      </c>
      <c r="O7280" t="str">
        <f t="shared" si="454"/>
        <v>Low Balance</v>
      </c>
      <c r="P7280" t="str">
        <f t="shared" si="455"/>
        <v>Mid-term</v>
      </c>
    </row>
    <row r="7281" spans="1:16" x14ac:dyDescent="0.25">
      <c r="A7281">
        <v>2025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  <c r="M7281" t="str">
        <f t="shared" si="452"/>
        <v>30-45</v>
      </c>
      <c r="N7281" t="str">
        <f t="shared" si="453"/>
        <v>Low</v>
      </c>
      <c r="O7281" t="str">
        <f t="shared" si="454"/>
        <v>High Balance</v>
      </c>
      <c r="P7281" t="str">
        <f t="shared" si="455"/>
        <v>New</v>
      </c>
    </row>
    <row r="7282" spans="1:16" x14ac:dyDescent="0.25">
      <c r="A7282">
        <v>2025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  <c r="M7282" t="str">
        <f t="shared" si="452"/>
        <v>46-60</v>
      </c>
      <c r="N7282" t="str">
        <f t="shared" si="453"/>
        <v>High</v>
      </c>
      <c r="O7282" t="str">
        <f t="shared" si="454"/>
        <v>Zero Balance</v>
      </c>
      <c r="P7282" t="str">
        <f t="shared" si="455"/>
        <v>Mid-term</v>
      </c>
    </row>
    <row r="7283" spans="1:16" x14ac:dyDescent="0.25">
      <c r="A7283">
        <v>2025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  <c r="M7283" t="str">
        <f t="shared" si="452"/>
        <v>46-60</v>
      </c>
      <c r="N7283" t="str">
        <f t="shared" si="453"/>
        <v>Medium</v>
      </c>
      <c r="O7283" t="str">
        <f t="shared" si="454"/>
        <v>High Balance</v>
      </c>
      <c r="P7283" t="str">
        <f t="shared" si="455"/>
        <v>Long-term</v>
      </c>
    </row>
    <row r="7284" spans="1:16" x14ac:dyDescent="0.25">
      <c r="A7284">
        <v>2025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  <c r="M7284" t="str">
        <f t="shared" si="452"/>
        <v>30-45</v>
      </c>
      <c r="N7284" t="str">
        <f t="shared" si="453"/>
        <v>Medium</v>
      </c>
      <c r="O7284" t="str">
        <f t="shared" si="454"/>
        <v>High Balance</v>
      </c>
      <c r="P7284" t="str">
        <f t="shared" si="455"/>
        <v>Mid-term</v>
      </c>
    </row>
    <row r="7285" spans="1:16" x14ac:dyDescent="0.25">
      <c r="A7285">
        <v>2025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  <c r="M7285" t="str">
        <f t="shared" si="452"/>
        <v>30-45</v>
      </c>
      <c r="N7285" t="str">
        <f t="shared" si="453"/>
        <v>Medium</v>
      </c>
      <c r="O7285" t="str">
        <f t="shared" si="454"/>
        <v>Low Balance</v>
      </c>
      <c r="P7285" t="str">
        <f t="shared" si="455"/>
        <v>New</v>
      </c>
    </row>
    <row r="7286" spans="1:16" x14ac:dyDescent="0.25">
      <c r="A7286">
        <v>2025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  <c r="M7286" t="str">
        <f t="shared" si="452"/>
        <v>30-45</v>
      </c>
      <c r="N7286" t="str">
        <f t="shared" si="453"/>
        <v>Medium</v>
      </c>
      <c r="O7286" t="str">
        <f t="shared" si="454"/>
        <v>Low Balance</v>
      </c>
      <c r="P7286" t="str">
        <f t="shared" si="455"/>
        <v>Mid-term</v>
      </c>
    </row>
    <row r="7287" spans="1:16" x14ac:dyDescent="0.25">
      <c r="A7287">
        <v>2025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  <c r="M7287" t="str">
        <f t="shared" si="452"/>
        <v>&lt;30</v>
      </c>
      <c r="N7287" t="str">
        <f t="shared" si="453"/>
        <v>Medium</v>
      </c>
      <c r="O7287" t="str">
        <f t="shared" si="454"/>
        <v>Zero Balance</v>
      </c>
      <c r="P7287" t="str">
        <f t="shared" si="455"/>
        <v>New</v>
      </c>
    </row>
    <row r="7288" spans="1:16" x14ac:dyDescent="0.25">
      <c r="A7288">
        <v>2025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  <c r="M7288" t="str">
        <f t="shared" si="452"/>
        <v>30-45</v>
      </c>
      <c r="N7288" t="str">
        <f t="shared" si="453"/>
        <v>Medium</v>
      </c>
      <c r="O7288" t="str">
        <f t="shared" si="454"/>
        <v>Zero Balance</v>
      </c>
      <c r="P7288" t="str">
        <f t="shared" si="455"/>
        <v>Mid-term</v>
      </c>
    </row>
    <row r="7289" spans="1:16" x14ac:dyDescent="0.25">
      <c r="A7289">
        <v>2025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  <c r="M7289" t="str">
        <f t="shared" si="452"/>
        <v>30-45</v>
      </c>
      <c r="N7289" t="str">
        <f t="shared" si="453"/>
        <v>Medium</v>
      </c>
      <c r="O7289" t="str">
        <f t="shared" si="454"/>
        <v>High Balance</v>
      </c>
      <c r="P7289" t="str">
        <f t="shared" si="455"/>
        <v>New</v>
      </c>
    </row>
    <row r="7290" spans="1:16" x14ac:dyDescent="0.25">
      <c r="A7290">
        <v>2025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  <c r="M7290" t="str">
        <f t="shared" si="452"/>
        <v>30-45</v>
      </c>
      <c r="N7290" t="str">
        <f t="shared" si="453"/>
        <v>Medium</v>
      </c>
      <c r="O7290" t="str">
        <f t="shared" si="454"/>
        <v>Low Balance</v>
      </c>
      <c r="P7290" t="str">
        <f t="shared" si="455"/>
        <v>Mid-term</v>
      </c>
    </row>
    <row r="7291" spans="1:16" x14ac:dyDescent="0.25">
      <c r="A7291">
        <v>2025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  <c r="M7291" t="str">
        <f t="shared" si="452"/>
        <v>30-45</v>
      </c>
      <c r="N7291" t="str">
        <f t="shared" si="453"/>
        <v>Medium</v>
      </c>
      <c r="O7291" t="str">
        <f t="shared" si="454"/>
        <v>Zero Balance</v>
      </c>
      <c r="P7291" t="str">
        <f t="shared" si="455"/>
        <v>Mid-term</v>
      </c>
    </row>
    <row r="7292" spans="1:16" x14ac:dyDescent="0.25">
      <c r="A7292">
        <v>2025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  <c r="M7292" t="str">
        <f t="shared" si="452"/>
        <v>30-45</v>
      </c>
      <c r="N7292" t="str">
        <f t="shared" si="453"/>
        <v>Medium</v>
      </c>
      <c r="O7292" t="str">
        <f t="shared" si="454"/>
        <v>Zero Balance</v>
      </c>
      <c r="P7292" t="str">
        <f t="shared" si="455"/>
        <v>Mid-term</v>
      </c>
    </row>
    <row r="7293" spans="1:16" x14ac:dyDescent="0.25">
      <c r="A7293">
        <v>2025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  <c r="M7293" t="str">
        <f t="shared" si="452"/>
        <v>30-45</v>
      </c>
      <c r="N7293" t="str">
        <f t="shared" si="453"/>
        <v>Medium</v>
      </c>
      <c r="O7293" t="str">
        <f t="shared" si="454"/>
        <v>Low Balance</v>
      </c>
      <c r="P7293" t="str">
        <f t="shared" si="455"/>
        <v>Mid-term</v>
      </c>
    </row>
    <row r="7294" spans="1:16" x14ac:dyDescent="0.25">
      <c r="A7294">
        <v>2025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  <c r="M7294" t="str">
        <f t="shared" si="452"/>
        <v>30-45</v>
      </c>
      <c r="N7294" t="str">
        <f t="shared" si="453"/>
        <v>High</v>
      </c>
      <c r="O7294" t="str">
        <f t="shared" si="454"/>
        <v>Zero Balance</v>
      </c>
      <c r="P7294" t="str">
        <f t="shared" si="455"/>
        <v>New</v>
      </c>
    </row>
    <row r="7295" spans="1:16" x14ac:dyDescent="0.25">
      <c r="A7295">
        <v>2025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  <c r="M7295" t="str">
        <f t="shared" si="452"/>
        <v>30-45</v>
      </c>
      <c r="N7295" t="str">
        <f t="shared" si="453"/>
        <v>High</v>
      </c>
      <c r="O7295" t="str">
        <f t="shared" si="454"/>
        <v>High Balance</v>
      </c>
      <c r="P7295" t="str">
        <f t="shared" si="455"/>
        <v>New</v>
      </c>
    </row>
    <row r="7296" spans="1:16" x14ac:dyDescent="0.25">
      <c r="A7296">
        <v>2025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  <c r="M7296" t="str">
        <f t="shared" si="452"/>
        <v>30-45</v>
      </c>
      <c r="N7296" t="str">
        <f t="shared" si="453"/>
        <v>Medium</v>
      </c>
      <c r="O7296" t="str">
        <f t="shared" si="454"/>
        <v>High Balance</v>
      </c>
      <c r="P7296" t="str">
        <f t="shared" si="455"/>
        <v>New</v>
      </c>
    </row>
    <row r="7297" spans="1:16" x14ac:dyDescent="0.25">
      <c r="A7297">
        <v>2025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  <c r="M7297" t="str">
        <f t="shared" si="452"/>
        <v>30-45</v>
      </c>
      <c r="N7297" t="str">
        <f t="shared" si="453"/>
        <v>Medium</v>
      </c>
      <c r="O7297" t="str">
        <f t="shared" si="454"/>
        <v>High Balance</v>
      </c>
      <c r="P7297" t="str">
        <f t="shared" si="455"/>
        <v>Mid-term</v>
      </c>
    </row>
    <row r="7298" spans="1:16" x14ac:dyDescent="0.25">
      <c r="A7298">
        <v>2025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  <c r="M7298" t="str">
        <f t="shared" si="452"/>
        <v>30-45</v>
      </c>
      <c r="N7298" t="str">
        <f t="shared" si="453"/>
        <v>Medium</v>
      </c>
      <c r="O7298" t="str">
        <f t="shared" si="454"/>
        <v>High Balance</v>
      </c>
      <c r="P7298" t="str">
        <f t="shared" si="455"/>
        <v>Long-term</v>
      </c>
    </row>
    <row r="7299" spans="1:16" x14ac:dyDescent="0.25">
      <c r="A7299">
        <v>2025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  <c r="M7299" t="str">
        <f t="shared" ref="M7299:M7362" si="456">IF(E7299&lt;30,"&lt;30",IF(E7299&lt;=45,"30-45",IF(E7299&lt;=60,"46-60","60+")))</f>
        <v>30-45</v>
      </c>
      <c r="N7299" t="str">
        <f t="shared" ref="N7299:N7362" si="457">IF(B7299&lt;500,"Low",IF(B7299&lt;700,"Medium","High"))</f>
        <v>Medium</v>
      </c>
      <c r="O7299" t="str">
        <f t="shared" ref="O7299:O7362" si="458">IF(G7299=0,"Zero Balance",IF(G7299&lt;100000,"Low Balance","High Balance"))</f>
        <v>High Balance</v>
      </c>
      <c r="P7299" t="str">
        <f t="shared" ref="P7299:P7362" si="459">IF(F7299&lt;=3,"New",IF(F7299&lt;=7,"Mid-term","Long-term"))</f>
        <v>Mid-term</v>
      </c>
    </row>
    <row r="7300" spans="1:16" x14ac:dyDescent="0.25">
      <c r="A7300">
        <v>2025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  <c r="M7300" t="str">
        <f t="shared" si="456"/>
        <v>&lt;30</v>
      </c>
      <c r="N7300" t="str">
        <f t="shared" si="457"/>
        <v>Medium</v>
      </c>
      <c r="O7300" t="str">
        <f t="shared" si="458"/>
        <v>Low Balance</v>
      </c>
      <c r="P7300" t="str">
        <f t="shared" si="459"/>
        <v>Long-term</v>
      </c>
    </row>
    <row r="7301" spans="1:16" x14ac:dyDescent="0.25">
      <c r="A7301">
        <v>2025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  <c r="M7301" t="str">
        <f t="shared" si="456"/>
        <v>46-60</v>
      </c>
      <c r="N7301" t="str">
        <f t="shared" si="457"/>
        <v>Medium</v>
      </c>
      <c r="O7301" t="str">
        <f t="shared" si="458"/>
        <v>High Balance</v>
      </c>
      <c r="P7301" t="str">
        <f t="shared" si="459"/>
        <v>Mid-term</v>
      </c>
    </row>
    <row r="7302" spans="1:16" x14ac:dyDescent="0.25">
      <c r="A7302">
        <v>2025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  <c r="M7302" t="str">
        <f t="shared" si="456"/>
        <v>30-45</v>
      </c>
      <c r="N7302" t="str">
        <f t="shared" si="457"/>
        <v>Medium</v>
      </c>
      <c r="O7302" t="str">
        <f t="shared" si="458"/>
        <v>High Balance</v>
      </c>
      <c r="P7302" t="str">
        <f t="shared" si="459"/>
        <v>New</v>
      </c>
    </row>
    <row r="7303" spans="1:16" x14ac:dyDescent="0.25">
      <c r="A7303">
        <v>2025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  <c r="M7303" t="str">
        <f t="shared" si="456"/>
        <v>30-45</v>
      </c>
      <c r="N7303" t="str">
        <f t="shared" si="457"/>
        <v>High</v>
      </c>
      <c r="O7303" t="str">
        <f t="shared" si="458"/>
        <v>High Balance</v>
      </c>
      <c r="P7303" t="str">
        <f t="shared" si="459"/>
        <v>New</v>
      </c>
    </row>
    <row r="7304" spans="1:16" x14ac:dyDescent="0.25">
      <c r="A7304">
        <v>2025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  <c r="M7304" t="str">
        <f t="shared" si="456"/>
        <v>60+</v>
      </c>
      <c r="N7304" t="str">
        <f t="shared" si="457"/>
        <v>Low</v>
      </c>
      <c r="O7304" t="str">
        <f t="shared" si="458"/>
        <v>Low Balance</v>
      </c>
      <c r="P7304" t="str">
        <f t="shared" si="459"/>
        <v>Mid-term</v>
      </c>
    </row>
    <row r="7305" spans="1:16" x14ac:dyDescent="0.25">
      <c r="A7305">
        <v>2025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  <c r="M7305" t="str">
        <f t="shared" si="456"/>
        <v>30-45</v>
      </c>
      <c r="N7305" t="str">
        <f t="shared" si="457"/>
        <v>Medium</v>
      </c>
      <c r="O7305" t="str">
        <f t="shared" si="458"/>
        <v>Zero Balance</v>
      </c>
      <c r="P7305" t="str">
        <f t="shared" si="459"/>
        <v>New</v>
      </c>
    </row>
    <row r="7306" spans="1:16" x14ac:dyDescent="0.25">
      <c r="A7306">
        <v>2025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  <c r="M7306" t="str">
        <f t="shared" si="456"/>
        <v>46-60</v>
      </c>
      <c r="N7306" t="str">
        <f t="shared" si="457"/>
        <v>Medium</v>
      </c>
      <c r="O7306" t="str">
        <f t="shared" si="458"/>
        <v>High Balance</v>
      </c>
      <c r="P7306" t="str">
        <f t="shared" si="459"/>
        <v>Long-term</v>
      </c>
    </row>
    <row r="7307" spans="1:16" x14ac:dyDescent="0.25">
      <c r="A7307">
        <v>2025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  <c r="M7307" t="str">
        <f t="shared" si="456"/>
        <v>&lt;30</v>
      </c>
      <c r="N7307" t="str">
        <f t="shared" si="457"/>
        <v>Medium</v>
      </c>
      <c r="O7307" t="str">
        <f t="shared" si="458"/>
        <v>High Balance</v>
      </c>
      <c r="P7307" t="str">
        <f t="shared" si="459"/>
        <v>Mid-term</v>
      </c>
    </row>
    <row r="7308" spans="1:16" x14ac:dyDescent="0.25">
      <c r="A7308">
        <v>2025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  <c r="M7308" t="str">
        <f t="shared" si="456"/>
        <v>30-45</v>
      </c>
      <c r="N7308" t="str">
        <f t="shared" si="457"/>
        <v>High</v>
      </c>
      <c r="O7308" t="str">
        <f t="shared" si="458"/>
        <v>Zero Balance</v>
      </c>
      <c r="P7308" t="str">
        <f t="shared" si="459"/>
        <v>New</v>
      </c>
    </row>
    <row r="7309" spans="1:16" x14ac:dyDescent="0.25">
      <c r="A7309">
        <v>2025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  <c r="M7309" t="str">
        <f t="shared" si="456"/>
        <v>&lt;30</v>
      </c>
      <c r="N7309" t="str">
        <f t="shared" si="457"/>
        <v>High</v>
      </c>
      <c r="O7309" t="str">
        <f t="shared" si="458"/>
        <v>Low Balance</v>
      </c>
      <c r="P7309" t="str">
        <f t="shared" si="459"/>
        <v>Long-term</v>
      </c>
    </row>
    <row r="7310" spans="1:16" x14ac:dyDescent="0.25">
      <c r="A7310">
        <v>2025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  <c r="M7310" t="str">
        <f t="shared" si="456"/>
        <v>46-60</v>
      </c>
      <c r="N7310" t="str">
        <f t="shared" si="457"/>
        <v>Medium</v>
      </c>
      <c r="O7310" t="str">
        <f t="shared" si="458"/>
        <v>High Balance</v>
      </c>
      <c r="P7310" t="str">
        <f t="shared" si="459"/>
        <v>Mid-term</v>
      </c>
    </row>
    <row r="7311" spans="1:16" x14ac:dyDescent="0.25">
      <c r="A7311">
        <v>2025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  <c r="M7311" t="str">
        <f t="shared" si="456"/>
        <v>&lt;30</v>
      </c>
      <c r="N7311" t="str">
        <f t="shared" si="457"/>
        <v>Medium</v>
      </c>
      <c r="O7311" t="str">
        <f t="shared" si="458"/>
        <v>High Balance</v>
      </c>
      <c r="P7311" t="str">
        <f t="shared" si="459"/>
        <v>Mid-term</v>
      </c>
    </row>
    <row r="7312" spans="1:16" x14ac:dyDescent="0.25">
      <c r="A7312">
        <v>2025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  <c r="M7312" t="str">
        <f t="shared" si="456"/>
        <v>30-45</v>
      </c>
      <c r="N7312" t="str">
        <f t="shared" si="457"/>
        <v>Medium</v>
      </c>
      <c r="O7312" t="str">
        <f t="shared" si="458"/>
        <v>Zero Balance</v>
      </c>
      <c r="P7312" t="str">
        <f t="shared" si="459"/>
        <v>Mid-term</v>
      </c>
    </row>
    <row r="7313" spans="1:16" x14ac:dyDescent="0.25">
      <c r="A7313">
        <v>2025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  <c r="M7313" t="str">
        <f t="shared" si="456"/>
        <v>30-45</v>
      </c>
      <c r="N7313" t="str">
        <f t="shared" si="457"/>
        <v>High</v>
      </c>
      <c r="O7313" t="str">
        <f t="shared" si="458"/>
        <v>Zero Balance</v>
      </c>
      <c r="P7313" t="str">
        <f t="shared" si="459"/>
        <v>New</v>
      </c>
    </row>
    <row r="7314" spans="1:16" x14ac:dyDescent="0.25">
      <c r="A7314">
        <v>2025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  <c r="M7314" t="str">
        <f t="shared" si="456"/>
        <v>30-45</v>
      </c>
      <c r="N7314" t="str">
        <f t="shared" si="457"/>
        <v>Medium</v>
      </c>
      <c r="O7314" t="str">
        <f t="shared" si="458"/>
        <v>Zero Balance</v>
      </c>
      <c r="P7314" t="str">
        <f t="shared" si="459"/>
        <v>New</v>
      </c>
    </row>
    <row r="7315" spans="1:16" x14ac:dyDescent="0.25">
      <c r="A7315">
        <v>2025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  <c r="M7315" t="str">
        <f t="shared" si="456"/>
        <v>30-45</v>
      </c>
      <c r="N7315" t="str">
        <f t="shared" si="457"/>
        <v>Medium</v>
      </c>
      <c r="O7315" t="str">
        <f t="shared" si="458"/>
        <v>Low Balance</v>
      </c>
      <c r="P7315" t="str">
        <f t="shared" si="459"/>
        <v>Mid-term</v>
      </c>
    </row>
    <row r="7316" spans="1:16" x14ac:dyDescent="0.25">
      <c r="A7316">
        <v>2025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  <c r="M7316" t="str">
        <f t="shared" si="456"/>
        <v>30-45</v>
      </c>
      <c r="N7316" t="str">
        <f t="shared" si="457"/>
        <v>Medium</v>
      </c>
      <c r="O7316" t="str">
        <f t="shared" si="458"/>
        <v>Zero Balance</v>
      </c>
      <c r="P7316" t="str">
        <f t="shared" si="459"/>
        <v>New</v>
      </c>
    </row>
    <row r="7317" spans="1:16" x14ac:dyDescent="0.25">
      <c r="A7317">
        <v>2025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  <c r="M7317" t="str">
        <f t="shared" si="456"/>
        <v>30-45</v>
      </c>
      <c r="N7317" t="str">
        <f t="shared" si="457"/>
        <v>Medium</v>
      </c>
      <c r="O7317" t="str">
        <f t="shared" si="458"/>
        <v>High Balance</v>
      </c>
      <c r="P7317" t="str">
        <f t="shared" si="459"/>
        <v>Mid-term</v>
      </c>
    </row>
    <row r="7318" spans="1:16" x14ac:dyDescent="0.25">
      <c r="A7318">
        <v>2025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  <c r="M7318" t="str">
        <f t="shared" si="456"/>
        <v>46-60</v>
      </c>
      <c r="N7318" t="str">
        <f t="shared" si="457"/>
        <v>High</v>
      </c>
      <c r="O7318" t="str">
        <f t="shared" si="458"/>
        <v>High Balance</v>
      </c>
      <c r="P7318" t="str">
        <f t="shared" si="459"/>
        <v>New</v>
      </c>
    </row>
    <row r="7319" spans="1:16" x14ac:dyDescent="0.25">
      <c r="A7319">
        <v>2025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  <c r="M7319" t="str">
        <f t="shared" si="456"/>
        <v>46-60</v>
      </c>
      <c r="N7319" t="str">
        <f t="shared" si="457"/>
        <v>High</v>
      </c>
      <c r="O7319" t="str">
        <f t="shared" si="458"/>
        <v>High Balance</v>
      </c>
      <c r="P7319" t="str">
        <f t="shared" si="459"/>
        <v>Mid-term</v>
      </c>
    </row>
    <row r="7320" spans="1:16" x14ac:dyDescent="0.25">
      <c r="A7320">
        <v>2025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  <c r="M7320" t="str">
        <f t="shared" si="456"/>
        <v>30-45</v>
      </c>
      <c r="N7320" t="str">
        <f t="shared" si="457"/>
        <v>Medium</v>
      </c>
      <c r="O7320" t="str">
        <f t="shared" si="458"/>
        <v>Zero Balance</v>
      </c>
      <c r="P7320" t="str">
        <f t="shared" si="459"/>
        <v>New</v>
      </c>
    </row>
    <row r="7321" spans="1:16" x14ac:dyDescent="0.25">
      <c r="A7321">
        <v>2025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  <c r="M7321" t="str">
        <f t="shared" si="456"/>
        <v>30-45</v>
      </c>
      <c r="N7321" t="str">
        <f t="shared" si="457"/>
        <v>Low</v>
      </c>
      <c r="O7321" t="str">
        <f t="shared" si="458"/>
        <v>High Balance</v>
      </c>
      <c r="P7321" t="str">
        <f t="shared" si="459"/>
        <v>Mid-term</v>
      </c>
    </row>
    <row r="7322" spans="1:16" x14ac:dyDescent="0.25">
      <c r="A7322">
        <v>2025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  <c r="M7322" t="str">
        <f t="shared" si="456"/>
        <v>30-45</v>
      </c>
      <c r="N7322" t="str">
        <f t="shared" si="457"/>
        <v>High</v>
      </c>
      <c r="O7322" t="str">
        <f t="shared" si="458"/>
        <v>High Balance</v>
      </c>
      <c r="P7322" t="str">
        <f t="shared" si="459"/>
        <v>New</v>
      </c>
    </row>
    <row r="7323" spans="1:16" x14ac:dyDescent="0.25">
      <c r="A7323">
        <v>2025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  <c r="M7323" t="str">
        <f t="shared" si="456"/>
        <v>30-45</v>
      </c>
      <c r="N7323" t="str">
        <f t="shared" si="457"/>
        <v>Medium</v>
      </c>
      <c r="O7323" t="str">
        <f t="shared" si="458"/>
        <v>Zero Balance</v>
      </c>
      <c r="P7323" t="str">
        <f t="shared" si="459"/>
        <v>Long-term</v>
      </c>
    </row>
    <row r="7324" spans="1:16" x14ac:dyDescent="0.25">
      <c r="A7324">
        <v>2025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  <c r="M7324" t="str">
        <f t="shared" si="456"/>
        <v>30-45</v>
      </c>
      <c r="N7324" t="str">
        <f t="shared" si="457"/>
        <v>High</v>
      </c>
      <c r="O7324" t="str">
        <f t="shared" si="458"/>
        <v>High Balance</v>
      </c>
      <c r="P7324" t="str">
        <f t="shared" si="459"/>
        <v>New</v>
      </c>
    </row>
    <row r="7325" spans="1:16" x14ac:dyDescent="0.25">
      <c r="A7325">
        <v>2025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  <c r="M7325" t="str">
        <f t="shared" si="456"/>
        <v>&lt;30</v>
      </c>
      <c r="N7325" t="str">
        <f t="shared" si="457"/>
        <v>High</v>
      </c>
      <c r="O7325" t="str">
        <f t="shared" si="458"/>
        <v>Zero Balance</v>
      </c>
      <c r="P7325" t="str">
        <f t="shared" si="459"/>
        <v>Long-term</v>
      </c>
    </row>
    <row r="7326" spans="1:16" x14ac:dyDescent="0.25">
      <c r="A7326">
        <v>2025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  <c r="M7326" t="str">
        <f t="shared" si="456"/>
        <v>30-45</v>
      </c>
      <c r="N7326" t="str">
        <f t="shared" si="457"/>
        <v>Medium</v>
      </c>
      <c r="O7326" t="str">
        <f t="shared" si="458"/>
        <v>Zero Balance</v>
      </c>
      <c r="P7326" t="str">
        <f t="shared" si="459"/>
        <v>Long-term</v>
      </c>
    </row>
    <row r="7327" spans="1:16" x14ac:dyDescent="0.25">
      <c r="A7327">
        <v>2025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  <c r="M7327" t="str">
        <f t="shared" si="456"/>
        <v>30-45</v>
      </c>
      <c r="N7327" t="str">
        <f t="shared" si="457"/>
        <v>High</v>
      </c>
      <c r="O7327" t="str">
        <f t="shared" si="458"/>
        <v>Zero Balance</v>
      </c>
      <c r="P7327" t="str">
        <f t="shared" si="459"/>
        <v>New</v>
      </c>
    </row>
    <row r="7328" spans="1:16" x14ac:dyDescent="0.25">
      <c r="A7328">
        <v>2025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  <c r="M7328" t="str">
        <f t="shared" si="456"/>
        <v>46-60</v>
      </c>
      <c r="N7328" t="str">
        <f t="shared" si="457"/>
        <v>Medium</v>
      </c>
      <c r="O7328" t="str">
        <f t="shared" si="458"/>
        <v>Low Balance</v>
      </c>
      <c r="P7328" t="str">
        <f t="shared" si="459"/>
        <v>Mid-term</v>
      </c>
    </row>
    <row r="7329" spans="1:16" x14ac:dyDescent="0.25">
      <c r="A7329">
        <v>2025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  <c r="M7329" t="str">
        <f t="shared" si="456"/>
        <v>30-45</v>
      </c>
      <c r="N7329" t="str">
        <f t="shared" si="457"/>
        <v>Medium</v>
      </c>
      <c r="O7329" t="str">
        <f t="shared" si="458"/>
        <v>High Balance</v>
      </c>
      <c r="P7329" t="str">
        <f t="shared" si="459"/>
        <v>Mid-term</v>
      </c>
    </row>
    <row r="7330" spans="1:16" x14ac:dyDescent="0.25">
      <c r="A7330">
        <v>2025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  <c r="M7330" t="str">
        <f t="shared" si="456"/>
        <v>46-60</v>
      </c>
      <c r="N7330" t="str">
        <f t="shared" si="457"/>
        <v>High</v>
      </c>
      <c r="O7330" t="str">
        <f t="shared" si="458"/>
        <v>High Balance</v>
      </c>
      <c r="P7330" t="str">
        <f t="shared" si="459"/>
        <v>New</v>
      </c>
    </row>
    <row r="7331" spans="1:16" x14ac:dyDescent="0.25">
      <c r="A7331">
        <v>2025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  <c r="M7331" t="str">
        <f t="shared" si="456"/>
        <v>30-45</v>
      </c>
      <c r="N7331" t="str">
        <f t="shared" si="457"/>
        <v>Medium</v>
      </c>
      <c r="O7331" t="str">
        <f t="shared" si="458"/>
        <v>Zero Balance</v>
      </c>
      <c r="P7331" t="str">
        <f t="shared" si="459"/>
        <v>Mid-term</v>
      </c>
    </row>
    <row r="7332" spans="1:16" x14ac:dyDescent="0.25">
      <c r="A7332">
        <v>2025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  <c r="M7332" t="str">
        <f t="shared" si="456"/>
        <v>30-45</v>
      </c>
      <c r="N7332" t="str">
        <f t="shared" si="457"/>
        <v>Low</v>
      </c>
      <c r="O7332" t="str">
        <f t="shared" si="458"/>
        <v>High Balance</v>
      </c>
      <c r="P7332" t="str">
        <f t="shared" si="459"/>
        <v>Long-term</v>
      </c>
    </row>
    <row r="7333" spans="1:16" x14ac:dyDescent="0.25">
      <c r="A7333">
        <v>2025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  <c r="M7333" t="str">
        <f t="shared" si="456"/>
        <v>46-60</v>
      </c>
      <c r="N7333" t="str">
        <f t="shared" si="457"/>
        <v>High</v>
      </c>
      <c r="O7333" t="str">
        <f t="shared" si="458"/>
        <v>High Balance</v>
      </c>
      <c r="P7333" t="str">
        <f t="shared" si="459"/>
        <v>Mid-term</v>
      </c>
    </row>
    <row r="7334" spans="1:16" x14ac:dyDescent="0.25">
      <c r="A7334">
        <v>2025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  <c r="M7334" t="str">
        <f t="shared" si="456"/>
        <v>30-45</v>
      </c>
      <c r="N7334" t="str">
        <f t="shared" si="457"/>
        <v>High</v>
      </c>
      <c r="O7334" t="str">
        <f t="shared" si="458"/>
        <v>High Balance</v>
      </c>
      <c r="P7334" t="str">
        <f t="shared" si="459"/>
        <v>Mid-term</v>
      </c>
    </row>
    <row r="7335" spans="1:16" x14ac:dyDescent="0.25">
      <c r="A7335">
        <v>2025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  <c r="M7335" t="str">
        <f t="shared" si="456"/>
        <v>30-45</v>
      </c>
      <c r="N7335" t="str">
        <f t="shared" si="457"/>
        <v>Medium</v>
      </c>
      <c r="O7335" t="str">
        <f t="shared" si="458"/>
        <v>High Balance</v>
      </c>
      <c r="P7335" t="str">
        <f t="shared" si="459"/>
        <v>New</v>
      </c>
    </row>
    <row r="7336" spans="1:16" x14ac:dyDescent="0.25">
      <c r="A7336">
        <v>2025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  <c r="M7336" t="str">
        <f t="shared" si="456"/>
        <v>&lt;30</v>
      </c>
      <c r="N7336" t="str">
        <f t="shared" si="457"/>
        <v>Medium</v>
      </c>
      <c r="O7336" t="str">
        <f t="shared" si="458"/>
        <v>Zero Balance</v>
      </c>
      <c r="P7336" t="str">
        <f t="shared" si="459"/>
        <v>Mid-term</v>
      </c>
    </row>
    <row r="7337" spans="1:16" x14ac:dyDescent="0.25">
      <c r="A7337">
        <v>2025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  <c r="M7337" t="str">
        <f t="shared" si="456"/>
        <v>30-45</v>
      </c>
      <c r="N7337" t="str">
        <f t="shared" si="457"/>
        <v>Medium</v>
      </c>
      <c r="O7337" t="str">
        <f t="shared" si="458"/>
        <v>Low Balance</v>
      </c>
      <c r="P7337" t="str">
        <f t="shared" si="459"/>
        <v>Mid-term</v>
      </c>
    </row>
    <row r="7338" spans="1:16" x14ac:dyDescent="0.25">
      <c r="A7338">
        <v>2025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  <c r="M7338" t="str">
        <f t="shared" si="456"/>
        <v>&lt;30</v>
      </c>
      <c r="N7338" t="str">
        <f t="shared" si="457"/>
        <v>Medium</v>
      </c>
      <c r="O7338" t="str">
        <f t="shared" si="458"/>
        <v>Zero Balance</v>
      </c>
      <c r="P7338" t="str">
        <f t="shared" si="459"/>
        <v>Mid-term</v>
      </c>
    </row>
    <row r="7339" spans="1:16" x14ac:dyDescent="0.25">
      <c r="A7339">
        <v>2025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  <c r="M7339" t="str">
        <f t="shared" si="456"/>
        <v>30-45</v>
      </c>
      <c r="N7339" t="str">
        <f t="shared" si="457"/>
        <v>Medium</v>
      </c>
      <c r="O7339" t="str">
        <f t="shared" si="458"/>
        <v>Low Balance</v>
      </c>
      <c r="P7339" t="str">
        <f t="shared" si="459"/>
        <v>Long-term</v>
      </c>
    </row>
    <row r="7340" spans="1:16" x14ac:dyDescent="0.25">
      <c r="A7340">
        <v>2025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  <c r="M7340" t="str">
        <f t="shared" si="456"/>
        <v>46-60</v>
      </c>
      <c r="N7340" t="str">
        <f t="shared" si="457"/>
        <v>High</v>
      </c>
      <c r="O7340" t="str">
        <f t="shared" si="458"/>
        <v>High Balance</v>
      </c>
      <c r="P7340" t="str">
        <f t="shared" si="459"/>
        <v>Long-term</v>
      </c>
    </row>
    <row r="7341" spans="1:16" x14ac:dyDescent="0.25">
      <c r="A7341">
        <v>2025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  <c r="M7341" t="str">
        <f t="shared" si="456"/>
        <v>30-45</v>
      </c>
      <c r="N7341" t="str">
        <f t="shared" si="457"/>
        <v>Low</v>
      </c>
      <c r="O7341" t="str">
        <f t="shared" si="458"/>
        <v>High Balance</v>
      </c>
      <c r="P7341" t="str">
        <f t="shared" si="459"/>
        <v>New</v>
      </c>
    </row>
    <row r="7342" spans="1:16" x14ac:dyDescent="0.25">
      <c r="A7342">
        <v>2025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  <c r="M7342" t="str">
        <f t="shared" si="456"/>
        <v>30-45</v>
      </c>
      <c r="N7342" t="str">
        <f t="shared" si="457"/>
        <v>Medium</v>
      </c>
      <c r="O7342" t="str">
        <f t="shared" si="458"/>
        <v>Zero Balance</v>
      </c>
      <c r="P7342" t="str">
        <f t="shared" si="459"/>
        <v>Mid-term</v>
      </c>
    </row>
    <row r="7343" spans="1:16" x14ac:dyDescent="0.25">
      <c r="A7343">
        <v>2025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  <c r="M7343" t="str">
        <f t="shared" si="456"/>
        <v>46-60</v>
      </c>
      <c r="N7343" t="str">
        <f t="shared" si="457"/>
        <v>High</v>
      </c>
      <c r="O7343" t="str">
        <f t="shared" si="458"/>
        <v>High Balance</v>
      </c>
      <c r="P7343" t="str">
        <f t="shared" si="459"/>
        <v>Mid-term</v>
      </c>
    </row>
    <row r="7344" spans="1:16" x14ac:dyDescent="0.25">
      <c r="A7344">
        <v>2025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  <c r="M7344" t="str">
        <f t="shared" si="456"/>
        <v>30-45</v>
      </c>
      <c r="N7344" t="str">
        <f t="shared" si="457"/>
        <v>Medium</v>
      </c>
      <c r="O7344" t="str">
        <f t="shared" si="458"/>
        <v>Zero Balance</v>
      </c>
      <c r="P7344" t="str">
        <f t="shared" si="459"/>
        <v>Mid-term</v>
      </c>
    </row>
    <row r="7345" spans="1:16" x14ac:dyDescent="0.25">
      <c r="A7345">
        <v>2025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  <c r="M7345" t="str">
        <f t="shared" si="456"/>
        <v>30-45</v>
      </c>
      <c r="N7345" t="str">
        <f t="shared" si="457"/>
        <v>Medium</v>
      </c>
      <c r="O7345" t="str">
        <f t="shared" si="458"/>
        <v>Zero Balance</v>
      </c>
      <c r="P7345" t="str">
        <f t="shared" si="459"/>
        <v>Mid-term</v>
      </c>
    </row>
    <row r="7346" spans="1:16" x14ac:dyDescent="0.25">
      <c r="A7346">
        <v>2025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  <c r="M7346" t="str">
        <f t="shared" si="456"/>
        <v>&lt;30</v>
      </c>
      <c r="N7346" t="str">
        <f t="shared" si="457"/>
        <v>High</v>
      </c>
      <c r="O7346" t="str">
        <f t="shared" si="458"/>
        <v>Zero Balance</v>
      </c>
      <c r="P7346" t="str">
        <f t="shared" si="459"/>
        <v>New</v>
      </c>
    </row>
    <row r="7347" spans="1:16" x14ac:dyDescent="0.25">
      <c r="A7347">
        <v>2025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  <c r="M7347" t="str">
        <f t="shared" si="456"/>
        <v>46-60</v>
      </c>
      <c r="N7347" t="str">
        <f t="shared" si="457"/>
        <v>High</v>
      </c>
      <c r="O7347" t="str">
        <f t="shared" si="458"/>
        <v>High Balance</v>
      </c>
      <c r="P7347" t="str">
        <f t="shared" si="459"/>
        <v>Mid-term</v>
      </c>
    </row>
    <row r="7348" spans="1:16" x14ac:dyDescent="0.25">
      <c r="A7348">
        <v>2025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  <c r="M7348" t="str">
        <f t="shared" si="456"/>
        <v>&lt;30</v>
      </c>
      <c r="N7348" t="str">
        <f t="shared" si="457"/>
        <v>High</v>
      </c>
      <c r="O7348" t="str">
        <f t="shared" si="458"/>
        <v>Zero Balance</v>
      </c>
      <c r="P7348" t="str">
        <f t="shared" si="459"/>
        <v>Mid-term</v>
      </c>
    </row>
    <row r="7349" spans="1:16" x14ac:dyDescent="0.25">
      <c r="A7349">
        <v>2025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  <c r="M7349" t="str">
        <f t="shared" si="456"/>
        <v>30-45</v>
      </c>
      <c r="N7349" t="str">
        <f t="shared" si="457"/>
        <v>Medium</v>
      </c>
      <c r="O7349" t="str">
        <f t="shared" si="458"/>
        <v>Zero Balance</v>
      </c>
      <c r="P7349" t="str">
        <f t="shared" si="459"/>
        <v>Mid-term</v>
      </c>
    </row>
    <row r="7350" spans="1:16" x14ac:dyDescent="0.25">
      <c r="A7350">
        <v>2025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  <c r="M7350" t="str">
        <f t="shared" si="456"/>
        <v>&lt;30</v>
      </c>
      <c r="N7350" t="str">
        <f t="shared" si="457"/>
        <v>Low</v>
      </c>
      <c r="O7350" t="str">
        <f t="shared" si="458"/>
        <v>Zero Balance</v>
      </c>
      <c r="P7350" t="str">
        <f t="shared" si="459"/>
        <v>New</v>
      </c>
    </row>
    <row r="7351" spans="1:16" x14ac:dyDescent="0.25">
      <c r="A7351">
        <v>2025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  <c r="M7351" t="str">
        <f t="shared" si="456"/>
        <v>30-45</v>
      </c>
      <c r="N7351" t="str">
        <f t="shared" si="457"/>
        <v>Medium</v>
      </c>
      <c r="O7351" t="str">
        <f t="shared" si="458"/>
        <v>Low Balance</v>
      </c>
      <c r="P7351" t="str">
        <f t="shared" si="459"/>
        <v>Mid-term</v>
      </c>
    </row>
    <row r="7352" spans="1:16" x14ac:dyDescent="0.25">
      <c r="A7352">
        <v>2025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  <c r="M7352" t="str">
        <f t="shared" si="456"/>
        <v>&lt;30</v>
      </c>
      <c r="N7352" t="str">
        <f t="shared" si="457"/>
        <v>Medium</v>
      </c>
      <c r="O7352" t="str">
        <f t="shared" si="458"/>
        <v>High Balance</v>
      </c>
      <c r="P7352" t="str">
        <f t="shared" si="459"/>
        <v>Mid-term</v>
      </c>
    </row>
    <row r="7353" spans="1:16" x14ac:dyDescent="0.25">
      <c r="A7353">
        <v>2025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  <c r="M7353" t="str">
        <f t="shared" si="456"/>
        <v>30-45</v>
      </c>
      <c r="N7353" t="str">
        <f t="shared" si="457"/>
        <v>Medium</v>
      </c>
      <c r="O7353" t="str">
        <f t="shared" si="458"/>
        <v>Zero Balance</v>
      </c>
      <c r="P7353" t="str">
        <f t="shared" si="459"/>
        <v>Mid-term</v>
      </c>
    </row>
    <row r="7354" spans="1:16" x14ac:dyDescent="0.25">
      <c r="A7354">
        <v>2025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  <c r="M7354" t="str">
        <f t="shared" si="456"/>
        <v>30-45</v>
      </c>
      <c r="N7354" t="str">
        <f t="shared" si="457"/>
        <v>High</v>
      </c>
      <c r="O7354" t="str">
        <f t="shared" si="458"/>
        <v>Zero Balance</v>
      </c>
      <c r="P7354" t="str">
        <f t="shared" si="459"/>
        <v>Mid-term</v>
      </c>
    </row>
    <row r="7355" spans="1:16" x14ac:dyDescent="0.25">
      <c r="A7355">
        <v>2025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  <c r="M7355" t="str">
        <f t="shared" si="456"/>
        <v>&lt;30</v>
      </c>
      <c r="N7355" t="str">
        <f t="shared" si="457"/>
        <v>Medium</v>
      </c>
      <c r="O7355" t="str">
        <f t="shared" si="458"/>
        <v>High Balance</v>
      </c>
      <c r="P7355" t="str">
        <f t="shared" si="459"/>
        <v>Mid-term</v>
      </c>
    </row>
    <row r="7356" spans="1:16" x14ac:dyDescent="0.25">
      <c r="A7356">
        <v>2025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  <c r="M7356" t="str">
        <f t="shared" si="456"/>
        <v>30-45</v>
      </c>
      <c r="N7356" t="str">
        <f t="shared" si="457"/>
        <v>High</v>
      </c>
      <c r="O7356" t="str">
        <f t="shared" si="458"/>
        <v>High Balance</v>
      </c>
      <c r="P7356" t="str">
        <f t="shared" si="459"/>
        <v>New</v>
      </c>
    </row>
    <row r="7357" spans="1:16" x14ac:dyDescent="0.25">
      <c r="A7357">
        <v>2025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  <c r="M7357" t="str">
        <f t="shared" si="456"/>
        <v>30-45</v>
      </c>
      <c r="N7357" t="str">
        <f t="shared" si="457"/>
        <v>Medium</v>
      </c>
      <c r="O7357" t="str">
        <f t="shared" si="458"/>
        <v>Zero Balance</v>
      </c>
      <c r="P7357" t="str">
        <f t="shared" si="459"/>
        <v>Mid-term</v>
      </c>
    </row>
    <row r="7358" spans="1:16" x14ac:dyDescent="0.25">
      <c r="A7358">
        <v>2025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  <c r="M7358" t="str">
        <f t="shared" si="456"/>
        <v>30-45</v>
      </c>
      <c r="N7358" t="str">
        <f t="shared" si="457"/>
        <v>Low</v>
      </c>
      <c r="O7358" t="str">
        <f t="shared" si="458"/>
        <v>High Balance</v>
      </c>
      <c r="P7358" t="str">
        <f t="shared" si="459"/>
        <v>Long-term</v>
      </c>
    </row>
    <row r="7359" spans="1:16" x14ac:dyDescent="0.25">
      <c r="A7359">
        <v>2025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  <c r="M7359" t="str">
        <f t="shared" si="456"/>
        <v>&lt;30</v>
      </c>
      <c r="N7359" t="str">
        <f t="shared" si="457"/>
        <v>Medium</v>
      </c>
      <c r="O7359" t="str">
        <f t="shared" si="458"/>
        <v>High Balance</v>
      </c>
      <c r="P7359" t="str">
        <f t="shared" si="459"/>
        <v>Mid-term</v>
      </c>
    </row>
    <row r="7360" spans="1:16" x14ac:dyDescent="0.25">
      <c r="A7360">
        <v>2025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  <c r="M7360" t="str">
        <f t="shared" si="456"/>
        <v>46-60</v>
      </c>
      <c r="N7360" t="str">
        <f t="shared" si="457"/>
        <v>Medium</v>
      </c>
      <c r="O7360" t="str">
        <f t="shared" si="458"/>
        <v>Zero Balance</v>
      </c>
      <c r="P7360" t="str">
        <f t="shared" si="459"/>
        <v>Mid-term</v>
      </c>
    </row>
    <row r="7361" spans="1:16" x14ac:dyDescent="0.25">
      <c r="A7361">
        <v>2025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  <c r="M7361" t="str">
        <f t="shared" si="456"/>
        <v>30-45</v>
      </c>
      <c r="N7361" t="str">
        <f t="shared" si="457"/>
        <v>Medium</v>
      </c>
      <c r="O7361" t="str">
        <f t="shared" si="458"/>
        <v>High Balance</v>
      </c>
      <c r="P7361" t="str">
        <f t="shared" si="459"/>
        <v>Mid-term</v>
      </c>
    </row>
    <row r="7362" spans="1:16" x14ac:dyDescent="0.25">
      <c r="A7362">
        <v>2025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  <c r="M7362" t="str">
        <f t="shared" si="456"/>
        <v>46-60</v>
      </c>
      <c r="N7362" t="str">
        <f t="shared" si="457"/>
        <v>Medium</v>
      </c>
      <c r="O7362" t="str">
        <f t="shared" si="458"/>
        <v>Zero Balance</v>
      </c>
      <c r="P7362" t="str">
        <f t="shared" si="459"/>
        <v>Mid-term</v>
      </c>
    </row>
    <row r="7363" spans="1:16" x14ac:dyDescent="0.25">
      <c r="A7363">
        <v>2025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  <c r="M7363" t="str">
        <f t="shared" ref="M7363:M7426" si="460">IF(E7363&lt;30,"&lt;30",IF(E7363&lt;=45,"30-45",IF(E7363&lt;=60,"46-60","60+")))</f>
        <v>30-45</v>
      </c>
      <c r="N7363" t="str">
        <f t="shared" ref="N7363:N7426" si="461">IF(B7363&lt;500,"Low",IF(B7363&lt;700,"Medium","High"))</f>
        <v>Medium</v>
      </c>
      <c r="O7363" t="str">
        <f t="shared" ref="O7363:O7426" si="462">IF(G7363=0,"Zero Balance",IF(G7363&lt;100000,"Low Balance","High Balance"))</f>
        <v>Zero Balance</v>
      </c>
      <c r="P7363" t="str">
        <f t="shared" ref="P7363:P7426" si="463">IF(F7363&lt;=3,"New",IF(F7363&lt;=7,"Mid-term","Long-term"))</f>
        <v>Mid-term</v>
      </c>
    </row>
    <row r="7364" spans="1:16" x14ac:dyDescent="0.25">
      <c r="A7364">
        <v>2025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  <c r="M7364" t="str">
        <f t="shared" si="460"/>
        <v>60+</v>
      </c>
      <c r="N7364" t="str">
        <f t="shared" si="461"/>
        <v>High</v>
      </c>
      <c r="O7364" t="str">
        <f t="shared" si="462"/>
        <v>Low Balance</v>
      </c>
      <c r="P7364" t="str">
        <f t="shared" si="463"/>
        <v>Mid-term</v>
      </c>
    </row>
    <row r="7365" spans="1:16" x14ac:dyDescent="0.25">
      <c r="A7365">
        <v>2025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  <c r="M7365" t="str">
        <f t="shared" si="460"/>
        <v>30-45</v>
      </c>
      <c r="N7365" t="str">
        <f t="shared" si="461"/>
        <v>Medium</v>
      </c>
      <c r="O7365" t="str">
        <f t="shared" si="462"/>
        <v>High Balance</v>
      </c>
      <c r="P7365" t="str">
        <f t="shared" si="463"/>
        <v>Mid-term</v>
      </c>
    </row>
    <row r="7366" spans="1:16" x14ac:dyDescent="0.25">
      <c r="A7366">
        <v>2025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  <c r="M7366" t="str">
        <f t="shared" si="460"/>
        <v>30-45</v>
      </c>
      <c r="N7366" t="str">
        <f t="shared" si="461"/>
        <v>Medium</v>
      </c>
      <c r="O7366" t="str">
        <f t="shared" si="462"/>
        <v>High Balance</v>
      </c>
      <c r="P7366" t="str">
        <f t="shared" si="463"/>
        <v>Mid-term</v>
      </c>
    </row>
    <row r="7367" spans="1:16" x14ac:dyDescent="0.25">
      <c r="A7367">
        <v>2025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  <c r="M7367" t="str">
        <f t="shared" si="460"/>
        <v>30-45</v>
      </c>
      <c r="N7367" t="str">
        <f t="shared" si="461"/>
        <v>Medium</v>
      </c>
      <c r="O7367" t="str">
        <f t="shared" si="462"/>
        <v>High Balance</v>
      </c>
      <c r="P7367" t="str">
        <f t="shared" si="463"/>
        <v>Long-term</v>
      </c>
    </row>
    <row r="7368" spans="1:16" x14ac:dyDescent="0.25">
      <c r="A7368">
        <v>2025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  <c r="M7368" t="str">
        <f t="shared" si="460"/>
        <v>30-45</v>
      </c>
      <c r="N7368" t="str">
        <f t="shared" si="461"/>
        <v>Medium</v>
      </c>
      <c r="O7368" t="str">
        <f t="shared" si="462"/>
        <v>Zero Balance</v>
      </c>
      <c r="P7368" t="str">
        <f t="shared" si="463"/>
        <v>Long-term</v>
      </c>
    </row>
    <row r="7369" spans="1:16" x14ac:dyDescent="0.25">
      <c r="A7369">
        <v>2025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  <c r="M7369" t="str">
        <f t="shared" si="460"/>
        <v>30-45</v>
      </c>
      <c r="N7369" t="str">
        <f t="shared" si="461"/>
        <v>Medium</v>
      </c>
      <c r="O7369" t="str">
        <f t="shared" si="462"/>
        <v>Zero Balance</v>
      </c>
      <c r="P7369" t="str">
        <f t="shared" si="463"/>
        <v>Long-term</v>
      </c>
    </row>
    <row r="7370" spans="1:16" x14ac:dyDescent="0.25">
      <c r="A7370">
        <v>2025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  <c r="M7370" t="str">
        <f t="shared" si="460"/>
        <v>30-45</v>
      </c>
      <c r="N7370" t="str">
        <f t="shared" si="461"/>
        <v>High</v>
      </c>
      <c r="O7370" t="str">
        <f t="shared" si="462"/>
        <v>High Balance</v>
      </c>
      <c r="P7370" t="str">
        <f t="shared" si="463"/>
        <v>New</v>
      </c>
    </row>
    <row r="7371" spans="1:16" x14ac:dyDescent="0.25">
      <c r="A7371">
        <v>2025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  <c r="M7371" t="str">
        <f t="shared" si="460"/>
        <v>&lt;30</v>
      </c>
      <c r="N7371" t="str">
        <f t="shared" si="461"/>
        <v>Medium</v>
      </c>
      <c r="O7371" t="str">
        <f t="shared" si="462"/>
        <v>High Balance</v>
      </c>
      <c r="P7371" t="str">
        <f t="shared" si="463"/>
        <v>Mid-term</v>
      </c>
    </row>
    <row r="7372" spans="1:16" x14ac:dyDescent="0.25">
      <c r="A7372">
        <v>2025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  <c r="M7372" t="str">
        <f t="shared" si="460"/>
        <v>30-45</v>
      </c>
      <c r="N7372" t="str">
        <f t="shared" si="461"/>
        <v>Medium</v>
      </c>
      <c r="O7372" t="str">
        <f t="shared" si="462"/>
        <v>Zero Balance</v>
      </c>
      <c r="P7372" t="str">
        <f t="shared" si="463"/>
        <v>Mid-term</v>
      </c>
    </row>
    <row r="7373" spans="1:16" x14ac:dyDescent="0.25">
      <c r="A7373">
        <v>2025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  <c r="M7373" t="str">
        <f t="shared" si="460"/>
        <v>30-45</v>
      </c>
      <c r="N7373" t="str">
        <f t="shared" si="461"/>
        <v>High</v>
      </c>
      <c r="O7373" t="str">
        <f t="shared" si="462"/>
        <v>High Balance</v>
      </c>
      <c r="P7373" t="str">
        <f t="shared" si="463"/>
        <v>Long-term</v>
      </c>
    </row>
    <row r="7374" spans="1:16" x14ac:dyDescent="0.25">
      <c r="A7374">
        <v>2025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  <c r="M7374" t="str">
        <f t="shared" si="460"/>
        <v>30-45</v>
      </c>
      <c r="N7374" t="str">
        <f t="shared" si="461"/>
        <v>Medium</v>
      </c>
      <c r="O7374" t="str">
        <f t="shared" si="462"/>
        <v>High Balance</v>
      </c>
      <c r="P7374" t="str">
        <f t="shared" si="463"/>
        <v>Long-term</v>
      </c>
    </row>
    <row r="7375" spans="1:16" x14ac:dyDescent="0.25">
      <c r="A7375">
        <v>2025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  <c r="M7375" t="str">
        <f t="shared" si="460"/>
        <v>30-45</v>
      </c>
      <c r="N7375" t="str">
        <f t="shared" si="461"/>
        <v>Medium</v>
      </c>
      <c r="O7375" t="str">
        <f t="shared" si="462"/>
        <v>High Balance</v>
      </c>
      <c r="P7375" t="str">
        <f t="shared" si="463"/>
        <v>Mid-term</v>
      </c>
    </row>
    <row r="7376" spans="1:16" x14ac:dyDescent="0.25">
      <c r="A7376">
        <v>2025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  <c r="M7376" t="str">
        <f t="shared" si="460"/>
        <v>30-45</v>
      </c>
      <c r="N7376" t="str">
        <f t="shared" si="461"/>
        <v>Medium</v>
      </c>
      <c r="O7376" t="str">
        <f t="shared" si="462"/>
        <v>High Balance</v>
      </c>
      <c r="P7376" t="str">
        <f t="shared" si="463"/>
        <v>New</v>
      </c>
    </row>
    <row r="7377" spans="1:16" x14ac:dyDescent="0.25">
      <c r="A7377">
        <v>2025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  <c r="M7377" t="str">
        <f t="shared" si="460"/>
        <v>60+</v>
      </c>
      <c r="N7377" t="str">
        <f t="shared" si="461"/>
        <v>Medium</v>
      </c>
      <c r="O7377" t="str">
        <f t="shared" si="462"/>
        <v>Low Balance</v>
      </c>
      <c r="P7377" t="str">
        <f t="shared" si="463"/>
        <v>Mid-term</v>
      </c>
    </row>
    <row r="7378" spans="1:16" x14ac:dyDescent="0.25">
      <c r="A7378">
        <v>2025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  <c r="M7378" t="str">
        <f t="shared" si="460"/>
        <v>&lt;30</v>
      </c>
      <c r="N7378" t="str">
        <f t="shared" si="461"/>
        <v>High</v>
      </c>
      <c r="O7378" t="str">
        <f t="shared" si="462"/>
        <v>High Balance</v>
      </c>
      <c r="P7378" t="str">
        <f t="shared" si="463"/>
        <v>Mid-term</v>
      </c>
    </row>
    <row r="7379" spans="1:16" x14ac:dyDescent="0.25">
      <c r="A7379">
        <v>2025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  <c r="M7379" t="str">
        <f t="shared" si="460"/>
        <v>30-45</v>
      </c>
      <c r="N7379" t="str">
        <f t="shared" si="461"/>
        <v>Medium</v>
      </c>
      <c r="O7379" t="str">
        <f t="shared" si="462"/>
        <v>High Balance</v>
      </c>
      <c r="P7379" t="str">
        <f t="shared" si="463"/>
        <v>New</v>
      </c>
    </row>
    <row r="7380" spans="1:16" x14ac:dyDescent="0.25">
      <c r="A7380">
        <v>2025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  <c r="M7380" t="str">
        <f t="shared" si="460"/>
        <v>30-45</v>
      </c>
      <c r="N7380" t="str">
        <f t="shared" si="461"/>
        <v>Medium</v>
      </c>
      <c r="O7380" t="str">
        <f t="shared" si="462"/>
        <v>Zero Balance</v>
      </c>
      <c r="P7380" t="str">
        <f t="shared" si="463"/>
        <v>Long-term</v>
      </c>
    </row>
    <row r="7381" spans="1:16" x14ac:dyDescent="0.25">
      <c r="A7381">
        <v>2025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  <c r="M7381" t="str">
        <f t="shared" si="460"/>
        <v>30-45</v>
      </c>
      <c r="N7381" t="str">
        <f t="shared" si="461"/>
        <v>Medium</v>
      </c>
      <c r="O7381" t="str">
        <f t="shared" si="462"/>
        <v>Zero Balance</v>
      </c>
      <c r="P7381" t="str">
        <f t="shared" si="463"/>
        <v>New</v>
      </c>
    </row>
    <row r="7382" spans="1:16" x14ac:dyDescent="0.25">
      <c r="A7382">
        <v>2025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  <c r="M7382" t="str">
        <f t="shared" si="460"/>
        <v>30-45</v>
      </c>
      <c r="N7382" t="str">
        <f t="shared" si="461"/>
        <v>Medium</v>
      </c>
      <c r="O7382" t="str">
        <f t="shared" si="462"/>
        <v>Low Balance</v>
      </c>
      <c r="P7382" t="str">
        <f t="shared" si="463"/>
        <v>Mid-term</v>
      </c>
    </row>
    <row r="7383" spans="1:16" x14ac:dyDescent="0.25">
      <c r="A7383">
        <v>2025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  <c r="M7383" t="str">
        <f t="shared" si="460"/>
        <v>&lt;30</v>
      </c>
      <c r="N7383" t="str">
        <f t="shared" si="461"/>
        <v>Medium</v>
      </c>
      <c r="O7383" t="str">
        <f t="shared" si="462"/>
        <v>High Balance</v>
      </c>
      <c r="P7383" t="str">
        <f t="shared" si="463"/>
        <v>Long-term</v>
      </c>
    </row>
    <row r="7384" spans="1:16" x14ac:dyDescent="0.25">
      <c r="A7384">
        <v>2025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  <c r="M7384" t="str">
        <f t="shared" si="460"/>
        <v>&lt;30</v>
      </c>
      <c r="N7384" t="str">
        <f t="shared" si="461"/>
        <v>Medium</v>
      </c>
      <c r="O7384" t="str">
        <f t="shared" si="462"/>
        <v>High Balance</v>
      </c>
      <c r="P7384" t="str">
        <f t="shared" si="463"/>
        <v>Mid-term</v>
      </c>
    </row>
    <row r="7385" spans="1:16" x14ac:dyDescent="0.25">
      <c r="A7385">
        <v>2025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  <c r="M7385" t="str">
        <f t="shared" si="460"/>
        <v>30-45</v>
      </c>
      <c r="N7385" t="str">
        <f t="shared" si="461"/>
        <v>High</v>
      </c>
      <c r="O7385" t="str">
        <f t="shared" si="462"/>
        <v>High Balance</v>
      </c>
      <c r="P7385" t="str">
        <f t="shared" si="463"/>
        <v>Mid-term</v>
      </c>
    </row>
    <row r="7386" spans="1:16" x14ac:dyDescent="0.25">
      <c r="A7386">
        <v>2025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  <c r="M7386" t="str">
        <f t="shared" si="460"/>
        <v>30-45</v>
      </c>
      <c r="N7386" t="str">
        <f t="shared" si="461"/>
        <v>Medium</v>
      </c>
      <c r="O7386" t="str">
        <f t="shared" si="462"/>
        <v>Zero Balance</v>
      </c>
      <c r="P7386" t="str">
        <f t="shared" si="463"/>
        <v>Mid-term</v>
      </c>
    </row>
    <row r="7387" spans="1:16" x14ac:dyDescent="0.25">
      <c r="A7387">
        <v>2025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  <c r="M7387" t="str">
        <f t="shared" si="460"/>
        <v>30-45</v>
      </c>
      <c r="N7387" t="str">
        <f t="shared" si="461"/>
        <v>Medium</v>
      </c>
      <c r="O7387" t="str">
        <f t="shared" si="462"/>
        <v>Zero Balance</v>
      </c>
      <c r="P7387" t="str">
        <f t="shared" si="463"/>
        <v>Mid-term</v>
      </c>
    </row>
    <row r="7388" spans="1:16" x14ac:dyDescent="0.25">
      <c r="A7388">
        <v>2025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  <c r="M7388" t="str">
        <f t="shared" si="460"/>
        <v>30-45</v>
      </c>
      <c r="N7388" t="str">
        <f t="shared" si="461"/>
        <v>Medium</v>
      </c>
      <c r="O7388" t="str">
        <f t="shared" si="462"/>
        <v>High Balance</v>
      </c>
      <c r="P7388" t="str">
        <f t="shared" si="463"/>
        <v>New</v>
      </c>
    </row>
    <row r="7389" spans="1:16" x14ac:dyDescent="0.25">
      <c r="A7389">
        <v>2025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  <c r="M7389" t="str">
        <f t="shared" si="460"/>
        <v>30-45</v>
      </c>
      <c r="N7389" t="str">
        <f t="shared" si="461"/>
        <v>Medium</v>
      </c>
      <c r="O7389" t="str">
        <f t="shared" si="462"/>
        <v>High Balance</v>
      </c>
      <c r="P7389" t="str">
        <f t="shared" si="463"/>
        <v>Long-term</v>
      </c>
    </row>
    <row r="7390" spans="1:16" x14ac:dyDescent="0.25">
      <c r="A7390">
        <v>2025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  <c r="M7390" t="str">
        <f t="shared" si="460"/>
        <v>&lt;30</v>
      </c>
      <c r="N7390" t="str">
        <f t="shared" si="461"/>
        <v>High</v>
      </c>
      <c r="O7390" t="str">
        <f t="shared" si="462"/>
        <v>High Balance</v>
      </c>
      <c r="P7390" t="str">
        <f t="shared" si="463"/>
        <v>Long-term</v>
      </c>
    </row>
    <row r="7391" spans="1:16" x14ac:dyDescent="0.25">
      <c r="A7391">
        <v>2025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  <c r="M7391" t="str">
        <f t="shared" si="460"/>
        <v>30-45</v>
      </c>
      <c r="N7391" t="str">
        <f t="shared" si="461"/>
        <v>Medium</v>
      </c>
      <c r="O7391" t="str">
        <f t="shared" si="462"/>
        <v>Zero Balance</v>
      </c>
      <c r="P7391" t="str">
        <f t="shared" si="463"/>
        <v>Mid-term</v>
      </c>
    </row>
    <row r="7392" spans="1:16" x14ac:dyDescent="0.25">
      <c r="A7392">
        <v>2025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  <c r="M7392" t="str">
        <f t="shared" si="460"/>
        <v>&lt;30</v>
      </c>
      <c r="N7392" t="str">
        <f t="shared" si="461"/>
        <v>Medium</v>
      </c>
      <c r="O7392" t="str">
        <f t="shared" si="462"/>
        <v>High Balance</v>
      </c>
      <c r="P7392" t="str">
        <f t="shared" si="463"/>
        <v>New</v>
      </c>
    </row>
    <row r="7393" spans="1:16" x14ac:dyDescent="0.25">
      <c r="A7393">
        <v>2025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  <c r="M7393" t="str">
        <f t="shared" si="460"/>
        <v>30-45</v>
      </c>
      <c r="N7393" t="str">
        <f t="shared" si="461"/>
        <v>Low</v>
      </c>
      <c r="O7393" t="str">
        <f t="shared" si="462"/>
        <v>Zero Balance</v>
      </c>
      <c r="P7393" t="str">
        <f t="shared" si="463"/>
        <v>Mid-term</v>
      </c>
    </row>
    <row r="7394" spans="1:16" x14ac:dyDescent="0.25">
      <c r="A7394">
        <v>2025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  <c r="M7394" t="str">
        <f t="shared" si="460"/>
        <v>60+</v>
      </c>
      <c r="N7394" t="str">
        <f t="shared" si="461"/>
        <v>Medium</v>
      </c>
      <c r="O7394" t="str">
        <f t="shared" si="462"/>
        <v>Zero Balance</v>
      </c>
      <c r="P7394" t="str">
        <f t="shared" si="463"/>
        <v>Mid-term</v>
      </c>
    </row>
    <row r="7395" spans="1:16" x14ac:dyDescent="0.25">
      <c r="A7395">
        <v>2025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  <c r="M7395" t="str">
        <f t="shared" si="460"/>
        <v>&lt;30</v>
      </c>
      <c r="N7395" t="str">
        <f t="shared" si="461"/>
        <v>Medium</v>
      </c>
      <c r="O7395" t="str">
        <f t="shared" si="462"/>
        <v>High Balance</v>
      </c>
      <c r="P7395" t="str">
        <f t="shared" si="463"/>
        <v>Mid-term</v>
      </c>
    </row>
    <row r="7396" spans="1:16" x14ac:dyDescent="0.25">
      <c r="A7396">
        <v>2025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  <c r="M7396" t="str">
        <f t="shared" si="460"/>
        <v>&lt;30</v>
      </c>
      <c r="N7396" t="str">
        <f t="shared" si="461"/>
        <v>Medium</v>
      </c>
      <c r="O7396" t="str">
        <f t="shared" si="462"/>
        <v>Zero Balance</v>
      </c>
      <c r="P7396" t="str">
        <f t="shared" si="463"/>
        <v>Long-term</v>
      </c>
    </row>
    <row r="7397" spans="1:16" x14ac:dyDescent="0.25">
      <c r="A7397">
        <v>2025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  <c r="M7397" t="str">
        <f t="shared" si="460"/>
        <v>30-45</v>
      </c>
      <c r="N7397" t="str">
        <f t="shared" si="461"/>
        <v>High</v>
      </c>
      <c r="O7397" t="str">
        <f t="shared" si="462"/>
        <v>High Balance</v>
      </c>
      <c r="P7397" t="str">
        <f t="shared" si="463"/>
        <v>Mid-term</v>
      </c>
    </row>
    <row r="7398" spans="1:16" x14ac:dyDescent="0.25">
      <c r="A7398">
        <v>2025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  <c r="M7398" t="str">
        <f t="shared" si="460"/>
        <v>46-60</v>
      </c>
      <c r="N7398" t="str">
        <f t="shared" si="461"/>
        <v>Medium</v>
      </c>
      <c r="O7398" t="str">
        <f t="shared" si="462"/>
        <v>Low Balance</v>
      </c>
      <c r="P7398" t="str">
        <f t="shared" si="463"/>
        <v>Mid-term</v>
      </c>
    </row>
    <row r="7399" spans="1:16" x14ac:dyDescent="0.25">
      <c r="A7399">
        <v>2025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  <c r="M7399" t="str">
        <f t="shared" si="460"/>
        <v>46-60</v>
      </c>
      <c r="N7399" t="str">
        <f t="shared" si="461"/>
        <v>Medium</v>
      </c>
      <c r="O7399" t="str">
        <f t="shared" si="462"/>
        <v>Low Balance</v>
      </c>
      <c r="P7399" t="str">
        <f t="shared" si="463"/>
        <v>Mid-term</v>
      </c>
    </row>
    <row r="7400" spans="1:16" x14ac:dyDescent="0.25">
      <c r="A7400">
        <v>2025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  <c r="M7400" t="str">
        <f t="shared" si="460"/>
        <v>30-45</v>
      </c>
      <c r="N7400" t="str">
        <f t="shared" si="461"/>
        <v>Low</v>
      </c>
      <c r="O7400" t="str">
        <f t="shared" si="462"/>
        <v>High Balance</v>
      </c>
      <c r="P7400" t="str">
        <f t="shared" si="463"/>
        <v>New</v>
      </c>
    </row>
    <row r="7401" spans="1:16" x14ac:dyDescent="0.25">
      <c r="A7401">
        <v>2025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  <c r="M7401" t="str">
        <f t="shared" si="460"/>
        <v>30-45</v>
      </c>
      <c r="N7401" t="str">
        <f t="shared" si="461"/>
        <v>Medium</v>
      </c>
      <c r="O7401" t="str">
        <f t="shared" si="462"/>
        <v>High Balance</v>
      </c>
      <c r="P7401" t="str">
        <f t="shared" si="463"/>
        <v>Mid-term</v>
      </c>
    </row>
    <row r="7402" spans="1:16" x14ac:dyDescent="0.25">
      <c r="A7402">
        <v>2025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  <c r="M7402" t="str">
        <f t="shared" si="460"/>
        <v>30-45</v>
      </c>
      <c r="N7402" t="str">
        <f t="shared" si="461"/>
        <v>High</v>
      </c>
      <c r="O7402" t="str">
        <f t="shared" si="462"/>
        <v>High Balance</v>
      </c>
      <c r="P7402" t="str">
        <f t="shared" si="463"/>
        <v>New</v>
      </c>
    </row>
    <row r="7403" spans="1:16" x14ac:dyDescent="0.25">
      <c r="A7403">
        <v>2025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  <c r="M7403" t="str">
        <f t="shared" si="460"/>
        <v>30-45</v>
      </c>
      <c r="N7403" t="str">
        <f t="shared" si="461"/>
        <v>Medium</v>
      </c>
      <c r="O7403" t="str">
        <f t="shared" si="462"/>
        <v>High Balance</v>
      </c>
      <c r="P7403" t="str">
        <f t="shared" si="463"/>
        <v>Long-term</v>
      </c>
    </row>
    <row r="7404" spans="1:16" x14ac:dyDescent="0.25">
      <c r="A7404">
        <v>2025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  <c r="M7404" t="str">
        <f t="shared" si="460"/>
        <v>30-45</v>
      </c>
      <c r="N7404" t="str">
        <f t="shared" si="461"/>
        <v>Medium</v>
      </c>
      <c r="O7404" t="str">
        <f t="shared" si="462"/>
        <v>High Balance</v>
      </c>
      <c r="P7404" t="str">
        <f t="shared" si="463"/>
        <v>Mid-term</v>
      </c>
    </row>
    <row r="7405" spans="1:16" x14ac:dyDescent="0.25">
      <c r="A7405">
        <v>2025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  <c r="M7405" t="str">
        <f t="shared" si="460"/>
        <v>46-60</v>
      </c>
      <c r="N7405" t="str">
        <f t="shared" si="461"/>
        <v>High</v>
      </c>
      <c r="O7405" t="str">
        <f t="shared" si="462"/>
        <v>Low Balance</v>
      </c>
      <c r="P7405" t="str">
        <f t="shared" si="463"/>
        <v>Mid-term</v>
      </c>
    </row>
    <row r="7406" spans="1:16" x14ac:dyDescent="0.25">
      <c r="A7406">
        <v>2025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  <c r="M7406" t="str">
        <f t="shared" si="460"/>
        <v>30-45</v>
      </c>
      <c r="N7406" t="str">
        <f t="shared" si="461"/>
        <v>High</v>
      </c>
      <c r="O7406" t="str">
        <f t="shared" si="462"/>
        <v>Zero Balance</v>
      </c>
      <c r="P7406" t="str">
        <f t="shared" si="463"/>
        <v>New</v>
      </c>
    </row>
    <row r="7407" spans="1:16" x14ac:dyDescent="0.25">
      <c r="A7407">
        <v>2025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  <c r="M7407" t="str">
        <f t="shared" si="460"/>
        <v>30-45</v>
      </c>
      <c r="N7407" t="str">
        <f t="shared" si="461"/>
        <v>Medium</v>
      </c>
      <c r="O7407" t="str">
        <f t="shared" si="462"/>
        <v>High Balance</v>
      </c>
      <c r="P7407" t="str">
        <f t="shared" si="463"/>
        <v>Long-term</v>
      </c>
    </row>
    <row r="7408" spans="1:16" x14ac:dyDescent="0.25">
      <c r="A7408">
        <v>2025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  <c r="M7408" t="str">
        <f t="shared" si="460"/>
        <v>46-60</v>
      </c>
      <c r="N7408" t="str">
        <f t="shared" si="461"/>
        <v>Low</v>
      </c>
      <c r="O7408" t="str">
        <f t="shared" si="462"/>
        <v>Zero Balance</v>
      </c>
      <c r="P7408" t="str">
        <f t="shared" si="463"/>
        <v>Mid-term</v>
      </c>
    </row>
    <row r="7409" spans="1:16" x14ac:dyDescent="0.25">
      <c r="A7409">
        <v>2025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  <c r="M7409" t="str">
        <f t="shared" si="460"/>
        <v>&lt;30</v>
      </c>
      <c r="N7409" t="str">
        <f t="shared" si="461"/>
        <v>Medium</v>
      </c>
      <c r="O7409" t="str">
        <f t="shared" si="462"/>
        <v>Zero Balance</v>
      </c>
      <c r="P7409" t="str">
        <f t="shared" si="463"/>
        <v>Mid-term</v>
      </c>
    </row>
    <row r="7410" spans="1:16" x14ac:dyDescent="0.25">
      <c r="A7410">
        <v>2025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  <c r="M7410" t="str">
        <f t="shared" si="460"/>
        <v>30-45</v>
      </c>
      <c r="N7410" t="str">
        <f t="shared" si="461"/>
        <v>High</v>
      </c>
      <c r="O7410" t="str">
        <f t="shared" si="462"/>
        <v>High Balance</v>
      </c>
      <c r="P7410" t="str">
        <f t="shared" si="463"/>
        <v>New</v>
      </c>
    </row>
    <row r="7411" spans="1:16" x14ac:dyDescent="0.25">
      <c r="A7411">
        <v>2025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  <c r="M7411" t="str">
        <f t="shared" si="460"/>
        <v>30-45</v>
      </c>
      <c r="N7411" t="str">
        <f t="shared" si="461"/>
        <v>High</v>
      </c>
      <c r="O7411" t="str">
        <f t="shared" si="462"/>
        <v>High Balance</v>
      </c>
      <c r="P7411" t="str">
        <f t="shared" si="463"/>
        <v>Long-term</v>
      </c>
    </row>
    <row r="7412" spans="1:16" x14ac:dyDescent="0.25">
      <c r="A7412">
        <v>2025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  <c r="M7412" t="str">
        <f t="shared" si="460"/>
        <v>30-45</v>
      </c>
      <c r="N7412" t="str">
        <f t="shared" si="461"/>
        <v>High</v>
      </c>
      <c r="O7412" t="str">
        <f t="shared" si="462"/>
        <v>Zero Balance</v>
      </c>
      <c r="P7412" t="str">
        <f t="shared" si="463"/>
        <v>Mid-term</v>
      </c>
    </row>
    <row r="7413" spans="1:16" x14ac:dyDescent="0.25">
      <c r="A7413">
        <v>2025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  <c r="M7413" t="str">
        <f t="shared" si="460"/>
        <v>&lt;30</v>
      </c>
      <c r="N7413" t="str">
        <f t="shared" si="461"/>
        <v>Medium</v>
      </c>
      <c r="O7413" t="str">
        <f t="shared" si="462"/>
        <v>Low Balance</v>
      </c>
      <c r="P7413" t="str">
        <f t="shared" si="463"/>
        <v>Mid-term</v>
      </c>
    </row>
    <row r="7414" spans="1:16" x14ac:dyDescent="0.25">
      <c r="A7414">
        <v>2025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  <c r="M7414" t="str">
        <f t="shared" si="460"/>
        <v>30-45</v>
      </c>
      <c r="N7414" t="str">
        <f t="shared" si="461"/>
        <v>Medium</v>
      </c>
      <c r="O7414" t="str">
        <f t="shared" si="462"/>
        <v>Zero Balance</v>
      </c>
      <c r="P7414" t="str">
        <f t="shared" si="463"/>
        <v>Mid-term</v>
      </c>
    </row>
    <row r="7415" spans="1:16" x14ac:dyDescent="0.25">
      <c r="A7415">
        <v>2025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  <c r="M7415" t="str">
        <f t="shared" si="460"/>
        <v>30-45</v>
      </c>
      <c r="N7415" t="str">
        <f t="shared" si="461"/>
        <v>High</v>
      </c>
      <c r="O7415" t="str">
        <f t="shared" si="462"/>
        <v>High Balance</v>
      </c>
      <c r="P7415" t="str">
        <f t="shared" si="463"/>
        <v>Mid-term</v>
      </c>
    </row>
    <row r="7416" spans="1:16" x14ac:dyDescent="0.25">
      <c r="A7416">
        <v>2025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  <c r="M7416" t="str">
        <f t="shared" si="460"/>
        <v>30-45</v>
      </c>
      <c r="N7416" t="str">
        <f t="shared" si="461"/>
        <v>High</v>
      </c>
      <c r="O7416" t="str">
        <f t="shared" si="462"/>
        <v>Low Balance</v>
      </c>
      <c r="P7416" t="str">
        <f t="shared" si="463"/>
        <v>New</v>
      </c>
    </row>
    <row r="7417" spans="1:16" x14ac:dyDescent="0.25">
      <c r="A7417">
        <v>2025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  <c r="M7417" t="str">
        <f t="shared" si="460"/>
        <v>&lt;30</v>
      </c>
      <c r="N7417" t="str">
        <f t="shared" si="461"/>
        <v>High</v>
      </c>
      <c r="O7417" t="str">
        <f t="shared" si="462"/>
        <v>Zero Balance</v>
      </c>
      <c r="P7417" t="str">
        <f t="shared" si="463"/>
        <v>Mid-term</v>
      </c>
    </row>
    <row r="7418" spans="1:16" x14ac:dyDescent="0.25">
      <c r="A7418">
        <v>2025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  <c r="M7418" t="str">
        <f t="shared" si="460"/>
        <v>30-45</v>
      </c>
      <c r="N7418" t="str">
        <f t="shared" si="461"/>
        <v>Medium</v>
      </c>
      <c r="O7418" t="str">
        <f t="shared" si="462"/>
        <v>Zero Balance</v>
      </c>
      <c r="P7418" t="str">
        <f t="shared" si="463"/>
        <v>Long-term</v>
      </c>
    </row>
    <row r="7419" spans="1:16" x14ac:dyDescent="0.25">
      <c r="A7419">
        <v>2025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  <c r="M7419" t="str">
        <f t="shared" si="460"/>
        <v>30-45</v>
      </c>
      <c r="N7419" t="str">
        <f t="shared" si="461"/>
        <v>High</v>
      </c>
      <c r="O7419" t="str">
        <f t="shared" si="462"/>
        <v>High Balance</v>
      </c>
      <c r="P7419" t="str">
        <f t="shared" si="463"/>
        <v>Mid-term</v>
      </c>
    </row>
    <row r="7420" spans="1:16" x14ac:dyDescent="0.25">
      <c r="A7420">
        <v>2025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  <c r="M7420" t="str">
        <f t="shared" si="460"/>
        <v>30-45</v>
      </c>
      <c r="N7420" t="str">
        <f t="shared" si="461"/>
        <v>Medium</v>
      </c>
      <c r="O7420" t="str">
        <f t="shared" si="462"/>
        <v>Zero Balance</v>
      </c>
      <c r="P7420" t="str">
        <f t="shared" si="463"/>
        <v>Mid-term</v>
      </c>
    </row>
    <row r="7421" spans="1:16" x14ac:dyDescent="0.25">
      <c r="A7421">
        <v>2025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  <c r="M7421" t="str">
        <f t="shared" si="460"/>
        <v>30-45</v>
      </c>
      <c r="N7421" t="str">
        <f t="shared" si="461"/>
        <v>High</v>
      </c>
      <c r="O7421" t="str">
        <f t="shared" si="462"/>
        <v>High Balance</v>
      </c>
      <c r="P7421" t="str">
        <f t="shared" si="463"/>
        <v>New</v>
      </c>
    </row>
    <row r="7422" spans="1:16" x14ac:dyDescent="0.25">
      <c r="A7422">
        <v>2025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  <c r="M7422" t="str">
        <f t="shared" si="460"/>
        <v>30-45</v>
      </c>
      <c r="N7422" t="str">
        <f t="shared" si="461"/>
        <v>High</v>
      </c>
      <c r="O7422" t="str">
        <f t="shared" si="462"/>
        <v>High Balance</v>
      </c>
      <c r="P7422" t="str">
        <f t="shared" si="463"/>
        <v>Long-term</v>
      </c>
    </row>
    <row r="7423" spans="1:16" x14ac:dyDescent="0.25">
      <c r="A7423">
        <v>2025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  <c r="M7423" t="str">
        <f t="shared" si="460"/>
        <v>30-45</v>
      </c>
      <c r="N7423" t="str">
        <f t="shared" si="461"/>
        <v>Medium</v>
      </c>
      <c r="O7423" t="str">
        <f t="shared" si="462"/>
        <v>Zero Balance</v>
      </c>
      <c r="P7423" t="str">
        <f t="shared" si="463"/>
        <v>New</v>
      </c>
    </row>
    <row r="7424" spans="1:16" x14ac:dyDescent="0.25">
      <c r="A7424">
        <v>2025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  <c r="M7424" t="str">
        <f t="shared" si="460"/>
        <v>&lt;30</v>
      </c>
      <c r="N7424" t="str">
        <f t="shared" si="461"/>
        <v>Medium</v>
      </c>
      <c r="O7424" t="str">
        <f t="shared" si="462"/>
        <v>High Balance</v>
      </c>
      <c r="P7424" t="str">
        <f t="shared" si="463"/>
        <v>Mid-term</v>
      </c>
    </row>
    <row r="7425" spans="1:16" x14ac:dyDescent="0.25">
      <c r="A7425">
        <v>2025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  <c r="M7425" t="str">
        <f t="shared" si="460"/>
        <v>30-45</v>
      </c>
      <c r="N7425" t="str">
        <f t="shared" si="461"/>
        <v>Medium</v>
      </c>
      <c r="O7425" t="str">
        <f t="shared" si="462"/>
        <v>High Balance</v>
      </c>
      <c r="P7425" t="str">
        <f t="shared" si="463"/>
        <v>New</v>
      </c>
    </row>
    <row r="7426" spans="1:16" x14ac:dyDescent="0.25">
      <c r="A7426">
        <v>2025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  <c r="M7426" t="str">
        <f t="shared" si="460"/>
        <v>30-45</v>
      </c>
      <c r="N7426" t="str">
        <f t="shared" si="461"/>
        <v>Medium</v>
      </c>
      <c r="O7426" t="str">
        <f t="shared" si="462"/>
        <v>High Balance</v>
      </c>
      <c r="P7426" t="str">
        <f t="shared" si="463"/>
        <v>New</v>
      </c>
    </row>
    <row r="7427" spans="1:16" x14ac:dyDescent="0.25">
      <c r="A7427">
        <v>2025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  <c r="M7427" t="str">
        <f t="shared" ref="M7427:M7490" si="464">IF(E7427&lt;30,"&lt;30",IF(E7427&lt;=45,"30-45",IF(E7427&lt;=60,"46-60","60+")))</f>
        <v>30-45</v>
      </c>
      <c r="N7427" t="str">
        <f t="shared" ref="N7427:N7490" si="465">IF(B7427&lt;500,"Low",IF(B7427&lt;700,"Medium","High"))</f>
        <v>Medium</v>
      </c>
      <c r="O7427" t="str">
        <f t="shared" ref="O7427:O7490" si="466">IF(G7427=0,"Zero Balance",IF(G7427&lt;100000,"Low Balance","High Balance"))</f>
        <v>High Balance</v>
      </c>
      <c r="P7427" t="str">
        <f t="shared" ref="P7427:P7490" si="467">IF(F7427&lt;=3,"New",IF(F7427&lt;=7,"Mid-term","Long-term"))</f>
        <v>New</v>
      </c>
    </row>
    <row r="7428" spans="1:16" x14ac:dyDescent="0.25">
      <c r="A7428">
        <v>2025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  <c r="M7428" t="str">
        <f t="shared" si="464"/>
        <v>46-60</v>
      </c>
      <c r="N7428" t="str">
        <f t="shared" si="465"/>
        <v>Medium</v>
      </c>
      <c r="O7428" t="str">
        <f t="shared" si="466"/>
        <v>Zero Balance</v>
      </c>
      <c r="P7428" t="str">
        <f t="shared" si="467"/>
        <v>Mid-term</v>
      </c>
    </row>
    <row r="7429" spans="1:16" x14ac:dyDescent="0.25">
      <c r="A7429">
        <v>2025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  <c r="M7429" t="str">
        <f t="shared" si="464"/>
        <v>30-45</v>
      </c>
      <c r="N7429" t="str">
        <f t="shared" si="465"/>
        <v>High</v>
      </c>
      <c r="O7429" t="str">
        <f t="shared" si="466"/>
        <v>High Balance</v>
      </c>
      <c r="P7429" t="str">
        <f t="shared" si="467"/>
        <v>Long-term</v>
      </c>
    </row>
    <row r="7430" spans="1:16" x14ac:dyDescent="0.25">
      <c r="A7430">
        <v>2025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  <c r="M7430" t="str">
        <f t="shared" si="464"/>
        <v>30-45</v>
      </c>
      <c r="N7430" t="str">
        <f t="shared" si="465"/>
        <v>Medium</v>
      </c>
      <c r="O7430" t="str">
        <f t="shared" si="466"/>
        <v>High Balance</v>
      </c>
      <c r="P7430" t="str">
        <f t="shared" si="467"/>
        <v>Long-term</v>
      </c>
    </row>
    <row r="7431" spans="1:16" x14ac:dyDescent="0.25">
      <c r="A7431">
        <v>2025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  <c r="M7431" t="str">
        <f t="shared" si="464"/>
        <v>30-45</v>
      </c>
      <c r="N7431" t="str">
        <f t="shared" si="465"/>
        <v>Medium</v>
      </c>
      <c r="O7431" t="str">
        <f t="shared" si="466"/>
        <v>High Balance</v>
      </c>
      <c r="P7431" t="str">
        <f t="shared" si="467"/>
        <v>Mid-term</v>
      </c>
    </row>
    <row r="7432" spans="1:16" x14ac:dyDescent="0.25">
      <c r="A7432">
        <v>2025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  <c r="M7432" t="str">
        <f t="shared" si="464"/>
        <v>30-45</v>
      </c>
      <c r="N7432" t="str">
        <f t="shared" si="465"/>
        <v>Medium</v>
      </c>
      <c r="O7432" t="str">
        <f t="shared" si="466"/>
        <v>High Balance</v>
      </c>
      <c r="P7432" t="str">
        <f t="shared" si="467"/>
        <v>New</v>
      </c>
    </row>
    <row r="7433" spans="1:16" x14ac:dyDescent="0.25">
      <c r="A7433">
        <v>2025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  <c r="M7433" t="str">
        <f t="shared" si="464"/>
        <v>30-45</v>
      </c>
      <c r="N7433" t="str">
        <f t="shared" si="465"/>
        <v>Medium</v>
      </c>
      <c r="O7433" t="str">
        <f t="shared" si="466"/>
        <v>Zero Balance</v>
      </c>
      <c r="P7433" t="str">
        <f t="shared" si="467"/>
        <v>New</v>
      </c>
    </row>
    <row r="7434" spans="1:16" x14ac:dyDescent="0.25">
      <c r="A7434">
        <v>2025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  <c r="M7434" t="str">
        <f t="shared" si="464"/>
        <v>30-45</v>
      </c>
      <c r="N7434" t="str">
        <f t="shared" si="465"/>
        <v>High</v>
      </c>
      <c r="O7434" t="str">
        <f t="shared" si="466"/>
        <v>High Balance</v>
      </c>
      <c r="P7434" t="str">
        <f t="shared" si="467"/>
        <v>New</v>
      </c>
    </row>
    <row r="7435" spans="1:16" x14ac:dyDescent="0.25">
      <c r="A7435">
        <v>2025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  <c r="M7435" t="str">
        <f t="shared" si="464"/>
        <v>30-45</v>
      </c>
      <c r="N7435" t="str">
        <f t="shared" si="465"/>
        <v>High</v>
      </c>
      <c r="O7435" t="str">
        <f t="shared" si="466"/>
        <v>High Balance</v>
      </c>
      <c r="P7435" t="str">
        <f t="shared" si="467"/>
        <v>New</v>
      </c>
    </row>
    <row r="7436" spans="1:16" x14ac:dyDescent="0.25">
      <c r="A7436">
        <v>2025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  <c r="M7436" t="str">
        <f t="shared" si="464"/>
        <v>30-45</v>
      </c>
      <c r="N7436" t="str">
        <f t="shared" si="465"/>
        <v>Medium</v>
      </c>
      <c r="O7436" t="str">
        <f t="shared" si="466"/>
        <v>Zero Balance</v>
      </c>
      <c r="P7436" t="str">
        <f t="shared" si="467"/>
        <v>New</v>
      </c>
    </row>
    <row r="7437" spans="1:16" x14ac:dyDescent="0.25">
      <c r="A7437">
        <v>2025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  <c r="M7437" t="str">
        <f t="shared" si="464"/>
        <v>46-60</v>
      </c>
      <c r="N7437" t="str">
        <f t="shared" si="465"/>
        <v>Medium</v>
      </c>
      <c r="O7437" t="str">
        <f t="shared" si="466"/>
        <v>High Balance</v>
      </c>
      <c r="P7437" t="str">
        <f t="shared" si="467"/>
        <v>Mid-term</v>
      </c>
    </row>
    <row r="7438" spans="1:16" x14ac:dyDescent="0.25">
      <c r="A7438">
        <v>2025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  <c r="M7438" t="str">
        <f t="shared" si="464"/>
        <v>46-60</v>
      </c>
      <c r="N7438" t="str">
        <f t="shared" si="465"/>
        <v>Medium</v>
      </c>
      <c r="O7438" t="str">
        <f t="shared" si="466"/>
        <v>Low Balance</v>
      </c>
      <c r="P7438" t="str">
        <f t="shared" si="467"/>
        <v>Mid-term</v>
      </c>
    </row>
    <row r="7439" spans="1:16" x14ac:dyDescent="0.25">
      <c r="A7439">
        <v>2025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  <c r="M7439" t="str">
        <f t="shared" si="464"/>
        <v>&lt;30</v>
      </c>
      <c r="N7439" t="str">
        <f t="shared" si="465"/>
        <v>Medium</v>
      </c>
      <c r="O7439" t="str">
        <f t="shared" si="466"/>
        <v>Low Balance</v>
      </c>
      <c r="P7439" t="str">
        <f t="shared" si="467"/>
        <v>Long-term</v>
      </c>
    </row>
    <row r="7440" spans="1:16" x14ac:dyDescent="0.25">
      <c r="A7440">
        <v>2025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  <c r="M7440" t="str">
        <f t="shared" si="464"/>
        <v>30-45</v>
      </c>
      <c r="N7440" t="str">
        <f t="shared" si="465"/>
        <v>Medium</v>
      </c>
      <c r="O7440" t="str">
        <f t="shared" si="466"/>
        <v>Low Balance</v>
      </c>
      <c r="P7440" t="str">
        <f t="shared" si="467"/>
        <v>Mid-term</v>
      </c>
    </row>
    <row r="7441" spans="1:16" x14ac:dyDescent="0.25">
      <c r="A7441">
        <v>2025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  <c r="M7441" t="str">
        <f t="shared" si="464"/>
        <v>&lt;30</v>
      </c>
      <c r="N7441" t="str">
        <f t="shared" si="465"/>
        <v>Low</v>
      </c>
      <c r="O7441" t="str">
        <f t="shared" si="466"/>
        <v>Low Balance</v>
      </c>
      <c r="P7441" t="str">
        <f t="shared" si="467"/>
        <v>Mid-term</v>
      </c>
    </row>
    <row r="7442" spans="1:16" x14ac:dyDescent="0.25">
      <c r="A7442">
        <v>2025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  <c r="M7442" t="str">
        <f t="shared" si="464"/>
        <v>46-60</v>
      </c>
      <c r="N7442" t="str">
        <f t="shared" si="465"/>
        <v>Medium</v>
      </c>
      <c r="O7442" t="str">
        <f t="shared" si="466"/>
        <v>High Balance</v>
      </c>
      <c r="P7442" t="str">
        <f t="shared" si="467"/>
        <v>Mid-term</v>
      </c>
    </row>
    <row r="7443" spans="1:16" x14ac:dyDescent="0.25">
      <c r="A7443">
        <v>2025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  <c r="M7443" t="str">
        <f t="shared" si="464"/>
        <v>46-60</v>
      </c>
      <c r="N7443" t="str">
        <f t="shared" si="465"/>
        <v>High</v>
      </c>
      <c r="O7443" t="str">
        <f t="shared" si="466"/>
        <v>Zero Balance</v>
      </c>
      <c r="P7443" t="str">
        <f t="shared" si="467"/>
        <v>Mid-term</v>
      </c>
    </row>
    <row r="7444" spans="1:16" x14ac:dyDescent="0.25">
      <c r="A7444">
        <v>2025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  <c r="M7444" t="str">
        <f t="shared" si="464"/>
        <v>30-45</v>
      </c>
      <c r="N7444" t="str">
        <f t="shared" si="465"/>
        <v>Medium</v>
      </c>
      <c r="O7444" t="str">
        <f t="shared" si="466"/>
        <v>Zero Balance</v>
      </c>
      <c r="P7444" t="str">
        <f t="shared" si="467"/>
        <v>Mid-term</v>
      </c>
    </row>
    <row r="7445" spans="1:16" x14ac:dyDescent="0.25">
      <c r="A7445">
        <v>2025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  <c r="M7445" t="str">
        <f t="shared" si="464"/>
        <v>&lt;30</v>
      </c>
      <c r="N7445" t="str">
        <f t="shared" si="465"/>
        <v>Medium</v>
      </c>
      <c r="O7445" t="str">
        <f t="shared" si="466"/>
        <v>Low Balance</v>
      </c>
      <c r="P7445" t="str">
        <f t="shared" si="467"/>
        <v>New</v>
      </c>
    </row>
    <row r="7446" spans="1:16" x14ac:dyDescent="0.25">
      <c r="A7446">
        <v>2025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  <c r="M7446" t="str">
        <f t="shared" si="464"/>
        <v>&lt;30</v>
      </c>
      <c r="N7446" t="str">
        <f t="shared" si="465"/>
        <v>High</v>
      </c>
      <c r="O7446" t="str">
        <f t="shared" si="466"/>
        <v>Zero Balance</v>
      </c>
      <c r="P7446" t="str">
        <f t="shared" si="467"/>
        <v>Mid-term</v>
      </c>
    </row>
    <row r="7447" spans="1:16" x14ac:dyDescent="0.25">
      <c r="A7447">
        <v>2025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  <c r="M7447" t="str">
        <f t="shared" si="464"/>
        <v>30-45</v>
      </c>
      <c r="N7447" t="str">
        <f t="shared" si="465"/>
        <v>Medium</v>
      </c>
      <c r="O7447" t="str">
        <f t="shared" si="466"/>
        <v>Zero Balance</v>
      </c>
      <c r="P7447" t="str">
        <f t="shared" si="467"/>
        <v>Mid-term</v>
      </c>
    </row>
    <row r="7448" spans="1:16" x14ac:dyDescent="0.25">
      <c r="A7448">
        <v>2025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  <c r="M7448" t="str">
        <f t="shared" si="464"/>
        <v>30-45</v>
      </c>
      <c r="N7448" t="str">
        <f t="shared" si="465"/>
        <v>High</v>
      </c>
      <c r="O7448" t="str">
        <f t="shared" si="466"/>
        <v>Low Balance</v>
      </c>
      <c r="P7448" t="str">
        <f t="shared" si="467"/>
        <v>New</v>
      </c>
    </row>
    <row r="7449" spans="1:16" x14ac:dyDescent="0.25">
      <c r="A7449">
        <v>2025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  <c r="M7449" t="str">
        <f t="shared" si="464"/>
        <v>30-45</v>
      </c>
      <c r="N7449" t="str">
        <f t="shared" si="465"/>
        <v>Medium</v>
      </c>
      <c r="O7449" t="str">
        <f t="shared" si="466"/>
        <v>High Balance</v>
      </c>
      <c r="P7449" t="str">
        <f t="shared" si="467"/>
        <v>Long-term</v>
      </c>
    </row>
    <row r="7450" spans="1:16" x14ac:dyDescent="0.25">
      <c r="A7450">
        <v>2025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  <c r="M7450" t="str">
        <f t="shared" si="464"/>
        <v>30-45</v>
      </c>
      <c r="N7450" t="str">
        <f t="shared" si="465"/>
        <v>Medium</v>
      </c>
      <c r="O7450" t="str">
        <f t="shared" si="466"/>
        <v>High Balance</v>
      </c>
      <c r="P7450" t="str">
        <f t="shared" si="467"/>
        <v>Mid-term</v>
      </c>
    </row>
    <row r="7451" spans="1:16" x14ac:dyDescent="0.25">
      <c r="A7451">
        <v>2025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  <c r="M7451" t="str">
        <f t="shared" si="464"/>
        <v>30-45</v>
      </c>
      <c r="N7451" t="str">
        <f t="shared" si="465"/>
        <v>Medium</v>
      </c>
      <c r="O7451" t="str">
        <f t="shared" si="466"/>
        <v>High Balance</v>
      </c>
      <c r="P7451" t="str">
        <f t="shared" si="467"/>
        <v>New</v>
      </c>
    </row>
    <row r="7452" spans="1:16" x14ac:dyDescent="0.25">
      <c r="A7452">
        <v>2025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  <c r="M7452" t="str">
        <f t="shared" si="464"/>
        <v>30-45</v>
      </c>
      <c r="N7452" t="str">
        <f t="shared" si="465"/>
        <v>High</v>
      </c>
      <c r="O7452" t="str">
        <f t="shared" si="466"/>
        <v>High Balance</v>
      </c>
      <c r="P7452" t="str">
        <f t="shared" si="467"/>
        <v>Mid-term</v>
      </c>
    </row>
    <row r="7453" spans="1:16" x14ac:dyDescent="0.25">
      <c r="A7453">
        <v>2025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  <c r="M7453" t="str">
        <f t="shared" si="464"/>
        <v>&lt;30</v>
      </c>
      <c r="N7453" t="str">
        <f t="shared" si="465"/>
        <v>Medium</v>
      </c>
      <c r="O7453" t="str">
        <f t="shared" si="466"/>
        <v>Zero Balance</v>
      </c>
      <c r="P7453" t="str">
        <f t="shared" si="467"/>
        <v>Long-term</v>
      </c>
    </row>
    <row r="7454" spans="1:16" x14ac:dyDescent="0.25">
      <c r="A7454">
        <v>2025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  <c r="M7454" t="str">
        <f t="shared" si="464"/>
        <v>30-45</v>
      </c>
      <c r="N7454" t="str">
        <f t="shared" si="465"/>
        <v>Medium</v>
      </c>
      <c r="O7454" t="str">
        <f t="shared" si="466"/>
        <v>Zero Balance</v>
      </c>
      <c r="P7454" t="str">
        <f t="shared" si="467"/>
        <v>Long-term</v>
      </c>
    </row>
    <row r="7455" spans="1:16" x14ac:dyDescent="0.25">
      <c r="A7455">
        <v>2025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  <c r="M7455" t="str">
        <f t="shared" si="464"/>
        <v>30-45</v>
      </c>
      <c r="N7455" t="str">
        <f t="shared" si="465"/>
        <v>High</v>
      </c>
      <c r="O7455" t="str">
        <f t="shared" si="466"/>
        <v>High Balance</v>
      </c>
      <c r="P7455" t="str">
        <f t="shared" si="467"/>
        <v>New</v>
      </c>
    </row>
    <row r="7456" spans="1:16" x14ac:dyDescent="0.25">
      <c r="A7456">
        <v>2025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  <c r="M7456" t="str">
        <f t="shared" si="464"/>
        <v>46-60</v>
      </c>
      <c r="N7456" t="str">
        <f t="shared" si="465"/>
        <v>High</v>
      </c>
      <c r="O7456" t="str">
        <f t="shared" si="466"/>
        <v>Zero Balance</v>
      </c>
      <c r="P7456" t="str">
        <f t="shared" si="467"/>
        <v>New</v>
      </c>
    </row>
    <row r="7457" spans="1:16" x14ac:dyDescent="0.25">
      <c r="A7457">
        <v>2025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  <c r="M7457" t="str">
        <f t="shared" si="464"/>
        <v>30-45</v>
      </c>
      <c r="N7457" t="str">
        <f t="shared" si="465"/>
        <v>Medium</v>
      </c>
      <c r="O7457" t="str">
        <f t="shared" si="466"/>
        <v>High Balance</v>
      </c>
      <c r="P7457" t="str">
        <f t="shared" si="467"/>
        <v>Mid-term</v>
      </c>
    </row>
    <row r="7458" spans="1:16" x14ac:dyDescent="0.25">
      <c r="A7458">
        <v>2025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  <c r="M7458" t="str">
        <f t="shared" si="464"/>
        <v>&lt;30</v>
      </c>
      <c r="N7458" t="str">
        <f t="shared" si="465"/>
        <v>High</v>
      </c>
      <c r="O7458" t="str">
        <f t="shared" si="466"/>
        <v>Zero Balance</v>
      </c>
      <c r="P7458" t="str">
        <f t="shared" si="467"/>
        <v>Long-term</v>
      </c>
    </row>
    <row r="7459" spans="1:16" x14ac:dyDescent="0.25">
      <c r="A7459">
        <v>2025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  <c r="M7459" t="str">
        <f t="shared" si="464"/>
        <v>30-45</v>
      </c>
      <c r="N7459" t="str">
        <f t="shared" si="465"/>
        <v>Medium</v>
      </c>
      <c r="O7459" t="str">
        <f t="shared" si="466"/>
        <v>High Balance</v>
      </c>
      <c r="P7459" t="str">
        <f t="shared" si="467"/>
        <v>New</v>
      </c>
    </row>
    <row r="7460" spans="1:16" x14ac:dyDescent="0.25">
      <c r="A7460">
        <v>2025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  <c r="M7460" t="str">
        <f t="shared" si="464"/>
        <v>30-45</v>
      </c>
      <c r="N7460" t="str">
        <f t="shared" si="465"/>
        <v>High</v>
      </c>
      <c r="O7460" t="str">
        <f t="shared" si="466"/>
        <v>Zero Balance</v>
      </c>
      <c r="P7460" t="str">
        <f t="shared" si="467"/>
        <v>Mid-term</v>
      </c>
    </row>
    <row r="7461" spans="1:16" x14ac:dyDescent="0.25">
      <c r="A7461">
        <v>2025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  <c r="M7461" t="str">
        <f t="shared" si="464"/>
        <v>&lt;30</v>
      </c>
      <c r="N7461" t="str">
        <f t="shared" si="465"/>
        <v>Medium</v>
      </c>
      <c r="O7461" t="str">
        <f t="shared" si="466"/>
        <v>Zero Balance</v>
      </c>
      <c r="P7461" t="str">
        <f t="shared" si="467"/>
        <v>Mid-term</v>
      </c>
    </row>
    <row r="7462" spans="1:16" x14ac:dyDescent="0.25">
      <c r="A7462">
        <v>2025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  <c r="M7462" t="str">
        <f t="shared" si="464"/>
        <v>30-45</v>
      </c>
      <c r="N7462" t="str">
        <f t="shared" si="465"/>
        <v>Medium</v>
      </c>
      <c r="O7462" t="str">
        <f t="shared" si="466"/>
        <v>High Balance</v>
      </c>
      <c r="P7462" t="str">
        <f t="shared" si="467"/>
        <v>Mid-term</v>
      </c>
    </row>
    <row r="7463" spans="1:16" x14ac:dyDescent="0.25">
      <c r="A7463">
        <v>2025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  <c r="M7463" t="str">
        <f t="shared" si="464"/>
        <v>30-45</v>
      </c>
      <c r="N7463" t="str">
        <f t="shared" si="465"/>
        <v>Medium</v>
      </c>
      <c r="O7463" t="str">
        <f t="shared" si="466"/>
        <v>Zero Balance</v>
      </c>
      <c r="P7463" t="str">
        <f t="shared" si="467"/>
        <v>Mid-term</v>
      </c>
    </row>
    <row r="7464" spans="1:16" x14ac:dyDescent="0.25">
      <c r="A7464">
        <v>2025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  <c r="M7464" t="str">
        <f t="shared" si="464"/>
        <v>30-45</v>
      </c>
      <c r="N7464" t="str">
        <f t="shared" si="465"/>
        <v>Medium</v>
      </c>
      <c r="O7464" t="str">
        <f t="shared" si="466"/>
        <v>Zero Balance</v>
      </c>
      <c r="P7464" t="str">
        <f t="shared" si="467"/>
        <v>Long-term</v>
      </c>
    </row>
    <row r="7465" spans="1:16" x14ac:dyDescent="0.25">
      <c r="A7465">
        <v>2025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  <c r="M7465" t="str">
        <f t="shared" si="464"/>
        <v>30-45</v>
      </c>
      <c r="N7465" t="str">
        <f t="shared" si="465"/>
        <v>Medium</v>
      </c>
      <c r="O7465" t="str">
        <f t="shared" si="466"/>
        <v>High Balance</v>
      </c>
      <c r="P7465" t="str">
        <f t="shared" si="467"/>
        <v>New</v>
      </c>
    </row>
    <row r="7466" spans="1:16" x14ac:dyDescent="0.25">
      <c r="A7466">
        <v>2025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  <c r="M7466" t="str">
        <f t="shared" si="464"/>
        <v>30-45</v>
      </c>
      <c r="N7466" t="str">
        <f t="shared" si="465"/>
        <v>High</v>
      </c>
      <c r="O7466" t="str">
        <f t="shared" si="466"/>
        <v>High Balance</v>
      </c>
      <c r="P7466" t="str">
        <f t="shared" si="467"/>
        <v>Long-term</v>
      </c>
    </row>
    <row r="7467" spans="1:16" x14ac:dyDescent="0.25">
      <c r="A7467">
        <v>2025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  <c r="M7467" t="str">
        <f t="shared" si="464"/>
        <v>30-45</v>
      </c>
      <c r="N7467" t="str">
        <f t="shared" si="465"/>
        <v>Medium</v>
      </c>
      <c r="O7467" t="str">
        <f t="shared" si="466"/>
        <v>High Balance</v>
      </c>
      <c r="P7467" t="str">
        <f t="shared" si="467"/>
        <v>New</v>
      </c>
    </row>
    <row r="7468" spans="1:16" x14ac:dyDescent="0.25">
      <c r="A7468">
        <v>2025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  <c r="M7468" t="str">
        <f t="shared" si="464"/>
        <v>30-45</v>
      </c>
      <c r="N7468" t="str">
        <f t="shared" si="465"/>
        <v>High</v>
      </c>
      <c r="O7468" t="str">
        <f t="shared" si="466"/>
        <v>High Balance</v>
      </c>
      <c r="P7468" t="str">
        <f t="shared" si="467"/>
        <v>Mid-term</v>
      </c>
    </row>
    <row r="7469" spans="1:16" x14ac:dyDescent="0.25">
      <c r="A7469">
        <v>2025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  <c r="M7469" t="str">
        <f t="shared" si="464"/>
        <v>30-45</v>
      </c>
      <c r="N7469" t="str">
        <f t="shared" si="465"/>
        <v>Medium</v>
      </c>
      <c r="O7469" t="str">
        <f t="shared" si="466"/>
        <v>High Balance</v>
      </c>
      <c r="P7469" t="str">
        <f t="shared" si="467"/>
        <v>Long-term</v>
      </c>
    </row>
    <row r="7470" spans="1:16" x14ac:dyDescent="0.25">
      <c r="A7470">
        <v>2025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  <c r="M7470" t="str">
        <f t="shared" si="464"/>
        <v>&lt;30</v>
      </c>
      <c r="N7470" t="str">
        <f t="shared" si="465"/>
        <v>Medium</v>
      </c>
      <c r="O7470" t="str">
        <f t="shared" si="466"/>
        <v>Zero Balance</v>
      </c>
      <c r="P7470" t="str">
        <f t="shared" si="467"/>
        <v>New</v>
      </c>
    </row>
    <row r="7471" spans="1:16" x14ac:dyDescent="0.25">
      <c r="A7471">
        <v>2025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  <c r="M7471" t="str">
        <f t="shared" si="464"/>
        <v>30-45</v>
      </c>
      <c r="N7471" t="str">
        <f t="shared" si="465"/>
        <v>Medium</v>
      </c>
      <c r="O7471" t="str">
        <f t="shared" si="466"/>
        <v>High Balance</v>
      </c>
      <c r="P7471" t="str">
        <f t="shared" si="467"/>
        <v>Long-term</v>
      </c>
    </row>
    <row r="7472" spans="1:16" x14ac:dyDescent="0.25">
      <c r="A7472">
        <v>2025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  <c r="M7472" t="str">
        <f t="shared" si="464"/>
        <v>46-60</v>
      </c>
      <c r="N7472" t="str">
        <f t="shared" si="465"/>
        <v>High</v>
      </c>
      <c r="O7472" t="str">
        <f t="shared" si="466"/>
        <v>Low Balance</v>
      </c>
      <c r="P7472" t="str">
        <f t="shared" si="467"/>
        <v>Mid-term</v>
      </c>
    </row>
    <row r="7473" spans="1:16" x14ac:dyDescent="0.25">
      <c r="A7473">
        <v>2025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  <c r="M7473" t="str">
        <f t="shared" si="464"/>
        <v>46-60</v>
      </c>
      <c r="N7473" t="str">
        <f t="shared" si="465"/>
        <v>Medium</v>
      </c>
      <c r="O7473" t="str">
        <f t="shared" si="466"/>
        <v>High Balance</v>
      </c>
      <c r="P7473" t="str">
        <f t="shared" si="467"/>
        <v>Long-term</v>
      </c>
    </row>
    <row r="7474" spans="1:16" x14ac:dyDescent="0.25">
      <c r="A7474">
        <v>2025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  <c r="M7474" t="str">
        <f t="shared" si="464"/>
        <v>30-45</v>
      </c>
      <c r="N7474" t="str">
        <f t="shared" si="465"/>
        <v>Low</v>
      </c>
      <c r="O7474" t="str">
        <f t="shared" si="466"/>
        <v>Low Balance</v>
      </c>
      <c r="P7474" t="str">
        <f t="shared" si="467"/>
        <v>Mid-term</v>
      </c>
    </row>
    <row r="7475" spans="1:16" x14ac:dyDescent="0.25">
      <c r="A7475">
        <v>2025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  <c r="M7475" t="str">
        <f t="shared" si="464"/>
        <v>30-45</v>
      </c>
      <c r="N7475" t="str">
        <f t="shared" si="465"/>
        <v>Medium</v>
      </c>
      <c r="O7475" t="str">
        <f t="shared" si="466"/>
        <v>Low Balance</v>
      </c>
      <c r="P7475" t="str">
        <f t="shared" si="467"/>
        <v>Mid-term</v>
      </c>
    </row>
    <row r="7476" spans="1:16" x14ac:dyDescent="0.25">
      <c r="A7476">
        <v>2025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  <c r="M7476" t="str">
        <f t="shared" si="464"/>
        <v>46-60</v>
      </c>
      <c r="N7476" t="str">
        <f t="shared" si="465"/>
        <v>High</v>
      </c>
      <c r="O7476" t="str">
        <f t="shared" si="466"/>
        <v>High Balance</v>
      </c>
      <c r="P7476" t="str">
        <f t="shared" si="467"/>
        <v>Mid-term</v>
      </c>
    </row>
    <row r="7477" spans="1:16" x14ac:dyDescent="0.25">
      <c r="A7477">
        <v>2025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  <c r="M7477" t="str">
        <f t="shared" si="464"/>
        <v>30-45</v>
      </c>
      <c r="N7477" t="str">
        <f t="shared" si="465"/>
        <v>Medium</v>
      </c>
      <c r="O7477" t="str">
        <f t="shared" si="466"/>
        <v>High Balance</v>
      </c>
      <c r="P7477" t="str">
        <f t="shared" si="467"/>
        <v>New</v>
      </c>
    </row>
    <row r="7478" spans="1:16" x14ac:dyDescent="0.25">
      <c r="A7478">
        <v>2025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  <c r="M7478" t="str">
        <f t="shared" si="464"/>
        <v>30-45</v>
      </c>
      <c r="N7478" t="str">
        <f t="shared" si="465"/>
        <v>High</v>
      </c>
      <c r="O7478" t="str">
        <f t="shared" si="466"/>
        <v>High Balance</v>
      </c>
      <c r="P7478" t="str">
        <f t="shared" si="467"/>
        <v>New</v>
      </c>
    </row>
    <row r="7479" spans="1:16" x14ac:dyDescent="0.25">
      <c r="A7479">
        <v>2025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  <c r="M7479" t="str">
        <f t="shared" si="464"/>
        <v>46-60</v>
      </c>
      <c r="N7479" t="str">
        <f t="shared" si="465"/>
        <v>Medium</v>
      </c>
      <c r="O7479" t="str">
        <f t="shared" si="466"/>
        <v>High Balance</v>
      </c>
      <c r="P7479" t="str">
        <f t="shared" si="467"/>
        <v>New</v>
      </c>
    </row>
    <row r="7480" spans="1:16" x14ac:dyDescent="0.25">
      <c r="A7480">
        <v>2025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  <c r="M7480" t="str">
        <f t="shared" si="464"/>
        <v>&lt;30</v>
      </c>
      <c r="N7480" t="str">
        <f t="shared" si="465"/>
        <v>Medium</v>
      </c>
      <c r="O7480" t="str">
        <f t="shared" si="466"/>
        <v>Zero Balance</v>
      </c>
      <c r="P7480" t="str">
        <f t="shared" si="467"/>
        <v>Mid-term</v>
      </c>
    </row>
    <row r="7481" spans="1:16" x14ac:dyDescent="0.25">
      <c r="A7481">
        <v>2025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  <c r="M7481" t="str">
        <f t="shared" si="464"/>
        <v>30-45</v>
      </c>
      <c r="N7481" t="str">
        <f t="shared" si="465"/>
        <v>Medium</v>
      </c>
      <c r="O7481" t="str">
        <f t="shared" si="466"/>
        <v>High Balance</v>
      </c>
      <c r="P7481" t="str">
        <f t="shared" si="467"/>
        <v>Long-term</v>
      </c>
    </row>
    <row r="7482" spans="1:16" x14ac:dyDescent="0.25">
      <c r="A7482">
        <v>2025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  <c r="M7482" t="str">
        <f t="shared" si="464"/>
        <v>30-45</v>
      </c>
      <c r="N7482" t="str">
        <f t="shared" si="465"/>
        <v>Low</v>
      </c>
      <c r="O7482" t="str">
        <f t="shared" si="466"/>
        <v>High Balance</v>
      </c>
      <c r="P7482" t="str">
        <f t="shared" si="467"/>
        <v>Mid-term</v>
      </c>
    </row>
    <row r="7483" spans="1:16" x14ac:dyDescent="0.25">
      <c r="A7483">
        <v>2025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  <c r="M7483" t="str">
        <f t="shared" si="464"/>
        <v>30-45</v>
      </c>
      <c r="N7483" t="str">
        <f t="shared" si="465"/>
        <v>Medium</v>
      </c>
      <c r="O7483" t="str">
        <f t="shared" si="466"/>
        <v>High Balance</v>
      </c>
      <c r="P7483" t="str">
        <f t="shared" si="467"/>
        <v>Mid-term</v>
      </c>
    </row>
    <row r="7484" spans="1:16" x14ac:dyDescent="0.25">
      <c r="A7484">
        <v>2025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  <c r="M7484" t="str">
        <f t="shared" si="464"/>
        <v>30-45</v>
      </c>
      <c r="N7484" t="str">
        <f t="shared" si="465"/>
        <v>High</v>
      </c>
      <c r="O7484" t="str">
        <f t="shared" si="466"/>
        <v>High Balance</v>
      </c>
      <c r="P7484" t="str">
        <f t="shared" si="467"/>
        <v>Mid-term</v>
      </c>
    </row>
    <row r="7485" spans="1:16" x14ac:dyDescent="0.25">
      <c r="A7485">
        <v>2025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  <c r="M7485" t="str">
        <f t="shared" si="464"/>
        <v>30-45</v>
      </c>
      <c r="N7485" t="str">
        <f t="shared" si="465"/>
        <v>Medium</v>
      </c>
      <c r="O7485" t="str">
        <f t="shared" si="466"/>
        <v>High Balance</v>
      </c>
      <c r="P7485" t="str">
        <f t="shared" si="467"/>
        <v>Mid-term</v>
      </c>
    </row>
    <row r="7486" spans="1:16" x14ac:dyDescent="0.25">
      <c r="A7486">
        <v>2025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  <c r="M7486" t="str">
        <f t="shared" si="464"/>
        <v>30-45</v>
      </c>
      <c r="N7486" t="str">
        <f t="shared" si="465"/>
        <v>High</v>
      </c>
      <c r="O7486" t="str">
        <f t="shared" si="466"/>
        <v>Zero Balance</v>
      </c>
      <c r="P7486" t="str">
        <f t="shared" si="467"/>
        <v>Long-term</v>
      </c>
    </row>
    <row r="7487" spans="1:16" x14ac:dyDescent="0.25">
      <c r="A7487">
        <v>2025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  <c r="M7487" t="str">
        <f t="shared" si="464"/>
        <v>30-45</v>
      </c>
      <c r="N7487" t="str">
        <f t="shared" si="465"/>
        <v>Medium</v>
      </c>
      <c r="O7487" t="str">
        <f t="shared" si="466"/>
        <v>Zero Balance</v>
      </c>
      <c r="P7487" t="str">
        <f t="shared" si="467"/>
        <v>Mid-term</v>
      </c>
    </row>
    <row r="7488" spans="1:16" x14ac:dyDescent="0.25">
      <c r="A7488">
        <v>2025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  <c r="M7488" t="str">
        <f t="shared" si="464"/>
        <v>46-60</v>
      </c>
      <c r="N7488" t="str">
        <f t="shared" si="465"/>
        <v>High</v>
      </c>
      <c r="O7488" t="str">
        <f t="shared" si="466"/>
        <v>Zero Balance</v>
      </c>
      <c r="P7488" t="str">
        <f t="shared" si="467"/>
        <v>Long-term</v>
      </c>
    </row>
    <row r="7489" spans="1:16" x14ac:dyDescent="0.25">
      <c r="A7489">
        <v>2025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  <c r="M7489" t="str">
        <f t="shared" si="464"/>
        <v>46-60</v>
      </c>
      <c r="N7489" t="str">
        <f t="shared" si="465"/>
        <v>Medium</v>
      </c>
      <c r="O7489" t="str">
        <f t="shared" si="466"/>
        <v>Zero Balance</v>
      </c>
      <c r="P7489" t="str">
        <f t="shared" si="467"/>
        <v>Mid-term</v>
      </c>
    </row>
    <row r="7490" spans="1:16" x14ac:dyDescent="0.25">
      <c r="A7490">
        <v>2025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  <c r="M7490" t="str">
        <f t="shared" si="464"/>
        <v>30-45</v>
      </c>
      <c r="N7490" t="str">
        <f t="shared" si="465"/>
        <v>Medium</v>
      </c>
      <c r="O7490" t="str">
        <f t="shared" si="466"/>
        <v>Low Balance</v>
      </c>
      <c r="P7490" t="str">
        <f t="shared" si="467"/>
        <v>Mid-term</v>
      </c>
    </row>
    <row r="7491" spans="1:16" x14ac:dyDescent="0.25">
      <c r="A7491">
        <v>2025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  <c r="M7491" t="str">
        <f t="shared" ref="M7491:M7554" si="468">IF(E7491&lt;30,"&lt;30",IF(E7491&lt;=45,"30-45",IF(E7491&lt;=60,"46-60","60+")))</f>
        <v>&lt;30</v>
      </c>
      <c r="N7491" t="str">
        <f t="shared" ref="N7491:N7554" si="469">IF(B7491&lt;500,"Low",IF(B7491&lt;700,"Medium","High"))</f>
        <v>Medium</v>
      </c>
      <c r="O7491" t="str">
        <f t="shared" ref="O7491:O7554" si="470">IF(G7491=0,"Zero Balance",IF(G7491&lt;100000,"Low Balance","High Balance"))</f>
        <v>High Balance</v>
      </c>
      <c r="P7491" t="str">
        <f t="shared" ref="P7491:P7554" si="471">IF(F7491&lt;=3,"New",IF(F7491&lt;=7,"Mid-term","Long-term"))</f>
        <v>Mid-term</v>
      </c>
    </row>
    <row r="7492" spans="1:16" x14ac:dyDescent="0.25">
      <c r="A7492">
        <v>2025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  <c r="M7492" t="str">
        <f t="shared" si="468"/>
        <v>30-45</v>
      </c>
      <c r="N7492" t="str">
        <f t="shared" si="469"/>
        <v>Medium</v>
      </c>
      <c r="O7492" t="str">
        <f t="shared" si="470"/>
        <v>Low Balance</v>
      </c>
      <c r="P7492" t="str">
        <f t="shared" si="471"/>
        <v>New</v>
      </c>
    </row>
    <row r="7493" spans="1:16" x14ac:dyDescent="0.25">
      <c r="A7493">
        <v>2025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  <c r="M7493" t="str">
        <f t="shared" si="468"/>
        <v>30-45</v>
      </c>
      <c r="N7493" t="str">
        <f t="shared" si="469"/>
        <v>Medium</v>
      </c>
      <c r="O7493" t="str">
        <f t="shared" si="470"/>
        <v>Low Balance</v>
      </c>
      <c r="P7493" t="str">
        <f t="shared" si="471"/>
        <v>Mid-term</v>
      </c>
    </row>
    <row r="7494" spans="1:16" x14ac:dyDescent="0.25">
      <c r="A7494">
        <v>2025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  <c r="M7494" t="str">
        <f t="shared" si="468"/>
        <v>&lt;30</v>
      </c>
      <c r="N7494" t="str">
        <f t="shared" si="469"/>
        <v>Medium</v>
      </c>
      <c r="O7494" t="str">
        <f t="shared" si="470"/>
        <v>High Balance</v>
      </c>
      <c r="P7494" t="str">
        <f t="shared" si="471"/>
        <v>Long-term</v>
      </c>
    </row>
    <row r="7495" spans="1:16" x14ac:dyDescent="0.25">
      <c r="A7495">
        <v>2025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  <c r="M7495" t="str">
        <f t="shared" si="468"/>
        <v>30-45</v>
      </c>
      <c r="N7495" t="str">
        <f t="shared" si="469"/>
        <v>Medium</v>
      </c>
      <c r="O7495" t="str">
        <f t="shared" si="470"/>
        <v>High Balance</v>
      </c>
      <c r="P7495" t="str">
        <f t="shared" si="471"/>
        <v>Long-term</v>
      </c>
    </row>
    <row r="7496" spans="1:16" x14ac:dyDescent="0.25">
      <c r="A7496">
        <v>2025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  <c r="M7496" t="str">
        <f t="shared" si="468"/>
        <v>30-45</v>
      </c>
      <c r="N7496" t="str">
        <f t="shared" si="469"/>
        <v>High</v>
      </c>
      <c r="O7496" t="str">
        <f t="shared" si="470"/>
        <v>High Balance</v>
      </c>
      <c r="P7496" t="str">
        <f t="shared" si="471"/>
        <v>New</v>
      </c>
    </row>
    <row r="7497" spans="1:16" x14ac:dyDescent="0.25">
      <c r="A7497">
        <v>2025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  <c r="M7497" t="str">
        <f t="shared" si="468"/>
        <v>&lt;30</v>
      </c>
      <c r="N7497" t="str">
        <f t="shared" si="469"/>
        <v>Medium</v>
      </c>
      <c r="O7497" t="str">
        <f t="shared" si="470"/>
        <v>Zero Balance</v>
      </c>
      <c r="P7497" t="str">
        <f t="shared" si="471"/>
        <v>New</v>
      </c>
    </row>
    <row r="7498" spans="1:16" x14ac:dyDescent="0.25">
      <c r="A7498">
        <v>2025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  <c r="M7498" t="str">
        <f t="shared" si="468"/>
        <v>46-60</v>
      </c>
      <c r="N7498" t="str">
        <f t="shared" si="469"/>
        <v>High</v>
      </c>
      <c r="O7498" t="str">
        <f t="shared" si="470"/>
        <v>High Balance</v>
      </c>
      <c r="P7498" t="str">
        <f t="shared" si="471"/>
        <v>Long-term</v>
      </c>
    </row>
    <row r="7499" spans="1:16" x14ac:dyDescent="0.25">
      <c r="A7499">
        <v>2025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  <c r="M7499" t="str">
        <f t="shared" si="468"/>
        <v>&lt;30</v>
      </c>
      <c r="N7499" t="str">
        <f t="shared" si="469"/>
        <v>Medium</v>
      </c>
      <c r="O7499" t="str">
        <f t="shared" si="470"/>
        <v>Zero Balance</v>
      </c>
      <c r="P7499" t="str">
        <f t="shared" si="471"/>
        <v>Mid-term</v>
      </c>
    </row>
    <row r="7500" spans="1:16" x14ac:dyDescent="0.25">
      <c r="A7500">
        <v>2025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  <c r="M7500" t="str">
        <f t="shared" si="468"/>
        <v>30-45</v>
      </c>
      <c r="N7500" t="str">
        <f t="shared" si="469"/>
        <v>Medium</v>
      </c>
      <c r="O7500" t="str">
        <f t="shared" si="470"/>
        <v>High Balance</v>
      </c>
      <c r="P7500" t="str">
        <f t="shared" si="471"/>
        <v>Long-term</v>
      </c>
    </row>
    <row r="7501" spans="1:16" x14ac:dyDescent="0.25">
      <c r="A7501">
        <v>2025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  <c r="M7501" t="str">
        <f t="shared" si="468"/>
        <v>60+</v>
      </c>
      <c r="N7501" t="str">
        <f t="shared" si="469"/>
        <v>Medium</v>
      </c>
      <c r="O7501" t="str">
        <f t="shared" si="470"/>
        <v>High Balance</v>
      </c>
      <c r="P7501" t="str">
        <f t="shared" si="471"/>
        <v>Mid-term</v>
      </c>
    </row>
    <row r="7502" spans="1:16" x14ac:dyDescent="0.25">
      <c r="A7502">
        <v>2025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  <c r="M7502" t="str">
        <f t="shared" si="468"/>
        <v>46-60</v>
      </c>
      <c r="N7502" t="str">
        <f t="shared" si="469"/>
        <v>Medium</v>
      </c>
      <c r="O7502" t="str">
        <f t="shared" si="470"/>
        <v>Zero Balance</v>
      </c>
      <c r="P7502" t="str">
        <f t="shared" si="471"/>
        <v>Mid-term</v>
      </c>
    </row>
    <row r="7503" spans="1:16" x14ac:dyDescent="0.25">
      <c r="A7503">
        <v>2025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  <c r="M7503" t="str">
        <f t="shared" si="468"/>
        <v>46-60</v>
      </c>
      <c r="N7503" t="str">
        <f t="shared" si="469"/>
        <v>Medium</v>
      </c>
      <c r="O7503" t="str">
        <f t="shared" si="470"/>
        <v>Low Balance</v>
      </c>
      <c r="P7503" t="str">
        <f t="shared" si="471"/>
        <v>Long-term</v>
      </c>
    </row>
    <row r="7504" spans="1:16" x14ac:dyDescent="0.25">
      <c r="A7504">
        <v>2025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  <c r="M7504" t="str">
        <f t="shared" si="468"/>
        <v>30-45</v>
      </c>
      <c r="N7504" t="str">
        <f t="shared" si="469"/>
        <v>High</v>
      </c>
      <c r="O7504" t="str">
        <f t="shared" si="470"/>
        <v>Zero Balance</v>
      </c>
      <c r="P7504" t="str">
        <f t="shared" si="471"/>
        <v>Long-term</v>
      </c>
    </row>
    <row r="7505" spans="1:16" x14ac:dyDescent="0.25">
      <c r="A7505">
        <v>2025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  <c r="M7505" t="str">
        <f t="shared" si="468"/>
        <v>30-45</v>
      </c>
      <c r="N7505" t="str">
        <f t="shared" si="469"/>
        <v>Medium</v>
      </c>
      <c r="O7505" t="str">
        <f t="shared" si="470"/>
        <v>High Balance</v>
      </c>
      <c r="P7505" t="str">
        <f t="shared" si="471"/>
        <v>Mid-term</v>
      </c>
    </row>
    <row r="7506" spans="1:16" x14ac:dyDescent="0.25">
      <c r="A7506">
        <v>2025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  <c r="M7506" t="str">
        <f t="shared" si="468"/>
        <v>30-45</v>
      </c>
      <c r="N7506" t="str">
        <f t="shared" si="469"/>
        <v>Medium</v>
      </c>
      <c r="O7506" t="str">
        <f t="shared" si="470"/>
        <v>Zero Balance</v>
      </c>
      <c r="P7506" t="str">
        <f t="shared" si="471"/>
        <v>New</v>
      </c>
    </row>
    <row r="7507" spans="1:16" x14ac:dyDescent="0.25">
      <c r="A7507">
        <v>2025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  <c r="M7507" t="str">
        <f t="shared" si="468"/>
        <v>&lt;30</v>
      </c>
      <c r="N7507" t="str">
        <f t="shared" si="469"/>
        <v>Medium</v>
      </c>
      <c r="O7507" t="str">
        <f t="shared" si="470"/>
        <v>Zero Balance</v>
      </c>
      <c r="P7507" t="str">
        <f t="shared" si="471"/>
        <v>Mid-term</v>
      </c>
    </row>
    <row r="7508" spans="1:16" x14ac:dyDescent="0.25">
      <c r="A7508">
        <v>2025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  <c r="M7508" t="str">
        <f t="shared" si="468"/>
        <v>30-45</v>
      </c>
      <c r="N7508" t="str">
        <f t="shared" si="469"/>
        <v>Medium</v>
      </c>
      <c r="O7508" t="str">
        <f t="shared" si="470"/>
        <v>High Balance</v>
      </c>
      <c r="P7508" t="str">
        <f t="shared" si="471"/>
        <v>Mid-term</v>
      </c>
    </row>
    <row r="7509" spans="1:16" x14ac:dyDescent="0.25">
      <c r="A7509">
        <v>2025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  <c r="M7509" t="str">
        <f t="shared" si="468"/>
        <v>30-45</v>
      </c>
      <c r="N7509" t="str">
        <f t="shared" si="469"/>
        <v>Medium</v>
      </c>
      <c r="O7509" t="str">
        <f t="shared" si="470"/>
        <v>High Balance</v>
      </c>
      <c r="P7509" t="str">
        <f t="shared" si="471"/>
        <v>Long-term</v>
      </c>
    </row>
    <row r="7510" spans="1:16" x14ac:dyDescent="0.25">
      <c r="A7510">
        <v>2025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  <c r="M7510" t="str">
        <f t="shared" si="468"/>
        <v>46-60</v>
      </c>
      <c r="N7510" t="str">
        <f t="shared" si="469"/>
        <v>Medium</v>
      </c>
      <c r="O7510" t="str">
        <f t="shared" si="470"/>
        <v>High Balance</v>
      </c>
      <c r="P7510" t="str">
        <f t="shared" si="471"/>
        <v>Mid-term</v>
      </c>
    </row>
    <row r="7511" spans="1:16" x14ac:dyDescent="0.25">
      <c r="A7511">
        <v>2025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  <c r="M7511" t="str">
        <f t="shared" si="468"/>
        <v>30-45</v>
      </c>
      <c r="N7511" t="str">
        <f t="shared" si="469"/>
        <v>Medium</v>
      </c>
      <c r="O7511" t="str">
        <f t="shared" si="470"/>
        <v>Low Balance</v>
      </c>
      <c r="P7511" t="str">
        <f t="shared" si="471"/>
        <v>Long-term</v>
      </c>
    </row>
    <row r="7512" spans="1:16" x14ac:dyDescent="0.25">
      <c r="A7512">
        <v>2025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  <c r="M7512" t="str">
        <f t="shared" si="468"/>
        <v>30-45</v>
      </c>
      <c r="N7512" t="str">
        <f t="shared" si="469"/>
        <v>High</v>
      </c>
      <c r="O7512" t="str">
        <f t="shared" si="470"/>
        <v>Zero Balance</v>
      </c>
      <c r="P7512" t="str">
        <f t="shared" si="471"/>
        <v>New</v>
      </c>
    </row>
    <row r="7513" spans="1:16" x14ac:dyDescent="0.25">
      <c r="A7513">
        <v>2025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  <c r="M7513" t="str">
        <f t="shared" si="468"/>
        <v>30-45</v>
      </c>
      <c r="N7513" t="str">
        <f t="shared" si="469"/>
        <v>High</v>
      </c>
      <c r="O7513" t="str">
        <f t="shared" si="470"/>
        <v>Zero Balance</v>
      </c>
      <c r="P7513" t="str">
        <f t="shared" si="471"/>
        <v>New</v>
      </c>
    </row>
    <row r="7514" spans="1:16" x14ac:dyDescent="0.25">
      <c r="A7514">
        <v>2025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  <c r="M7514" t="str">
        <f t="shared" si="468"/>
        <v>46-60</v>
      </c>
      <c r="N7514" t="str">
        <f t="shared" si="469"/>
        <v>Medium</v>
      </c>
      <c r="O7514" t="str">
        <f t="shared" si="470"/>
        <v>High Balance</v>
      </c>
      <c r="P7514" t="str">
        <f t="shared" si="471"/>
        <v>Mid-term</v>
      </c>
    </row>
    <row r="7515" spans="1:16" x14ac:dyDescent="0.25">
      <c r="A7515">
        <v>2025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  <c r="M7515" t="str">
        <f t="shared" si="468"/>
        <v>&lt;30</v>
      </c>
      <c r="N7515" t="str">
        <f t="shared" si="469"/>
        <v>High</v>
      </c>
      <c r="O7515" t="str">
        <f t="shared" si="470"/>
        <v>Zero Balance</v>
      </c>
      <c r="P7515" t="str">
        <f t="shared" si="471"/>
        <v>New</v>
      </c>
    </row>
    <row r="7516" spans="1:16" x14ac:dyDescent="0.25">
      <c r="A7516">
        <v>2025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  <c r="M7516" t="str">
        <f t="shared" si="468"/>
        <v>60+</v>
      </c>
      <c r="N7516" t="str">
        <f t="shared" si="469"/>
        <v>Medium</v>
      </c>
      <c r="O7516" t="str">
        <f t="shared" si="470"/>
        <v>High Balance</v>
      </c>
      <c r="P7516" t="str">
        <f t="shared" si="471"/>
        <v>Long-term</v>
      </c>
    </row>
    <row r="7517" spans="1:16" x14ac:dyDescent="0.25">
      <c r="A7517">
        <v>2025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  <c r="M7517" t="str">
        <f t="shared" si="468"/>
        <v>30-45</v>
      </c>
      <c r="N7517" t="str">
        <f t="shared" si="469"/>
        <v>Medium</v>
      </c>
      <c r="O7517" t="str">
        <f t="shared" si="470"/>
        <v>High Balance</v>
      </c>
      <c r="P7517" t="str">
        <f t="shared" si="471"/>
        <v>New</v>
      </c>
    </row>
    <row r="7518" spans="1:16" x14ac:dyDescent="0.25">
      <c r="A7518">
        <v>2025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  <c r="M7518" t="str">
        <f t="shared" si="468"/>
        <v>30-45</v>
      </c>
      <c r="N7518" t="str">
        <f t="shared" si="469"/>
        <v>Medium</v>
      </c>
      <c r="O7518" t="str">
        <f t="shared" si="470"/>
        <v>Low Balance</v>
      </c>
      <c r="P7518" t="str">
        <f t="shared" si="471"/>
        <v>Long-term</v>
      </c>
    </row>
    <row r="7519" spans="1:16" x14ac:dyDescent="0.25">
      <c r="A7519">
        <v>2025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  <c r="M7519" t="str">
        <f t="shared" si="468"/>
        <v>46-60</v>
      </c>
      <c r="N7519" t="str">
        <f t="shared" si="469"/>
        <v>Medium</v>
      </c>
      <c r="O7519" t="str">
        <f t="shared" si="470"/>
        <v>High Balance</v>
      </c>
      <c r="P7519" t="str">
        <f t="shared" si="471"/>
        <v>Mid-term</v>
      </c>
    </row>
    <row r="7520" spans="1:16" x14ac:dyDescent="0.25">
      <c r="A7520">
        <v>2025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  <c r="M7520" t="str">
        <f t="shared" si="468"/>
        <v>30-45</v>
      </c>
      <c r="N7520" t="str">
        <f t="shared" si="469"/>
        <v>Medium</v>
      </c>
      <c r="O7520" t="str">
        <f t="shared" si="470"/>
        <v>High Balance</v>
      </c>
      <c r="P7520" t="str">
        <f t="shared" si="471"/>
        <v>New</v>
      </c>
    </row>
    <row r="7521" spans="1:16" x14ac:dyDescent="0.25">
      <c r="A7521">
        <v>2025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  <c r="M7521" t="str">
        <f t="shared" si="468"/>
        <v>30-45</v>
      </c>
      <c r="N7521" t="str">
        <f t="shared" si="469"/>
        <v>Medium</v>
      </c>
      <c r="O7521" t="str">
        <f t="shared" si="470"/>
        <v>Zero Balance</v>
      </c>
      <c r="P7521" t="str">
        <f t="shared" si="471"/>
        <v>Mid-term</v>
      </c>
    </row>
    <row r="7522" spans="1:16" x14ac:dyDescent="0.25">
      <c r="A7522">
        <v>2025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  <c r="M7522" t="str">
        <f t="shared" si="468"/>
        <v>&lt;30</v>
      </c>
      <c r="N7522" t="str">
        <f t="shared" si="469"/>
        <v>Medium</v>
      </c>
      <c r="O7522" t="str">
        <f t="shared" si="470"/>
        <v>High Balance</v>
      </c>
      <c r="P7522" t="str">
        <f t="shared" si="471"/>
        <v>Long-term</v>
      </c>
    </row>
    <row r="7523" spans="1:16" x14ac:dyDescent="0.25">
      <c r="A7523">
        <v>2025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  <c r="M7523" t="str">
        <f t="shared" si="468"/>
        <v>30-45</v>
      </c>
      <c r="N7523" t="str">
        <f t="shared" si="469"/>
        <v>Medium</v>
      </c>
      <c r="O7523" t="str">
        <f t="shared" si="470"/>
        <v>Low Balance</v>
      </c>
      <c r="P7523" t="str">
        <f t="shared" si="471"/>
        <v>New</v>
      </c>
    </row>
    <row r="7524" spans="1:16" x14ac:dyDescent="0.25">
      <c r="A7524">
        <v>2025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  <c r="M7524" t="str">
        <f t="shared" si="468"/>
        <v>30-45</v>
      </c>
      <c r="N7524" t="str">
        <f t="shared" si="469"/>
        <v>Medium</v>
      </c>
      <c r="O7524" t="str">
        <f t="shared" si="470"/>
        <v>Zero Balance</v>
      </c>
      <c r="P7524" t="str">
        <f t="shared" si="471"/>
        <v>Mid-term</v>
      </c>
    </row>
    <row r="7525" spans="1:16" x14ac:dyDescent="0.25">
      <c r="A7525">
        <v>2025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  <c r="M7525" t="str">
        <f t="shared" si="468"/>
        <v>60+</v>
      </c>
      <c r="N7525" t="str">
        <f t="shared" si="469"/>
        <v>High</v>
      </c>
      <c r="O7525" t="str">
        <f t="shared" si="470"/>
        <v>Zero Balance</v>
      </c>
      <c r="P7525" t="str">
        <f t="shared" si="471"/>
        <v>New</v>
      </c>
    </row>
    <row r="7526" spans="1:16" x14ac:dyDescent="0.25">
      <c r="A7526">
        <v>2025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  <c r="M7526" t="str">
        <f t="shared" si="468"/>
        <v>30-45</v>
      </c>
      <c r="N7526" t="str">
        <f t="shared" si="469"/>
        <v>Medium</v>
      </c>
      <c r="O7526" t="str">
        <f t="shared" si="470"/>
        <v>High Balance</v>
      </c>
      <c r="P7526" t="str">
        <f t="shared" si="471"/>
        <v>Long-term</v>
      </c>
    </row>
    <row r="7527" spans="1:16" x14ac:dyDescent="0.25">
      <c r="A7527">
        <v>2025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  <c r="M7527" t="str">
        <f t="shared" si="468"/>
        <v>30-45</v>
      </c>
      <c r="N7527" t="str">
        <f t="shared" si="469"/>
        <v>Medium</v>
      </c>
      <c r="O7527" t="str">
        <f t="shared" si="470"/>
        <v>High Balance</v>
      </c>
      <c r="P7527" t="str">
        <f t="shared" si="471"/>
        <v>Long-term</v>
      </c>
    </row>
    <row r="7528" spans="1:16" x14ac:dyDescent="0.25">
      <c r="A7528">
        <v>2025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  <c r="M7528" t="str">
        <f t="shared" si="468"/>
        <v>60+</v>
      </c>
      <c r="N7528" t="str">
        <f t="shared" si="469"/>
        <v>High</v>
      </c>
      <c r="O7528" t="str">
        <f t="shared" si="470"/>
        <v>Zero Balance</v>
      </c>
      <c r="P7528" t="str">
        <f t="shared" si="471"/>
        <v>New</v>
      </c>
    </row>
    <row r="7529" spans="1:16" x14ac:dyDescent="0.25">
      <c r="A7529">
        <v>2025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  <c r="M7529" t="str">
        <f t="shared" si="468"/>
        <v>30-45</v>
      </c>
      <c r="N7529" t="str">
        <f t="shared" si="469"/>
        <v>Medium</v>
      </c>
      <c r="O7529" t="str">
        <f t="shared" si="470"/>
        <v>Zero Balance</v>
      </c>
      <c r="P7529" t="str">
        <f t="shared" si="471"/>
        <v>New</v>
      </c>
    </row>
    <row r="7530" spans="1:16" x14ac:dyDescent="0.25">
      <c r="A7530">
        <v>2025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  <c r="M7530" t="str">
        <f t="shared" si="468"/>
        <v>46-60</v>
      </c>
      <c r="N7530" t="str">
        <f t="shared" si="469"/>
        <v>Medium</v>
      </c>
      <c r="O7530" t="str">
        <f t="shared" si="470"/>
        <v>High Balance</v>
      </c>
      <c r="P7530" t="str">
        <f t="shared" si="471"/>
        <v>Mid-term</v>
      </c>
    </row>
    <row r="7531" spans="1:16" x14ac:dyDescent="0.25">
      <c r="A7531">
        <v>2025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  <c r="M7531" t="str">
        <f t="shared" si="468"/>
        <v>30-45</v>
      </c>
      <c r="N7531" t="str">
        <f t="shared" si="469"/>
        <v>Medium</v>
      </c>
      <c r="O7531" t="str">
        <f t="shared" si="470"/>
        <v>High Balance</v>
      </c>
      <c r="P7531" t="str">
        <f t="shared" si="471"/>
        <v>New</v>
      </c>
    </row>
    <row r="7532" spans="1:16" x14ac:dyDescent="0.25">
      <c r="A7532">
        <v>2025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  <c r="M7532" t="str">
        <f t="shared" si="468"/>
        <v>46-60</v>
      </c>
      <c r="N7532" t="str">
        <f t="shared" si="469"/>
        <v>High</v>
      </c>
      <c r="O7532" t="str">
        <f t="shared" si="470"/>
        <v>High Balance</v>
      </c>
      <c r="P7532" t="str">
        <f t="shared" si="471"/>
        <v>Long-term</v>
      </c>
    </row>
    <row r="7533" spans="1:16" x14ac:dyDescent="0.25">
      <c r="A7533">
        <v>2025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  <c r="M7533" t="str">
        <f t="shared" si="468"/>
        <v>30-45</v>
      </c>
      <c r="N7533" t="str">
        <f t="shared" si="469"/>
        <v>Medium</v>
      </c>
      <c r="O7533" t="str">
        <f t="shared" si="470"/>
        <v>High Balance</v>
      </c>
      <c r="P7533" t="str">
        <f t="shared" si="471"/>
        <v>Mid-term</v>
      </c>
    </row>
    <row r="7534" spans="1:16" x14ac:dyDescent="0.25">
      <c r="A7534">
        <v>2025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  <c r="M7534" t="str">
        <f t="shared" si="468"/>
        <v>30-45</v>
      </c>
      <c r="N7534" t="str">
        <f t="shared" si="469"/>
        <v>High</v>
      </c>
      <c r="O7534" t="str">
        <f t="shared" si="470"/>
        <v>High Balance</v>
      </c>
      <c r="P7534" t="str">
        <f t="shared" si="471"/>
        <v>New</v>
      </c>
    </row>
    <row r="7535" spans="1:16" x14ac:dyDescent="0.25">
      <c r="A7535">
        <v>2025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  <c r="M7535" t="str">
        <f t="shared" si="468"/>
        <v>46-60</v>
      </c>
      <c r="N7535" t="str">
        <f t="shared" si="469"/>
        <v>Medium</v>
      </c>
      <c r="O7535" t="str">
        <f t="shared" si="470"/>
        <v>High Balance</v>
      </c>
      <c r="P7535" t="str">
        <f t="shared" si="471"/>
        <v>New</v>
      </c>
    </row>
    <row r="7536" spans="1:16" x14ac:dyDescent="0.25">
      <c r="A7536">
        <v>2025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  <c r="M7536" t="str">
        <f t="shared" si="468"/>
        <v>30-45</v>
      </c>
      <c r="N7536" t="str">
        <f t="shared" si="469"/>
        <v>High</v>
      </c>
      <c r="O7536" t="str">
        <f t="shared" si="470"/>
        <v>Zero Balance</v>
      </c>
      <c r="P7536" t="str">
        <f t="shared" si="471"/>
        <v>New</v>
      </c>
    </row>
    <row r="7537" spans="1:16" x14ac:dyDescent="0.25">
      <c r="A7537">
        <v>2025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  <c r="M7537" t="str">
        <f t="shared" si="468"/>
        <v>30-45</v>
      </c>
      <c r="N7537" t="str">
        <f t="shared" si="469"/>
        <v>Medium</v>
      </c>
      <c r="O7537" t="str">
        <f t="shared" si="470"/>
        <v>High Balance</v>
      </c>
      <c r="P7537" t="str">
        <f t="shared" si="471"/>
        <v>Long-term</v>
      </c>
    </row>
    <row r="7538" spans="1:16" x14ac:dyDescent="0.25">
      <c r="A7538">
        <v>2025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  <c r="M7538" t="str">
        <f t="shared" si="468"/>
        <v>30-45</v>
      </c>
      <c r="N7538" t="str">
        <f t="shared" si="469"/>
        <v>Medium</v>
      </c>
      <c r="O7538" t="str">
        <f t="shared" si="470"/>
        <v>Zero Balance</v>
      </c>
      <c r="P7538" t="str">
        <f t="shared" si="471"/>
        <v>New</v>
      </c>
    </row>
    <row r="7539" spans="1:16" x14ac:dyDescent="0.25">
      <c r="A7539">
        <v>2025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  <c r="M7539" t="str">
        <f t="shared" si="468"/>
        <v>30-45</v>
      </c>
      <c r="N7539" t="str">
        <f t="shared" si="469"/>
        <v>Medium</v>
      </c>
      <c r="O7539" t="str">
        <f t="shared" si="470"/>
        <v>Zero Balance</v>
      </c>
      <c r="P7539" t="str">
        <f t="shared" si="471"/>
        <v>Mid-term</v>
      </c>
    </row>
    <row r="7540" spans="1:16" x14ac:dyDescent="0.25">
      <c r="A7540">
        <v>2025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  <c r="M7540" t="str">
        <f t="shared" si="468"/>
        <v>&lt;30</v>
      </c>
      <c r="N7540" t="str">
        <f t="shared" si="469"/>
        <v>Medium</v>
      </c>
      <c r="O7540" t="str">
        <f t="shared" si="470"/>
        <v>Zero Balance</v>
      </c>
      <c r="P7540" t="str">
        <f t="shared" si="471"/>
        <v>Mid-term</v>
      </c>
    </row>
    <row r="7541" spans="1:16" x14ac:dyDescent="0.25">
      <c r="A7541">
        <v>2025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  <c r="M7541" t="str">
        <f t="shared" si="468"/>
        <v>30-45</v>
      </c>
      <c r="N7541" t="str">
        <f t="shared" si="469"/>
        <v>High</v>
      </c>
      <c r="O7541" t="str">
        <f t="shared" si="470"/>
        <v>High Balance</v>
      </c>
      <c r="P7541" t="str">
        <f t="shared" si="471"/>
        <v>New</v>
      </c>
    </row>
    <row r="7542" spans="1:16" x14ac:dyDescent="0.25">
      <c r="A7542">
        <v>2025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  <c r="M7542" t="str">
        <f t="shared" si="468"/>
        <v>30-45</v>
      </c>
      <c r="N7542" t="str">
        <f t="shared" si="469"/>
        <v>Medium</v>
      </c>
      <c r="O7542" t="str">
        <f t="shared" si="470"/>
        <v>Zero Balance</v>
      </c>
      <c r="P7542" t="str">
        <f t="shared" si="471"/>
        <v>New</v>
      </c>
    </row>
    <row r="7543" spans="1:16" x14ac:dyDescent="0.25">
      <c r="A7543">
        <v>2025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  <c r="M7543" t="str">
        <f t="shared" si="468"/>
        <v>&lt;30</v>
      </c>
      <c r="N7543" t="str">
        <f t="shared" si="469"/>
        <v>High</v>
      </c>
      <c r="O7543" t="str">
        <f t="shared" si="470"/>
        <v>Zero Balance</v>
      </c>
      <c r="P7543" t="str">
        <f t="shared" si="471"/>
        <v>Mid-term</v>
      </c>
    </row>
    <row r="7544" spans="1:16" x14ac:dyDescent="0.25">
      <c r="A7544">
        <v>2025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  <c r="M7544" t="str">
        <f t="shared" si="468"/>
        <v>30-45</v>
      </c>
      <c r="N7544" t="str">
        <f t="shared" si="469"/>
        <v>Medium</v>
      </c>
      <c r="O7544" t="str">
        <f t="shared" si="470"/>
        <v>Zero Balance</v>
      </c>
      <c r="P7544" t="str">
        <f t="shared" si="471"/>
        <v>Mid-term</v>
      </c>
    </row>
    <row r="7545" spans="1:16" x14ac:dyDescent="0.25">
      <c r="A7545">
        <v>2025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  <c r="M7545" t="str">
        <f t="shared" si="468"/>
        <v>30-45</v>
      </c>
      <c r="N7545" t="str">
        <f t="shared" si="469"/>
        <v>High</v>
      </c>
      <c r="O7545" t="str">
        <f t="shared" si="470"/>
        <v>Zero Balance</v>
      </c>
      <c r="P7545" t="str">
        <f t="shared" si="471"/>
        <v>New</v>
      </c>
    </row>
    <row r="7546" spans="1:16" x14ac:dyDescent="0.25">
      <c r="A7546">
        <v>2025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  <c r="M7546" t="str">
        <f t="shared" si="468"/>
        <v>30-45</v>
      </c>
      <c r="N7546" t="str">
        <f t="shared" si="469"/>
        <v>Medium</v>
      </c>
      <c r="O7546" t="str">
        <f t="shared" si="470"/>
        <v>Zero Balance</v>
      </c>
      <c r="P7546" t="str">
        <f t="shared" si="471"/>
        <v>New</v>
      </c>
    </row>
    <row r="7547" spans="1:16" x14ac:dyDescent="0.25">
      <c r="A7547">
        <v>2025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  <c r="M7547" t="str">
        <f t="shared" si="468"/>
        <v>&lt;30</v>
      </c>
      <c r="N7547" t="str">
        <f t="shared" si="469"/>
        <v>High</v>
      </c>
      <c r="O7547" t="str">
        <f t="shared" si="470"/>
        <v>Zero Balance</v>
      </c>
      <c r="P7547" t="str">
        <f t="shared" si="471"/>
        <v>Mid-term</v>
      </c>
    </row>
    <row r="7548" spans="1:16" x14ac:dyDescent="0.25">
      <c r="A7548">
        <v>2025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  <c r="M7548" t="str">
        <f t="shared" si="468"/>
        <v>30-45</v>
      </c>
      <c r="N7548" t="str">
        <f t="shared" si="469"/>
        <v>Medium</v>
      </c>
      <c r="O7548" t="str">
        <f t="shared" si="470"/>
        <v>Zero Balance</v>
      </c>
      <c r="P7548" t="str">
        <f t="shared" si="471"/>
        <v>Long-term</v>
      </c>
    </row>
    <row r="7549" spans="1:16" x14ac:dyDescent="0.25">
      <c r="A7549">
        <v>2025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  <c r="M7549" t="str">
        <f t="shared" si="468"/>
        <v>&lt;30</v>
      </c>
      <c r="N7549" t="str">
        <f t="shared" si="469"/>
        <v>Medium</v>
      </c>
      <c r="O7549" t="str">
        <f t="shared" si="470"/>
        <v>High Balance</v>
      </c>
      <c r="P7549" t="str">
        <f t="shared" si="471"/>
        <v>Mid-term</v>
      </c>
    </row>
    <row r="7550" spans="1:16" x14ac:dyDescent="0.25">
      <c r="A7550">
        <v>2025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  <c r="M7550" t="str">
        <f t="shared" si="468"/>
        <v>60+</v>
      </c>
      <c r="N7550" t="str">
        <f t="shared" si="469"/>
        <v>Medium</v>
      </c>
      <c r="O7550" t="str">
        <f t="shared" si="470"/>
        <v>High Balance</v>
      </c>
      <c r="P7550" t="str">
        <f t="shared" si="471"/>
        <v>Long-term</v>
      </c>
    </row>
    <row r="7551" spans="1:16" x14ac:dyDescent="0.25">
      <c r="A7551">
        <v>2025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  <c r="M7551" t="str">
        <f t="shared" si="468"/>
        <v>30-45</v>
      </c>
      <c r="N7551" t="str">
        <f t="shared" si="469"/>
        <v>High</v>
      </c>
      <c r="O7551" t="str">
        <f t="shared" si="470"/>
        <v>High Balance</v>
      </c>
      <c r="P7551" t="str">
        <f t="shared" si="471"/>
        <v>Long-term</v>
      </c>
    </row>
    <row r="7552" spans="1:16" x14ac:dyDescent="0.25">
      <c r="A7552">
        <v>2025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  <c r="M7552" t="str">
        <f t="shared" si="468"/>
        <v>30-45</v>
      </c>
      <c r="N7552" t="str">
        <f t="shared" si="469"/>
        <v>Medium</v>
      </c>
      <c r="O7552" t="str">
        <f t="shared" si="470"/>
        <v>High Balance</v>
      </c>
      <c r="P7552" t="str">
        <f t="shared" si="471"/>
        <v>Mid-term</v>
      </c>
    </row>
    <row r="7553" spans="1:16" x14ac:dyDescent="0.25">
      <c r="A7553">
        <v>2025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  <c r="M7553" t="str">
        <f t="shared" si="468"/>
        <v>30-45</v>
      </c>
      <c r="N7553" t="str">
        <f t="shared" si="469"/>
        <v>Medium</v>
      </c>
      <c r="O7553" t="str">
        <f t="shared" si="470"/>
        <v>High Balance</v>
      </c>
      <c r="P7553" t="str">
        <f t="shared" si="471"/>
        <v>New</v>
      </c>
    </row>
    <row r="7554" spans="1:16" x14ac:dyDescent="0.25">
      <c r="A7554">
        <v>2025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  <c r="M7554" t="str">
        <f t="shared" si="468"/>
        <v>60+</v>
      </c>
      <c r="N7554" t="str">
        <f t="shared" si="469"/>
        <v>Medium</v>
      </c>
      <c r="O7554" t="str">
        <f t="shared" si="470"/>
        <v>High Balance</v>
      </c>
      <c r="P7554" t="str">
        <f t="shared" si="471"/>
        <v>Long-term</v>
      </c>
    </row>
    <row r="7555" spans="1:16" x14ac:dyDescent="0.25">
      <c r="A7555">
        <v>2025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  <c r="M7555" t="str">
        <f t="shared" ref="M7555:M7618" si="472">IF(E7555&lt;30,"&lt;30",IF(E7555&lt;=45,"30-45",IF(E7555&lt;=60,"46-60","60+")))</f>
        <v>30-45</v>
      </c>
      <c r="N7555" t="str">
        <f t="shared" ref="N7555:N7618" si="473">IF(B7555&lt;500,"Low",IF(B7555&lt;700,"Medium","High"))</f>
        <v>High</v>
      </c>
      <c r="O7555" t="str">
        <f t="shared" ref="O7555:O7618" si="474">IF(G7555=0,"Zero Balance",IF(G7555&lt;100000,"Low Balance","High Balance"))</f>
        <v>Zero Balance</v>
      </c>
      <c r="P7555" t="str">
        <f t="shared" ref="P7555:P7618" si="475">IF(F7555&lt;=3,"New",IF(F7555&lt;=7,"Mid-term","Long-term"))</f>
        <v>Long-term</v>
      </c>
    </row>
    <row r="7556" spans="1:16" x14ac:dyDescent="0.25">
      <c r="A7556">
        <v>2025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  <c r="M7556" t="str">
        <f t="shared" si="472"/>
        <v>30-45</v>
      </c>
      <c r="N7556" t="str">
        <f t="shared" si="473"/>
        <v>High</v>
      </c>
      <c r="O7556" t="str">
        <f t="shared" si="474"/>
        <v>Low Balance</v>
      </c>
      <c r="P7556" t="str">
        <f t="shared" si="475"/>
        <v>Mid-term</v>
      </c>
    </row>
    <row r="7557" spans="1:16" x14ac:dyDescent="0.25">
      <c r="A7557">
        <v>2025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  <c r="M7557" t="str">
        <f t="shared" si="472"/>
        <v>30-45</v>
      </c>
      <c r="N7557" t="str">
        <f t="shared" si="473"/>
        <v>High</v>
      </c>
      <c r="O7557" t="str">
        <f t="shared" si="474"/>
        <v>Zero Balance</v>
      </c>
      <c r="P7557" t="str">
        <f t="shared" si="475"/>
        <v>New</v>
      </c>
    </row>
    <row r="7558" spans="1:16" x14ac:dyDescent="0.25">
      <c r="A7558">
        <v>2025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  <c r="M7558" t="str">
        <f t="shared" si="472"/>
        <v>46-60</v>
      </c>
      <c r="N7558" t="str">
        <f t="shared" si="473"/>
        <v>High</v>
      </c>
      <c r="O7558" t="str">
        <f t="shared" si="474"/>
        <v>Zero Balance</v>
      </c>
      <c r="P7558" t="str">
        <f t="shared" si="475"/>
        <v>New</v>
      </c>
    </row>
    <row r="7559" spans="1:16" x14ac:dyDescent="0.25">
      <c r="A7559">
        <v>2025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  <c r="M7559" t="str">
        <f t="shared" si="472"/>
        <v>30-45</v>
      </c>
      <c r="N7559" t="str">
        <f t="shared" si="473"/>
        <v>Low</v>
      </c>
      <c r="O7559" t="str">
        <f t="shared" si="474"/>
        <v>Zero Balance</v>
      </c>
      <c r="P7559" t="str">
        <f t="shared" si="475"/>
        <v>Long-term</v>
      </c>
    </row>
    <row r="7560" spans="1:16" x14ac:dyDescent="0.25">
      <c r="A7560">
        <v>2025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  <c r="M7560" t="str">
        <f t="shared" si="472"/>
        <v>30-45</v>
      </c>
      <c r="N7560" t="str">
        <f t="shared" si="473"/>
        <v>Medium</v>
      </c>
      <c r="O7560" t="str">
        <f t="shared" si="474"/>
        <v>High Balance</v>
      </c>
      <c r="P7560" t="str">
        <f t="shared" si="475"/>
        <v>New</v>
      </c>
    </row>
    <row r="7561" spans="1:16" x14ac:dyDescent="0.25">
      <c r="A7561">
        <v>2025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  <c r="M7561" t="str">
        <f t="shared" si="472"/>
        <v>30-45</v>
      </c>
      <c r="N7561" t="str">
        <f t="shared" si="473"/>
        <v>High</v>
      </c>
      <c r="O7561" t="str">
        <f t="shared" si="474"/>
        <v>Zero Balance</v>
      </c>
      <c r="P7561" t="str">
        <f t="shared" si="475"/>
        <v>New</v>
      </c>
    </row>
    <row r="7562" spans="1:16" x14ac:dyDescent="0.25">
      <c r="A7562">
        <v>2025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  <c r="M7562" t="str">
        <f t="shared" si="472"/>
        <v>46-60</v>
      </c>
      <c r="N7562" t="str">
        <f t="shared" si="473"/>
        <v>Medium</v>
      </c>
      <c r="O7562" t="str">
        <f t="shared" si="474"/>
        <v>High Balance</v>
      </c>
      <c r="P7562" t="str">
        <f t="shared" si="475"/>
        <v>Mid-term</v>
      </c>
    </row>
    <row r="7563" spans="1:16" x14ac:dyDescent="0.25">
      <c r="A7563">
        <v>2025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  <c r="M7563" t="str">
        <f t="shared" si="472"/>
        <v>30-45</v>
      </c>
      <c r="N7563" t="str">
        <f t="shared" si="473"/>
        <v>Medium</v>
      </c>
      <c r="O7563" t="str">
        <f t="shared" si="474"/>
        <v>High Balance</v>
      </c>
      <c r="P7563" t="str">
        <f t="shared" si="475"/>
        <v>Mid-term</v>
      </c>
    </row>
    <row r="7564" spans="1:16" x14ac:dyDescent="0.25">
      <c r="A7564">
        <v>2025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  <c r="M7564" t="str">
        <f t="shared" si="472"/>
        <v>30-45</v>
      </c>
      <c r="N7564" t="str">
        <f t="shared" si="473"/>
        <v>Medium</v>
      </c>
      <c r="O7564" t="str">
        <f t="shared" si="474"/>
        <v>Zero Balance</v>
      </c>
      <c r="P7564" t="str">
        <f t="shared" si="475"/>
        <v>Mid-term</v>
      </c>
    </row>
    <row r="7565" spans="1:16" x14ac:dyDescent="0.25">
      <c r="A7565">
        <v>2025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  <c r="M7565" t="str">
        <f t="shared" si="472"/>
        <v>46-60</v>
      </c>
      <c r="N7565" t="str">
        <f t="shared" si="473"/>
        <v>Medium</v>
      </c>
      <c r="O7565" t="str">
        <f t="shared" si="474"/>
        <v>Zero Balance</v>
      </c>
      <c r="P7565" t="str">
        <f t="shared" si="475"/>
        <v>Mid-term</v>
      </c>
    </row>
    <row r="7566" spans="1:16" x14ac:dyDescent="0.25">
      <c r="A7566">
        <v>2025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  <c r="M7566" t="str">
        <f t="shared" si="472"/>
        <v>30-45</v>
      </c>
      <c r="N7566" t="str">
        <f t="shared" si="473"/>
        <v>Medium</v>
      </c>
      <c r="O7566" t="str">
        <f t="shared" si="474"/>
        <v>High Balance</v>
      </c>
      <c r="P7566" t="str">
        <f t="shared" si="475"/>
        <v>New</v>
      </c>
    </row>
    <row r="7567" spans="1:16" x14ac:dyDescent="0.25">
      <c r="A7567">
        <v>2025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  <c r="M7567" t="str">
        <f t="shared" si="472"/>
        <v>46-60</v>
      </c>
      <c r="N7567" t="str">
        <f t="shared" si="473"/>
        <v>High</v>
      </c>
      <c r="O7567" t="str">
        <f t="shared" si="474"/>
        <v>High Balance</v>
      </c>
      <c r="P7567" t="str">
        <f t="shared" si="475"/>
        <v>Long-term</v>
      </c>
    </row>
    <row r="7568" spans="1:16" x14ac:dyDescent="0.25">
      <c r="A7568">
        <v>2025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  <c r="M7568" t="str">
        <f t="shared" si="472"/>
        <v>30-45</v>
      </c>
      <c r="N7568" t="str">
        <f t="shared" si="473"/>
        <v>Medium</v>
      </c>
      <c r="O7568" t="str">
        <f t="shared" si="474"/>
        <v>Low Balance</v>
      </c>
      <c r="P7568" t="str">
        <f t="shared" si="475"/>
        <v>Mid-term</v>
      </c>
    </row>
    <row r="7569" spans="1:16" x14ac:dyDescent="0.25">
      <c r="A7569">
        <v>2025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  <c r="M7569" t="str">
        <f t="shared" si="472"/>
        <v>30-45</v>
      </c>
      <c r="N7569" t="str">
        <f t="shared" si="473"/>
        <v>Medium</v>
      </c>
      <c r="O7569" t="str">
        <f t="shared" si="474"/>
        <v>Zero Balance</v>
      </c>
      <c r="P7569" t="str">
        <f t="shared" si="475"/>
        <v>Mid-term</v>
      </c>
    </row>
    <row r="7570" spans="1:16" x14ac:dyDescent="0.25">
      <c r="A7570">
        <v>2025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  <c r="M7570" t="str">
        <f t="shared" si="472"/>
        <v>46-60</v>
      </c>
      <c r="N7570" t="str">
        <f t="shared" si="473"/>
        <v>Low</v>
      </c>
      <c r="O7570" t="str">
        <f t="shared" si="474"/>
        <v>Zero Balance</v>
      </c>
      <c r="P7570" t="str">
        <f t="shared" si="475"/>
        <v>Mid-term</v>
      </c>
    </row>
    <row r="7571" spans="1:16" x14ac:dyDescent="0.25">
      <c r="A7571">
        <v>2025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  <c r="M7571" t="str">
        <f t="shared" si="472"/>
        <v>&lt;30</v>
      </c>
      <c r="N7571" t="str">
        <f t="shared" si="473"/>
        <v>Medium</v>
      </c>
      <c r="O7571" t="str">
        <f t="shared" si="474"/>
        <v>High Balance</v>
      </c>
      <c r="P7571" t="str">
        <f t="shared" si="475"/>
        <v>Long-term</v>
      </c>
    </row>
    <row r="7572" spans="1:16" x14ac:dyDescent="0.25">
      <c r="A7572">
        <v>2025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  <c r="M7572" t="str">
        <f t="shared" si="472"/>
        <v>30-45</v>
      </c>
      <c r="N7572" t="str">
        <f t="shared" si="473"/>
        <v>Medium</v>
      </c>
      <c r="O7572" t="str">
        <f t="shared" si="474"/>
        <v>High Balance</v>
      </c>
      <c r="P7572" t="str">
        <f t="shared" si="475"/>
        <v>Mid-term</v>
      </c>
    </row>
    <row r="7573" spans="1:16" x14ac:dyDescent="0.25">
      <c r="A7573">
        <v>2025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  <c r="M7573" t="str">
        <f t="shared" si="472"/>
        <v>46-60</v>
      </c>
      <c r="N7573" t="str">
        <f t="shared" si="473"/>
        <v>High</v>
      </c>
      <c r="O7573" t="str">
        <f t="shared" si="474"/>
        <v>Low Balance</v>
      </c>
      <c r="P7573" t="str">
        <f t="shared" si="475"/>
        <v>Long-term</v>
      </c>
    </row>
    <row r="7574" spans="1:16" x14ac:dyDescent="0.25">
      <c r="A7574">
        <v>2025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  <c r="M7574" t="str">
        <f t="shared" si="472"/>
        <v>30-45</v>
      </c>
      <c r="N7574" t="str">
        <f t="shared" si="473"/>
        <v>Medium</v>
      </c>
      <c r="O7574" t="str">
        <f t="shared" si="474"/>
        <v>High Balance</v>
      </c>
      <c r="P7574" t="str">
        <f t="shared" si="475"/>
        <v>Long-term</v>
      </c>
    </row>
    <row r="7575" spans="1:16" x14ac:dyDescent="0.25">
      <c r="A7575">
        <v>2025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  <c r="M7575" t="str">
        <f t="shared" si="472"/>
        <v>30-45</v>
      </c>
      <c r="N7575" t="str">
        <f t="shared" si="473"/>
        <v>Low</v>
      </c>
      <c r="O7575" t="str">
        <f t="shared" si="474"/>
        <v>Zero Balance</v>
      </c>
      <c r="P7575" t="str">
        <f t="shared" si="475"/>
        <v>Long-term</v>
      </c>
    </row>
    <row r="7576" spans="1:16" x14ac:dyDescent="0.25">
      <c r="A7576">
        <v>2025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  <c r="M7576" t="str">
        <f t="shared" si="472"/>
        <v>30-45</v>
      </c>
      <c r="N7576" t="str">
        <f t="shared" si="473"/>
        <v>High</v>
      </c>
      <c r="O7576" t="str">
        <f t="shared" si="474"/>
        <v>Low Balance</v>
      </c>
      <c r="P7576" t="str">
        <f t="shared" si="475"/>
        <v>New</v>
      </c>
    </row>
    <row r="7577" spans="1:16" x14ac:dyDescent="0.25">
      <c r="A7577">
        <v>2025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  <c r="M7577" t="str">
        <f t="shared" si="472"/>
        <v>46-60</v>
      </c>
      <c r="N7577" t="str">
        <f t="shared" si="473"/>
        <v>Medium</v>
      </c>
      <c r="O7577" t="str">
        <f t="shared" si="474"/>
        <v>Low Balance</v>
      </c>
      <c r="P7577" t="str">
        <f t="shared" si="475"/>
        <v>Mid-term</v>
      </c>
    </row>
    <row r="7578" spans="1:16" x14ac:dyDescent="0.25">
      <c r="A7578">
        <v>2025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  <c r="M7578" t="str">
        <f t="shared" si="472"/>
        <v>&lt;30</v>
      </c>
      <c r="N7578" t="str">
        <f t="shared" si="473"/>
        <v>Medium</v>
      </c>
      <c r="O7578" t="str">
        <f t="shared" si="474"/>
        <v>Zero Balance</v>
      </c>
      <c r="P7578" t="str">
        <f t="shared" si="475"/>
        <v>Mid-term</v>
      </c>
    </row>
    <row r="7579" spans="1:16" x14ac:dyDescent="0.25">
      <c r="A7579">
        <v>2025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  <c r="M7579" t="str">
        <f t="shared" si="472"/>
        <v>30-45</v>
      </c>
      <c r="N7579" t="str">
        <f t="shared" si="473"/>
        <v>Medium</v>
      </c>
      <c r="O7579" t="str">
        <f t="shared" si="474"/>
        <v>Low Balance</v>
      </c>
      <c r="P7579" t="str">
        <f t="shared" si="475"/>
        <v>New</v>
      </c>
    </row>
    <row r="7580" spans="1:16" x14ac:dyDescent="0.25">
      <c r="A7580">
        <v>2025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  <c r="M7580" t="str">
        <f t="shared" si="472"/>
        <v>30-45</v>
      </c>
      <c r="N7580" t="str">
        <f t="shared" si="473"/>
        <v>Medium</v>
      </c>
      <c r="O7580" t="str">
        <f t="shared" si="474"/>
        <v>High Balance</v>
      </c>
      <c r="P7580" t="str">
        <f t="shared" si="475"/>
        <v>New</v>
      </c>
    </row>
    <row r="7581" spans="1:16" x14ac:dyDescent="0.25">
      <c r="A7581">
        <v>2025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  <c r="M7581" t="str">
        <f t="shared" si="472"/>
        <v>30-45</v>
      </c>
      <c r="N7581" t="str">
        <f t="shared" si="473"/>
        <v>Medium</v>
      </c>
      <c r="O7581" t="str">
        <f t="shared" si="474"/>
        <v>High Balance</v>
      </c>
      <c r="P7581" t="str">
        <f t="shared" si="475"/>
        <v>Long-term</v>
      </c>
    </row>
    <row r="7582" spans="1:16" x14ac:dyDescent="0.25">
      <c r="A7582">
        <v>2025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  <c r="M7582" t="str">
        <f t="shared" si="472"/>
        <v>30-45</v>
      </c>
      <c r="N7582" t="str">
        <f t="shared" si="473"/>
        <v>High</v>
      </c>
      <c r="O7582" t="str">
        <f t="shared" si="474"/>
        <v>Zero Balance</v>
      </c>
      <c r="P7582" t="str">
        <f t="shared" si="475"/>
        <v>New</v>
      </c>
    </row>
    <row r="7583" spans="1:16" x14ac:dyDescent="0.25">
      <c r="A7583">
        <v>2025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  <c r="M7583" t="str">
        <f t="shared" si="472"/>
        <v>30-45</v>
      </c>
      <c r="N7583" t="str">
        <f t="shared" si="473"/>
        <v>High</v>
      </c>
      <c r="O7583" t="str">
        <f t="shared" si="474"/>
        <v>High Balance</v>
      </c>
      <c r="P7583" t="str">
        <f t="shared" si="475"/>
        <v>Long-term</v>
      </c>
    </row>
    <row r="7584" spans="1:16" x14ac:dyDescent="0.25">
      <c r="A7584">
        <v>2025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  <c r="M7584" t="str">
        <f t="shared" si="472"/>
        <v>30-45</v>
      </c>
      <c r="N7584" t="str">
        <f t="shared" si="473"/>
        <v>High</v>
      </c>
      <c r="O7584" t="str">
        <f t="shared" si="474"/>
        <v>Low Balance</v>
      </c>
      <c r="P7584" t="str">
        <f t="shared" si="475"/>
        <v>Long-term</v>
      </c>
    </row>
    <row r="7585" spans="1:16" x14ac:dyDescent="0.25">
      <c r="A7585">
        <v>2025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  <c r="M7585" t="str">
        <f t="shared" si="472"/>
        <v>&lt;30</v>
      </c>
      <c r="N7585" t="str">
        <f t="shared" si="473"/>
        <v>Medium</v>
      </c>
      <c r="O7585" t="str">
        <f t="shared" si="474"/>
        <v>Zero Balance</v>
      </c>
      <c r="P7585" t="str">
        <f t="shared" si="475"/>
        <v>Long-term</v>
      </c>
    </row>
    <row r="7586" spans="1:16" x14ac:dyDescent="0.25">
      <c r="A7586">
        <v>2025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  <c r="M7586" t="str">
        <f t="shared" si="472"/>
        <v>30-45</v>
      </c>
      <c r="N7586" t="str">
        <f t="shared" si="473"/>
        <v>Medium</v>
      </c>
      <c r="O7586" t="str">
        <f t="shared" si="474"/>
        <v>Zero Balance</v>
      </c>
      <c r="P7586" t="str">
        <f t="shared" si="475"/>
        <v>Long-term</v>
      </c>
    </row>
    <row r="7587" spans="1:16" x14ac:dyDescent="0.25">
      <c r="A7587">
        <v>2025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  <c r="M7587" t="str">
        <f t="shared" si="472"/>
        <v>30-45</v>
      </c>
      <c r="N7587" t="str">
        <f t="shared" si="473"/>
        <v>Low</v>
      </c>
      <c r="O7587" t="str">
        <f t="shared" si="474"/>
        <v>Zero Balance</v>
      </c>
      <c r="P7587" t="str">
        <f t="shared" si="475"/>
        <v>New</v>
      </c>
    </row>
    <row r="7588" spans="1:16" x14ac:dyDescent="0.25">
      <c r="A7588">
        <v>2025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  <c r="M7588" t="str">
        <f t="shared" si="472"/>
        <v>30-45</v>
      </c>
      <c r="N7588" t="str">
        <f t="shared" si="473"/>
        <v>High</v>
      </c>
      <c r="O7588" t="str">
        <f t="shared" si="474"/>
        <v>Zero Balance</v>
      </c>
      <c r="P7588" t="str">
        <f t="shared" si="475"/>
        <v>Long-term</v>
      </c>
    </row>
    <row r="7589" spans="1:16" x14ac:dyDescent="0.25">
      <c r="A7589">
        <v>2025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  <c r="M7589" t="str">
        <f t="shared" si="472"/>
        <v>30-45</v>
      </c>
      <c r="N7589" t="str">
        <f t="shared" si="473"/>
        <v>Medium</v>
      </c>
      <c r="O7589" t="str">
        <f t="shared" si="474"/>
        <v>Low Balance</v>
      </c>
      <c r="P7589" t="str">
        <f t="shared" si="475"/>
        <v>Mid-term</v>
      </c>
    </row>
    <row r="7590" spans="1:16" x14ac:dyDescent="0.25">
      <c r="A7590">
        <v>2025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  <c r="M7590" t="str">
        <f t="shared" si="472"/>
        <v>30-45</v>
      </c>
      <c r="N7590" t="str">
        <f t="shared" si="473"/>
        <v>Medium</v>
      </c>
      <c r="O7590" t="str">
        <f t="shared" si="474"/>
        <v>Zero Balance</v>
      </c>
      <c r="P7590" t="str">
        <f t="shared" si="475"/>
        <v>New</v>
      </c>
    </row>
    <row r="7591" spans="1:16" x14ac:dyDescent="0.25">
      <c r="A7591">
        <v>2025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  <c r="M7591" t="str">
        <f t="shared" si="472"/>
        <v>30-45</v>
      </c>
      <c r="N7591" t="str">
        <f t="shared" si="473"/>
        <v>High</v>
      </c>
      <c r="O7591" t="str">
        <f t="shared" si="474"/>
        <v>Zero Balance</v>
      </c>
      <c r="P7591" t="str">
        <f t="shared" si="475"/>
        <v>New</v>
      </c>
    </row>
    <row r="7592" spans="1:16" x14ac:dyDescent="0.25">
      <c r="A7592">
        <v>2025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  <c r="M7592" t="str">
        <f t="shared" si="472"/>
        <v>30-45</v>
      </c>
      <c r="N7592" t="str">
        <f t="shared" si="473"/>
        <v>Medium</v>
      </c>
      <c r="O7592" t="str">
        <f t="shared" si="474"/>
        <v>High Balance</v>
      </c>
      <c r="P7592" t="str">
        <f t="shared" si="475"/>
        <v>Long-term</v>
      </c>
    </row>
    <row r="7593" spans="1:16" x14ac:dyDescent="0.25">
      <c r="A7593">
        <v>2025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  <c r="M7593" t="str">
        <f t="shared" si="472"/>
        <v>30-45</v>
      </c>
      <c r="N7593" t="str">
        <f t="shared" si="473"/>
        <v>High</v>
      </c>
      <c r="O7593" t="str">
        <f t="shared" si="474"/>
        <v>High Balance</v>
      </c>
      <c r="P7593" t="str">
        <f t="shared" si="475"/>
        <v>New</v>
      </c>
    </row>
    <row r="7594" spans="1:16" x14ac:dyDescent="0.25">
      <c r="A7594">
        <v>2025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  <c r="M7594" t="str">
        <f t="shared" si="472"/>
        <v>30-45</v>
      </c>
      <c r="N7594" t="str">
        <f t="shared" si="473"/>
        <v>Medium</v>
      </c>
      <c r="O7594" t="str">
        <f t="shared" si="474"/>
        <v>Low Balance</v>
      </c>
      <c r="P7594" t="str">
        <f t="shared" si="475"/>
        <v>New</v>
      </c>
    </row>
    <row r="7595" spans="1:16" x14ac:dyDescent="0.25">
      <c r="A7595">
        <v>2025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  <c r="M7595" t="str">
        <f t="shared" si="472"/>
        <v>&lt;30</v>
      </c>
      <c r="N7595" t="str">
        <f t="shared" si="473"/>
        <v>Low</v>
      </c>
      <c r="O7595" t="str">
        <f t="shared" si="474"/>
        <v>Low Balance</v>
      </c>
      <c r="P7595" t="str">
        <f t="shared" si="475"/>
        <v>Mid-term</v>
      </c>
    </row>
    <row r="7596" spans="1:16" x14ac:dyDescent="0.25">
      <c r="A7596">
        <v>2025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  <c r="M7596" t="str">
        <f t="shared" si="472"/>
        <v>30-45</v>
      </c>
      <c r="N7596" t="str">
        <f t="shared" si="473"/>
        <v>Medium</v>
      </c>
      <c r="O7596" t="str">
        <f t="shared" si="474"/>
        <v>Zero Balance</v>
      </c>
      <c r="P7596" t="str">
        <f t="shared" si="475"/>
        <v>Long-term</v>
      </c>
    </row>
    <row r="7597" spans="1:16" x14ac:dyDescent="0.25">
      <c r="A7597">
        <v>2025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  <c r="M7597" t="str">
        <f t="shared" si="472"/>
        <v>46-60</v>
      </c>
      <c r="N7597" t="str">
        <f t="shared" si="473"/>
        <v>Medium</v>
      </c>
      <c r="O7597" t="str">
        <f t="shared" si="474"/>
        <v>Zero Balance</v>
      </c>
      <c r="P7597" t="str">
        <f t="shared" si="475"/>
        <v>Mid-term</v>
      </c>
    </row>
    <row r="7598" spans="1:16" x14ac:dyDescent="0.25">
      <c r="A7598">
        <v>2025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  <c r="M7598" t="str">
        <f t="shared" si="472"/>
        <v>30-45</v>
      </c>
      <c r="N7598" t="str">
        <f t="shared" si="473"/>
        <v>Medium</v>
      </c>
      <c r="O7598" t="str">
        <f t="shared" si="474"/>
        <v>High Balance</v>
      </c>
      <c r="P7598" t="str">
        <f t="shared" si="475"/>
        <v>Long-term</v>
      </c>
    </row>
    <row r="7599" spans="1:16" x14ac:dyDescent="0.25">
      <c r="A7599">
        <v>2025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  <c r="M7599" t="str">
        <f t="shared" si="472"/>
        <v>&lt;30</v>
      </c>
      <c r="N7599" t="str">
        <f t="shared" si="473"/>
        <v>High</v>
      </c>
      <c r="O7599" t="str">
        <f t="shared" si="474"/>
        <v>Zero Balance</v>
      </c>
      <c r="P7599" t="str">
        <f t="shared" si="475"/>
        <v>Mid-term</v>
      </c>
    </row>
    <row r="7600" spans="1:16" x14ac:dyDescent="0.25">
      <c r="A7600">
        <v>2025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  <c r="M7600" t="str">
        <f t="shared" si="472"/>
        <v>46-60</v>
      </c>
      <c r="N7600" t="str">
        <f t="shared" si="473"/>
        <v>Low</v>
      </c>
      <c r="O7600" t="str">
        <f t="shared" si="474"/>
        <v>Low Balance</v>
      </c>
      <c r="P7600" t="str">
        <f t="shared" si="475"/>
        <v>Mid-term</v>
      </c>
    </row>
    <row r="7601" spans="1:16" x14ac:dyDescent="0.25">
      <c r="A7601">
        <v>2025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  <c r="M7601" t="str">
        <f t="shared" si="472"/>
        <v>30-45</v>
      </c>
      <c r="N7601" t="str">
        <f t="shared" si="473"/>
        <v>Medium</v>
      </c>
      <c r="O7601" t="str">
        <f t="shared" si="474"/>
        <v>High Balance</v>
      </c>
      <c r="P7601" t="str">
        <f t="shared" si="475"/>
        <v>Mid-term</v>
      </c>
    </row>
    <row r="7602" spans="1:16" x14ac:dyDescent="0.25">
      <c r="A7602">
        <v>2025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  <c r="M7602" t="str">
        <f t="shared" si="472"/>
        <v>30-45</v>
      </c>
      <c r="N7602" t="str">
        <f t="shared" si="473"/>
        <v>Medium</v>
      </c>
      <c r="O7602" t="str">
        <f t="shared" si="474"/>
        <v>High Balance</v>
      </c>
      <c r="P7602" t="str">
        <f t="shared" si="475"/>
        <v>New</v>
      </c>
    </row>
    <row r="7603" spans="1:16" x14ac:dyDescent="0.25">
      <c r="A7603">
        <v>2025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  <c r="M7603" t="str">
        <f t="shared" si="472"/>
        <v>30-45</v>
      </c>
      <c r="N7603" t="str">
        <f t="shared" si="473"/>
        <v>High</v>
      </c>
      <c r="O7603" t="str">
        <f t="shared" si="474"/>
        <v>Zero Balance</v>
      </c>
      <c r="P7603" t="str">
        <f t="shared" si="475"/>
        <v>Long-term</v>
      </c>
    </row>
    <row r="7604" spans="1:16" x14ac:dyDescent="0.25">
      <c r="A7604">
        <v>2025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  <c r="M7604" t="str">
        <f t="shared" si="472"/>
        <v>&lt;30</v>
      </c>
      <c r="N7604" t="str">
        <f t="shared" si="473"/>
        <v>Medium</v>
      </c>
      <c r="O7604" t="str">
        <f t="shared" si="474"/>
        <v>High Balance</v>
      </c>
      <c r="P7604" t="str">
        <f t="shared" si="475"/>
        <v>Long-term</v>
      </c>
    </row>
    <row r="7605" spans="1:16" x14ac:dyDescent="0.25">
      <c r="A7605">
        <v>2025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  <c r="M7605" t="str">
        <f t="shared" si="472"/>
        <v>&lt;30</v>
      </c>
      <c r="N7605" t="str">
        <f t="shared" si="473"/>
        <v>Medium</v>
      </c>
      <c r="O7605" t="str">
        <f t="shared" si="474"/>
        <v>Zero Balance</v>
      </c>
      <c r="P7605" t="str">
        <f t="shared" si="475"/>
        <v>Mid-term</v>
      </c>
    </row>
    <row r="7606" spans="1:16" x14ac:dyDescent="0.25">
      <c r="A7606">
        <v>2025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  <c r="M7606" t="str">
        <f t="shared" si="472"/>
        <v>46-60</v>
      </c>
      <c r="N7606" t="str">
        <f t="shared" si="473"/>
        <v>Medium</v>
      </c>
      <c r="O7606" t="str">
        <f t="shared" si="474"/>
        <v>High Balance</v>
      </c>
      <c r="P7606" t="str">
        <f t="shared" si="475"/>
        <v>Mid-term</v>
      </c>
    </row>
    <row r="7607" spans="1:16" x14ac:dyDescent="0.25">
      <c r="A7607">
        <v>2025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  <c r="M7607" t="str">
        <f t="shared" si="472"/>
        <v>30-45</v>
      </c>
      <c r="N7607" t="str">
        <f t="shared" si="473"/>
        <v>High</v>
      </c>
      <c r="O7607" t="str">
        <f t="shared" si="474"/>
        <v>Zero Balance</v>
      </c>
      <c r="P7607" t="str">
        <f t="shared" si="475"/>
        <v>Mid-term</v>
      </c>
    </row>
    <row r="7608" spans="1:16" x14ac:dyDescent="0.25">
      <c r="A7608">
        <v>2025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  <c r="M7608" t="str">
        <f t="shared" si="472"/>
        <v>30-45</v>
      </c>
      <c r="N7608" t="str">
        <f t="shared" si="473"/>
        <v>Medium</v>
      </c>
      <c r="O7608" t="str">
        <f t="shared" si="474"/>
        <v>High Balance</v>
      </c>
      <c r="P7608" t="str">
        <f t="shared" si="475"/>
        <v>New</v>
      </c>
    </row>
    <row r="7609" spans="1:16" x14ac:dyDescent="0.25">
      <c r="A7609">
        <v>2025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  <c r="M7609" t="str">
        <f t="shared" si="472"/>
        <v>30-45</v>
      </c>
      <c r="N7609" t="str">
        <f t="shared" si="473"/>
        <v>High</v>
      </c>
      <c r="O7609" t="str">
        <f t="shared" si="474"/>
        <v>Zero Balance</v>
      </c>
      <c r="P7609" t="str">
        <f t="shared" si="475"/>
        <v>Mid-term</v>
      </c>
    </row>
    <row r="7610" spans="1:16" x14ac:dyDescent="0.25">
      <c r="A7610">
        <v>2025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  <c r="M7610" t="str">
        <f t="shared" si="472"/>
        <v>30-45</v>
      </c>
      <c r="N7610" t="str">
        <f t="shared" si="473"/>
        <v>Medium</v>
      </c>
      <c r="O7610" t="str">
        <f t="shared" si="474"/>
        <v>Zero Balance</v>
      </c>
      <c r="P7610" t="str">
        <f t="shared" si="475"/>
        <v>Mid-term</v>
      </c>
    </row>
    <row r="7611" spans="1:16" x14ac:dyDescent="0.25">
      <c r="A7611">
        <v>2025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  <c r="M7611" t="str">
        <f t="shared" si="472"/>
        <v>46-60</v>
      </c>
      <c r="N7611" t="str">
        <f t="shared" si="473"/>
        <v>Medium</v>
      </c>
      <c r="O7611" t="str">
        <f t="shared" si="474"/>
        <v>High Balance</v>
      </c>
      <c r="P7611" t="str">
        <f t="shared" si="475"/>
        <v>New</v>
      </c>
    </row>
    <row r="7612" spans="1:16" x14ac:dyDescent="0.25">
      <c r="A7612">
        <v>2025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  <c r="M7612" t="str">
        <f t="shared" si="472"/>
        <v>30-45</v>
      </c>
      <c r="N7612" t="str">
        <f t="shared" si="473"/>
        <v>High</v>
      </c>
      <c r="O7612" t="str">
        <f t="shared" si="474"/>
        <v>High Balance</v>
      </c>
      <c r="P7612" t="str">
        <f t="shared" si="475"/>
        <v>Mid-term</v>
      </c>
    </row>
    <row r="7613" spans="1:16" x14ac:dyDescent="0.25">
      <c r="A7613">
        <v>2025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  <c r="M7613" t="str">
        <f t="shared" si="472"/>
        <v>30-45</v>
      </c>
      <c r="N7613" t="str">
        <f t="shared" si="473"/>
        <v>High</v>
      </c>
      <c r="O7613" t="str">
        <f t="shared" si="474"/>
        <v>Zero Balance</v>
      </c>
      <c r="P7613" t="str">
        <f t="shared" si="475"/>
        <v>Mid-term</v>
      </c>
    </row>
    <row r="7614" spans="1:16" x14ac:dyDescent="0.25">
      <c r="A7614">
        <v>2025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  <c r="M7614" t="str">
        <f t="shared" si="472"/>
        <v>&lt;30</v>
      </c>
      <c r="N7614" t="str">
        <f t="shared" si="473"/>
        <v>Medium</v>
      </c>
      <c r="O7614" t="str">
        <f t="shared" si="474"/>
        <v>High Balance</v>
      </c>
      <c r="P7614" t="str">
        <f t="shared" si="475"/>
        <v>Mid-term</v>
      </c>
    </row>
    <row r="7615" spans="1:16" x14ac:dyDescent="0.25">
      <c r="A7615">
        <v>2025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  <c r="M7615" t="str">
        <f t="shared" si="472"/>
        <v>30-45</v>
      </c>
      <c r="N7615" t="str">
        <f t="shared" si="473"/>
        <v>Medium</v>
      </c>
      <c r="O7615" t="str">
        <f t="shared" si="474"/>
        <v>Low Balance</v>
      </c>
      <c r="P7615" t="str">
        <f t="shared" si="475"/>
        <v>Mid-term</v>
      </c>
    </row>
    <row r="7616" spans="1:16" x14ac:dyDescent="0.25">
      <c r="A7616">
        <v>2025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  <c r="M7616" t="str">
        <f t="shared" si="472"/>
        <v>30-45</v>
      </c>
      <c r="N7616" t="str">
        <f t="shared" si="473"/>
        <v>High</v>
      </c>
      <c r="O7616" t="str">
        <f t="shared" si="474"/>
        <v>Zero Balance</v>
      </c>
      <c r="P7616" t="str">
        <f t="shared" si="475"/>
        <v>Mid-term</v>
      </c>
    </row>
    <row r="7617" spans="1:16" x14ac:dyDescent="0.25">
      <c r="A7617">
        <v>2025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  <c r="M7617" t="str">
        <f t="shared" si="472"/>
        <v>30-45</v>
      </c>
      <c r="N7617" t="str">
        <f t="shared" si="473"/>
        <v>Medium</v>
      </c>
      <c r="O7617" t="str">
        <f t="shared" si="474"/>
        <v>High Balance</v>
      </c>
      <c r="P7617" t="str">
        <f t="shared" si="475"/>
        <v>Mid-term</v>
      </c>
    </row>
    <row r="7618" spans="1:16" x14ac:dyDescent="0.25">
      <c r="A7618">
        <v>2025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  <c r="M7618" t="str">
        <f t="shared" si="472"/>
        <v>&lt;30</v>
      </c>
      <c r="N7618" t="str">
        <f t="shared" si="473"/>
        <v>Medium</v>
      </c>
      <c r="O7618" t="str">
        <f t="shared" si="474"/>
        <v>Low Balance</v>
      </c>
      <c r="P7618" t="str">
        <f t="shared" si="475"/>
        <v>Mid-term</v>
      </c>
    </row>
    <row r="7619" spans="1:16" x14ac:dyDescent="0.25">
      <c r="A7619">
        <v>2025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  <c r="M7619" t="str">
        <f t="shared" ref="M7619:M7682" si="476">IF(E7619&lt;30,"&lt;30",IF(E7619&lt;=45,"30-45",IF(E7619&lt;=60,"46-60","60+")))</f>
        <v>30-45</v>
      </c>
      <c r="N7619" t="str">
        <f t="shared" ref="N7619:N7682" si="477">IF(B7619&lt;500,"Low",IF(B7619&lt;700,"Medium","High"))</f>
        <v>Medium</v>
      </c>
      <c r="O7619" t="str">
        <f t="shared" ref="O7619:O7682" si="478">IF(G7619=0,"Zero Balance",IF(G7619&lt;100000,"Low Balance","High Balance"))</f>
        <v>Zero Balance</v>
      </c>
      <c r="P7619" t="str">
        <f t="shared" ref="P7619:P7682" si="479">IF(F7619&lt;=3,"New",IF(F7619&lt;=7,"Mid-term","Long-term"))</f>
        <v>Mid-term</v>
      </c>
    </row>
    <row r="7620" spans="1:16" x14ac:dyDescent="0.25">
      <c r="A7620">
        <v>2025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  <c r="M7620" t="str">
        <f t="shared" si="476"/>
        <v>30-45</v>
      </c>
      <c r="N7620" t="str">
        <f t="shared" si="477"/>
        <v>Medium</v>
      </c>
      <c r="O7620" t="str">
        <f t="shared" si="478"/>
        <v>Zero Balance</v>
      </c>
      <c r="P7620" t="str">
        <f t="shared" si="479"/>
        <v>Mid-term</v>
      </c>
    </row>
    <row r="7621" spans="1:16" x14ac:dyDescent="0.25">
      <c r="A7621">
        <v>2025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  <c r="M7621" t="str">
        <f t="shared" si="476"/>
        <v>30-45</v>
      </c>
      <c r="N7621" t="str">
        <f t="shared" si="477"/>
        <v>Medium</v>
      </c>
      <c r="O7621" t="str">
        <f t="shared" si="478"/>
        <v>Zero Balance</v>
      </c>
      <c r="P7621" t="str">
        <f t="shared" si="479"/>
        <v>New</v>
      </c>
    </row>
    <row r="7622" spans="1:16" x14ac:dyDescent="0.25">
      <c r="A7622">
        <v>2025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  <c r="M7622" t="str">
        <f t="shared" si="476"/>
        <v>&lt;30</v>
      </c>
      <c r="N7622" t="str">
        <f t="shared" si="477"/>
        <v>Medium</v>
      </c>
      <c r="O7622" t="str">
        <f t="shared" si="478"/>
        <v>Zero Balance</v>
      </c>
      <c r="P7622" t="str">
        <f t="shared" si="479"/>
        <v>Long-term</v>
      </c>
    </row>
    <row r="7623" spans="1:16" x14ac:dyDescent="0.25">
      <c r="A7623">
        <v>2025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  <c r="M7623" t="str">
        <f t="shared" si="476"/>
        <v>30-45</v>
      </c>
      <c r="N7623" t="str">
        <f t="shared" si="477"/>
        <v>Medium</v>
      </c>
      <c r="O7623" t="str">
        <f t="shared" si="478"/>
        <v>Zero Balance</v>
      </c>
      <c r="P7623" t="str">
        <f t="shared" si="479"/>
        <v>Mid-term</v>
      </c>
    </row>
    <row r="7624" spans="1:16" x14ac:dyDescent="0.25">
      <c r="A7624">
        <v>2025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  <c r="M7624" t="str">
        <f t="shared" si="476"/>
        <v>46-60</v>
      </c>
      <c r="N7624" t="str">
        <f t="shared" si="477"/>
        <v>High</v>
      </c>
      <c r="O7624" t="str">
        <f t="shared" si="478"/>
        <v>Zero Balance</v>
      </c>
      <c r="P7624" t="str">
        <f t="shared" si="479"/>
        <v>Mid-term</v>
      </c>
    </row>
    <row r="7625" spans="1:16" x14ac:dyDescent="0.25">
      <c r="A7625">
        <v>2025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  <c r="M7625" t="str">
        <f t="shared" si="476"/>
        <v>60+</v>
      </c>
      <c r="N7625" t="str">
        <f t="shared" si="477"/>
        <v>High</v>
      </c>
      <c r="O7625" t="str">
        <f t="shared" si="478"/>
        <v>Zero Balance</v>
      </c>
      <c r="P7625" t="str">
        <f t="shared" si="479"/>
        <v>Mid-term</v>
      </c>
    </row>
    <row r="7626" spans="1:16" x14ac:dyDescent="0.25">
      <c r="A7626">
        <v>2025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  <c r="M7626" t="str">
        <f t="shared" si="476"/>
        <v>60+</v>
      </c>
      <c r="N7626" t="str">
        <f t="shared" si="477"/>
        <v>High</v>
      </c>
      <c r="O7626" t="str">
        <f t="shared" si="478"/>
        <v>Zero Balance</v>
      </c>
      <c r="P7626" t="str">
        <f t="shared" si="479"/>
        <v>New</v>
      </c>
    </row>
    <row r="7627" spans="1:16" x14ac:dyDescent="0.25">
      <c r="A7627">
        <v>2025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  <c r="M7627" t="str">
        <f t="shared" si="476"/>
        <v>&lt;30</v>
      </c>
      <c r="N7627" t="str">
        <f t="shared" si="477"/>
        <v>Medium</v>
      </c>
      <c r="O7627" t="str">
        <f t="shared" si="478"/>
        <v>High Balance</v>
      </c>
      <c r="P7627" t="str">
        <f t="shared" si="479"/>
        <v>New</v>
      </c>
    </row>
    <row r="7628" spans="1:16" x14ac:dyDescent="0.25">
      <c r="A7628">
        <v>2025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  <c r="M7628" t="str">
        <f t="shared" si="476"/>
        <v>46-60</v>
      </c>
      <c r="N7628" t="str">
        <f t="shared" si="477"/>
        <v>High</v>
      </c>
      <c r="O7628" t="str">
        <f t="shared" si="478"/>
        <v>High Balance</v>
      </c>
      <c r="P7628" t="str">
        <f t="shared" si="479"/>
        <v>New</v>
      </c>
    </row>
    <row r="7629" spans="1:16" x14ac:dyDescent="0.25">
      <c r="A7629">
        <v>2025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  <c r="M7629" t="str">
        <f t="shared" si="476"/>
        <v>30-45</v>
      </c>
      <c r="N7629" t="str">
        <f t="shared" si="477"/>
        <v>Medium</v>
      </c>
      <c r="O7629" t="str">
        <f t="shared" si="478"/>
        <v>Zero Balance</v>
      </c>
      <c r="P7629" t="str">
        <f t="shared" si="479"/>
        <v>New</v>
      </c>
    </row>
    <row r="7630" spans="1:16" x14ac:dyDescent="0.25">
      <c r="A7630">
        <v>2025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  <c r="M7630" t="str">
        <f t="shared" si="476"/>
        <v>&lt;30</v>
      </c>
      <c r="N7630" t="str">
        <f t="shared" si="477"/>
        <v>High</v>
      </c>
      <c r="O7630" t="str">
        <f t="shared" si="478"/>
        <v>Low Balance</v>
      </c>
      <c r="P7630" t="str">
        <f t="shared" si="479"/>
        <v>Long-term</v>
      </c>
    </row>
    <row r="7631" spans="1:16" x14ac:dyDescent="0.25">
      <c r="A7631">
        <v>2025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  <c r="M7631" t="str">
        <f t="shared" si="476"/>
        <v>60+</v>
      </c>
      <c r="N7631" t="str">
        <f t="shared" si="477"/>
        <v>High</v>
      </c>
      <c r="O7631" t="str">
        <f t="shared" si="478"/>
        <v>High Balance</v>
      </c>
      <c r="P7631" t="str">
        <f t="shared" si="479"/>
        <v>New</v>
      </c>
    </row>
    <row r="7632" spans="1:16" x14ac:dyDescent="0.25">
      <c r="A7632">
        <v>2025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  <c r="M7632" t="str">
        <f t="shared" si="476"/>
        <v>30-45</v>
      </c>
      <c r="N7632" t="str">
        <f t="shared" si="477"/>
        <v>High</v>
      </c>
      <c r="O7632" t="str">
        <f t="shared" si="478"/>
        <v>High Balance</v>
      </c>
      <c r="P7632" t="str">
        <f t="shared" si="479"/>
        <v>Long-term</v>
      </c>
    </row>
    <row r="7633" spans="1:16" x14ac:dyDescent="0.25">
      <c r="A7633">
        <v>2025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  <c r="M7633" t="str">
        <f t="shared" si="476"/>
        <v>30-45</v>
      </c>
      <c r="N7633" t="str">
        <f t="shared" si="477"/>
        <v>Medium</v>
      </c>
      <c r="O7633" t="str">
        <f t="shared" si="478"/>
        <v>Low Balance</v>
      </c>
      <c r="P7633" t="str">
        <f t="shared" si="479"/>
        <v>Mid-term</v>
      </c>
    </row>
    <row r="7634" spans="1:16" x14ac:dyDescent="0.25">
      <c r="A7634">
        <v>2025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  <c r="M7634" t="str">
        <f t="shared" si="476"/>
        <v>30-45</v>
      </c>
      <c r="N7634" t="str">
        <f t="shared" si="477"/>
        <v>High</v>
      </c>
      <c r="O7634" t="str">
        <f t="shared" si="478"/>
        <v>High Balance</v>
      </c>
      <c r="P7634" t="str">
        <f t="shared" si="479"/>
        <v>Mid-term</v>
      </c>
    </row>
    <row r="7635" spans="1:16" x14ac:dyDescent="0.25">
      <c r="A7635">
        <v>2025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  <c r="M7635" t="str">
        <f t="shared" si="476"/>
        <v>46-60</v>
      </c>
      <c r="N7635" t="str">
        <f t="shared" si="477"/>
        <v>Medium</v>
      </c>
      <c r="O7635" t="str">
        <f t="shared" si="478"/>
        <v>High Balance</v>
      </c>
      <c r="P7635" t="str">
        <f t="shared" si="479"/>
        <v>New</v>
      </c>
    </row>
    <row r="7636" spans="1:16" x14ac:dyDescent="0.25">
      <c r="A7636">
        <v>2025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  <c r="M7636" t="str">
        <f t="shared" si="476"/>
        <v>30-45</v>
      </c>
      <c r="N7636" t="str">
        <f t="shared" si="477"/>
        <v>Medium</v>
      </c>
      <c r="O7636" t="str">
        <f t="shared" si="478"/>
        <v>Low Balance</v>
      </c>
      <c r="P7636" t="str">
        <f t="shared" si="479"/>
        <v>Long-term</v>
      </c>
    </row>
    <row r="7637" spans="1:16" x14ac:dyDescent="0.25">
      <c r="A7637">
        <v>2025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  <c r="M7637" t="str">
        <f t="shared" si="476"/>
        <v>&lt;30</v>
      </c>
      <c r="N7637" t="str">
        <f t="shared" si="477"/>
        <v>Medium</v>
      </c>
      <c r="O7637" t="str">
        <f t="shared" si="478"/>
        <v>High Balance</v>
      </c>
      <c r="P7637" t="str">
        <f t="shared" si="479"/>
        <v>New</v>
      </c>
    </row>
    <row r="7638" spans="1:16" x14ac:dyDescent="0.25">
      <c r="A7638">
        <v>2025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  <c r="M7638" t="str">
        <f t="shared" si="476"/>
        <v>46-60</v>
      </c>
      <c r="N7638" t="str">
        <f t="shared" si="477"/>
        <v>Medium</v>
      </c>
      <c r="O7638" t="str">
        <f t="shared" si="478"/>
        <v>High Balance</v>
      </c>
      <c r="P7638" t="str">
        <f t="shared" si="479"/>
        <v>Long-term</v>
      </c>
    </row>
    <row r="7639" spans="1:16" x14ac:dyDescent="0.25">
      <c r="A7639">
        <v>2025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  <c r="M7639" t="str">
        <f t="shared" si="476"/>
        <v>30-45</v>
      </c>
      <c r="N7639" t="str">
        <f t="shared" si="477"/>
        <v>High</v>
      </c>
      <c r="O7639" t="str">
        <f t="shared" si="478"/>
        <v>High Balance</v>
      </c>
      <c r="P7639" t="str">
        <f t="shared" si="479"/>
        <v>Mid-term</v>
      </c>
    </row>
    <row r="7640" spans="1:16" x14ac:dyDescent="0.25">
      <c r="A7640">
        <v>2025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  <c r="M7640" t="str">
        <f t="shared" si="476"/>
        <v>&lt;30</v>
      </c>
      <c r="N7640" t="str">
        <f t="shared" si="477"/>
        <v>Medium</v>
      </c>
      <c r="O7640" t="str">
        <f t="shared" si="478"/>
        <v>High Balance</v>
      </c>
      <c r="P7640" t="str">
        <f t="shared" si="479"/>
        <v>New</v>
      </c>
    </row>
    <row r="7641" spans="1:16" x14ac:dyDescent="0.25">
      <c r="A7641">
        <v>2025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  <c r="M7641" t="str">
        <f t="shared" si="476"/>
        <v>46-60</v>
      </c>
      <c r="N7641" t="str">
        <f t="shared" si="477"/>
        <v>Medium</v>
      </c>
      <c r="O7641" t="str">
        <f t="shared" si="478"/>
        <v>Zero Balance</v>
      </c>
      <c r="P7641" t="str">
        <f t="shared" si="479"/>
        <v>Mid-term</v>
      </c>
    </row>
    <row r="7642" spans="1:16" x14ac:dyDescent="0.25">
      <c r="A7642">
        <v>2025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  <c r="M7642" t="str">
        <f t="shared" si="476"/>
        <v>30-45</v>
      </c>
      <c r="N7642" t="str">
        <f t="shared" si="477"/>
        <v>High</v>
      </c>
      <c r="O7642" t="str">
        <f t="shared" si="478"/>
        <v>High Balance</v>
      </c>
      <c r="P7642" t="str">
        <f t="shared" si="479"/>
        <v>New</v>
      </c>
    </row>
    <row r="7643" spans="1:16" x14ac:dyDescent="0.25">
      <c r="A7643">
        <v>2025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  <c r="M7643" t="str">
        <f t="shared" si="476"/>
        <v>30-45</v>
      </c>
      <c r="N7643" t="str">
        <f t="shared" si="477"/>
        <v>High</v>
      </c>
      <c r="O7643" t="str">
        <f t="shared" si="478"/>
        <v>Zero Balance</v>
      </c>
      <c r="P7643" t="str">
        <f t="shared" si="479"/>
        <v>Long-term</v>
      </c>
    </row>
    <row r="7644" spans="1:16" x14ac:dyDescent="0.25">
      <c r="A7644">
        <v>2025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  <c r="M7644" t="str">
        <f t="shared" si="476"/>
        <v>30-45</v>
      </c>
      <c r="N7644" t="str">
        <f t="shared" si="477"/>
        <v>High</v>
      </c>
      <c r="O7644" t="str">
        <f t="shared" si="478"/>
        <v>High Balance</v>
      </c>
      <c r="P7644" t="str">
        <f t="shared" si="479"/>
        <v>New</v>
      </c>
    </row>
    <row r="7645" spans="1:16" x14ac:dyDescent="0.25">
      <c r="A7645">
        <v>2025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  <c r="M7645" t="str">
        <f t="shared" si="476"/>
        <v>30-45</v>
      </c>
      <c r="N7645" t="str">
        <f t="shared" si="477"/>
        <v>High</v>
      </c>
      <c r="O7645" t="str">
        <f t="shared" si="478"/>
        <v>Zero Balance</v>
      </c>
      <c r="P7645" t="str">
        <f t="shared" si="479"/>
        <v>Mid-term</v>
      </c>
    </row>
    <row r="7646" spans="1:16" x14ac:dyDescent="0.25">
      <c r="A7646">
        <v>2025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  <c r="M7646" t="str">
        <f t="shared" si="476"/>
        <v>&lt;30</v>
      </c>
      <c r="N7646" t="str">
        <f t="shared" si="477"/>
        <v>Medium</v>
      </c>
      <c r="O7646" t="str">
        <f t="shared" si="478"/>
        <v>Zero Balance</v>
      </c>
      <c r="P7646" t="str">
        <f t="shared" si="479"/>
        <v>Long-term</v>
      </c>
    </row>
    <row r="7647" spans="1:16" x14ac:dyDescent="0.25">
      <c r="A7647">
        <v>2025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  <c r="M7647" t="str">
        <f t="shared" si="476"/>
        <v>30-45</v>
      </c>
      <c r="N7647" t="str">
        <f t="shared" si="477"/>
        <v>Medium</v>
      </c>
      <c r="O7647" t="str">
        <f t="shared" si="478"/>
        <v>High Balance</v>
      </c>
      <c r="P7647" t="str">
        <f t="shared" si="479"/>
        <v>Long-term</v>
      </c>
    </row>
    <row r="7648" spans="1:16" x14ac:dyDescent="0.25">
      <c r="A7648">
        <v>2025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  <c r="M7648" t="str">
        <f t="shared" si="476"/>
        <v>30-45</v>
      </c>
      <c r="N7648" t="str">
        <f t="shared" si="477"/>
        <v>Medium</v>
      </c>
      <c r="O7648" t="str">
        <f t="shared" si="478"/>
        <v>High Balance</v>
      </c>
      <c r="P7648" t="str">
        <f t="shared" si="479"/>
        <v>Long-term</v>
      </c>
    </row>
    <row r="7649" spans="1:16" x14ac:dyDescent="0.25">
      <c r="A7649">
        <v>2025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  <c r="M7649" t="str">
        <f t="shared" si="476"/>
        <v>&lt;30</v>
      </c>
      <c r="N7649" t="str">
        <f t="shared" si="477"/>
        <v>High</v>
      </c>
      <c r="O7649" t="str">
        <f t="shared" si="478"/>
        <v>Low Balance</v>
      </c>
      <c r="P7649" t="str">
        <f t="shared" si="479"/>
        <v>New</v>
      </c>
    </row>
    <row r="7650" spans="1:16" x14ac:dyDescent="0.25">
      <c r="A7650">
        <v>2025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  <c r="M7650" t="str">
        <f t="shared" si="476"/>
        <v>30-45</v>
      </c>
      <c r="N7650" t="str">
        <f t="shared" si="477"/>
        <v>Medium</v>
      </c>
      <c r="O7650" t="str">
        <f t="shared" si="478"/>
        <v>Zero Balance</v>
      </c>
      <c r="P7650" t="str">
        <f t="shared" si="479"/>
        <v>Mid-term</v>
      </c>
    </row>
    <row r="7651" spans="1:16" x14ac:dyDescent="0.25">
      <c r="A7651">
        <v>2025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  <c r="M7651" t="str">
        <f t="shared" si="476"/>
        <v>30-45</v>
      </c>
      <c r="N7651" t="str">
        <f t="shared" si="477"/>
        <v>High</v>
      </c>
      <c r="O7651" t="str">
        <f t="shared" si="478"/>
        <v>High Balance</v>
      </c>
      <c r="P7651" t="str">
        <f t="shared" si="479"/>
        <v>New</v>
      </c>
    </row>
    <row r="7652" spans="1:16" x14ac:dyDescent="0.25">
      <c r="A7652">
        <v>2025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  <c r="M7652" t="str">
        <f t="shared" si="476"/>
        <v>30-45</v>
      </c>
      <c r="N7652" t="str">
        <f t="shared" si="477"/>
        <v>High</v>
      </c>
      <c r="O7652" t="str">
        <f t="shared" si="478"/>
        <v>High Balance</v>
      </c>
      <c r="P7652" t="str">
        <f t="shared" si="479"/>
        <v>Long-term</v>
      </c>
    </row>
    <row r="7653" spans="1:16" x14ac:dyDescent="0.25">
      <c r="A7653">
        <v>2025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  <c r="M7653" t="str">
        <f t="shared" si="476"/>
        <v>30-45</v>
      </c>
      <c r="N7653" t="str">
        <f t="shared" si="477"/>
        <v>Low</v>
      </c>
      <c r="O7653" t="str">
        <f t="shared" si="478"/>
        <v>Low Balance</v>
      </c>
      <c r="P7653" t="str">
        <f t="shared" si="479"/>
        <v>Mid-term</v>
      </c>
    </row>
    <row r="7654" spans="1:16" x14ac:dyDescent="0.25">
      <c r="A7654">
        <v>2025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  <c r="M7654" t="str">
        <f t="shared" si="476"/>
        <v>&lt;30</v>
      </c>
      <c r="N7654" t="str">
        <f t="shared" si="477"/>
        <v>High</v>
      </c>
      <c r="O7654" t="str">
        <f t="shared" si="478"/>
        <v>High Balance</v>
      </c>
      <c r="P7654" t="str">
        <f t="shared" si="479"/>
        <v>New</v>
      </c>
    </row>
    <row r="7655" spans="1:16" x14ac:dyDescent="0.25">
      <c r="A7655">
        <v>2025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  <c r="M7655" t="str">
        <f t="shared" si="476"/>
        <v>30-45</v>
      </c>
      <c r="N7655" t="str">
        <f t="shared" si="477"/>
        <v>Medium</v>
      </c>
      <c r="O7655" t="str">
        <f t="shared" si="478"/>
        <v>High Balance</v>
      </c>
      <c r="P7655" t="str">
        <f t="shared" si="479"/>
        <v>Mid-term</v>
      </c>
    </row>
    <row r="7656" spans="1:16" x14ac:dyDescent="0.25">
      <c r="A7656">
        <v>2025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  <c r="M7656" t="str">
        <f t="shared" si="476"/>
        <v>30-45</v>
      </c>
      <c r="N7656" t="str">
        <f t="shared" si="477"/>
        <v>Medium</v>
      </c>
      <c r="O7656" t="str">
        <f t="shared" si="478"/>
        <v>Low Balance</v>
      </c>
      <c r="P7656" t="str">
        <f t="shared" si="479"/>
        <v>Mid-term</v>
      </c>
    </row>
    <row r="7657" spans="1:16" x14ac:dyDescent="0.25">
      <c r="A7657">
        <v>2025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  <c r="M7657" t="str">
        <f t="shared" si="476"/>
        <v>30-45</v>
      </c>
      <c r="N7657" t="str">
        <f t="shared" si="477"/>
        <v>High</v>
      </c>
      <c r="O7657" t="str">
        <f t="shared" si="478"/>
        <v>High Balance</v>
      </c>
      <c r="P7657" t="str">
        <f t="shared" si="479"/>
        <v>Mid-term</v>
      </c>
    </row>
    <row r="7658" spans="1:16" x14ac:dyDescent="0.25">
      <c r="A7658">
        <v>2025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  <c r="M7658" t="str">
        <f t="shared" si="476"/>
        <v>46-60</v>
      </c>
      <c r="N7658" t="str">
        <f t="shared" si="477"/>
        <v>Low</v>
      </c>
      <c r="O7658" t="str">
        <f t="shared" si="478"/>
        <v>High Balance</v>
      </c>
      <c r="P7658" t="str">
        <f t="shared" si="479"/>
        <v>Long-term</v>
      </c>
    </row>
    <row r="7659" spans="1:16" x14ac:dyDescent="0.25">
      <c r="A7659">
        <v>2025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  <c r="M7659" t="str">
        <f t="shared" si="476"/>
        <v>30-45</v>
      </c>
      <c r="N7659" t="str">
        <f t="shared" si="477"/>
        <v>Medium</v>
      </c>
      <c r="O7659" t="str">
        <f t="shared" si="478"/>
        <v>High Balance</v>
      </c>
      <c r="P7659" t="str">
        <f t="shared" si="479"/>
        <v>Mid-term</v>
      </c>
    </row>
    <row r="7660" spans="1:16" x14ac:dyDescent="0.25">
      <c r="A7660">
        <v>2025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  <c r="M7660" t="str">
        <f t="shared" si="476"/>
        <v>46-60</v>
      </c>
      <c r="N7660" t="str">
        <f t="shared" si="477"/>
        <v>High</v>
      </c>
      <c r="O7660" t="str">
        <f t="shared" si="478"/>
        <v>Zero Balance</v>
      </c>
      <c r="P7660" t="str">
        <f t="shared" si="479"/>
        <v>New</v>
      </c>
    </row>
    <row r="7661" spans="1:16" x14ac:dyDescent="0.25">
      <c r="A7661">
        <v>2025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  <c r="M7661" t="str">
        <f t="shared" si="476"/>
        <v>30-45</v>
      </c>
      <c r="N7661" t="str">
        <f t="shared" si="477"/>
        <v>Medium</v>
      </c>
      <c r="O7661" t="str">
        <f t="shared" si="478"/>
        <v>High Balance</v>
      </c>
      <c r="P7661" t="str">
        <f t="shared" si="479"/>
        <v>Long-term</v>
      </c>
    </row>
    <row r="7662" spans="1:16" x14ac:dyDescent="0.25">
      <c r="A7662">
        <v>2025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  <c r="M7662" t="str">
        <f t="shared" si="476"/>
        <v>30-45</v>
      </c>
      <c r="N7662" t="str">
        <f t="shared" si="477"/>
        <v>Low</v>
      </c>
      <c r="O7662" t="str">
        <f t="shared" si="478"/>
        <v>Zero Balance</v>
      </c>
      <c r="P7662" t="str">
        <f t="shared" si="479"/>
        <v>Mid-term</v>
      </c>
    </row>
    <row r="7663" spans="1:16" x14ac:dyDescent="0.25">
      <c r="A7663">
        <v>2025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  <c r="M7663" t="str">
        <f t="shared" si="476"/>
        <v>30-45</v>
      </c>
      <c r="N7663" t="str">
        <f t="shared" si="477"/>
        <v>Medium</v>
      </c>
      <c r="O7663" t="str">
        <f t="shared" si="478"/>
        <v>High Balance</v>
      </c>
      <c r="P7663" t="str">
        <f t="shared" si="479"/>
        <v>New</v>
      </c>
    </row>
    <row r="7664" spans="1:16" x14ac:dyDescent="0.25">
      <c r="A7664">
        <v>2025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  <c r="M7664" t="str">
        <f t="shared" si="476"/>
        <v>46-60</v>
      </c>
      <c r="N7664" t="str">
        <f t="shared" si="477"/>
        <v>High</v>
      </c>
      <c r="O7664" t="str">
        <f t="shared" si="478"/>
        <v>High Balance</v>
      </c>
      <c r="P7664" t="str">
        <f t="shared" si="479"/>
        <v>Long-term</v>
      </c>
    </row>
    <row r="7665" spans="1:16" x14ac:dyDescent="0.25">
      <c r="A7665">
        <v>2025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  <c r="M7665" t="str">
        <f t="shared" si="476"/>
        <v>30-45</v>
      </c>
      <c r="N7665" t="str">
        <f t="shared" si="477"/>
        <v>Medium</v>
      </c>
      <c r="O7665" t="str">
        <f t="shared" si="478"/>
        <v>Zero Balance</v>
      </c>
      <c r="P7665" t="str">
        <f t="shared" si="479"/>
        <v>Long-term</v>
      </c>
    </row>
    <row r="7666" spans="1:16" x14ac:dyDescent="0.25">
      <c r="A7666">
        <v>2025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  <c r="M7666" t="str">
        <f t="shared" si="476"/>
        <v>30-45</v>
      </c>
      <c r="N7666" t="str">
        <f t="shared" si="477"/>
        <v>Medium</v>
      </c>
      <c r="O7666" t="str">
        <f t="shared" si="478"/>
        <v>Zero Balance</v>
      </c>
      <c r="P7666" t="str">
        <f t="shared" si="479"/>
        <v>Long-term</v>
      </c>
    </row>
    <row r="7667" spans="1:16" x14ac:dyDescent="0.25">
      <c r="A7667">
        <v>2025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  <c r="M7667" t="str">
        <f t="shared" si="476"/>
        <v>30-45</v>
      </c>
      <c r="N7667" t="str">
        <f t="shared" si="477"/>
        <v>Medium</v>
      </c>
      <c r="O7667" t="str">
        <f t="shared" si="478"/>
        <v>High Balance</v>
      </c>
      <c r="P7667" t="str">
        <f t="shared" si="479"/>
        <v>New</v>
      </c>
    </row>
    <row r="7668" spans="1:16" x14ac:dyDescent="0.25">
      <c r="A7668">
        <v>2025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  <c r="M7668" t="str">
        <f t="shared" si="476"/>
        <v>&lt;30</v>
      </c>
      <c r="N7668" t="str">
        <f t="shared" si="477"/>
        <v>Low</v>
      </c>
      <c r="O7668" t="str">
        <f t="shared" si="478"/>
        <v>Zero Balance</v>
      </c>
      <c r="P7668" t="str">
        <f t="shared" si="479"/>
        <v>Mid-term</v>
      </c>
    </row>
    <row r="7669" spans="1:16" x14ac:dyDescent="0.25">
      <c r="A7669">
        <v>2025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  <c r="M7669" t="str">
        <f t="shared" si="476"/>
        <v>&lt;30</v>
      </c>
      <c r="N7669" t="str">
        <f t="shared" si="477"/>
        <v>High</v>
      </c>
      <c r="O7669" t="str">
        <f t="shared" si="478"/>
        <v>Zero Balance</v>
      </c>
      <c r="P7669" t="str">
        <f t="shared" si="479"/>
        <v>New</v>
      </c>
    </row>
    <row r="7670" spans="1:16" x14ac:dyDescent="0.25">
      <c r="A7670">
        <v>2025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  <c r="M7670" t="str">
        <f t="shared" si="476"/>
        <v>60+</v>
      </c>
      <c r="N7670" t="str">
        <f t="shared" si="477"/>
        <v>Medium</v>
      </c>
      <c r="O7670" t="str">
        <f t="shared" si="478"/>
        <v>High Balance</v>
      </c>
      <c r="P7670" t="str">
        <f t="shared" si="479"/>
        <v>Mid-term</v>
      </c>
    </row>
    <row r="7671" spans="1:16" x14ac:dyDescent="0.25">
      <c r="A7671">
        <v>2025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  <c r="M7671" t="str">
        <f t="shared" si="476"/>
        <v>30-45</v>
      </c>
      <c r="N7671" t="str">
        <f t="shared" si="477"/>
        <v>Medium</v>
      </c>
      <c r="O7671" t="str">
        <f t="shared" si="478"/>
        <v>Zero Balance</v>
      </c>
      <c r="P7671" t="str">
        <f t="shared" si="479"/>
        <v>Mid-term</v>
      </c>
    </row>
    <row r="7672" spans="1:16" x14ac:dyDescent="0.25">
      <c r="A7672">
        <v>2025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  <c r="M7672" t="str">
        <f t="shared" si="476"/>
        <v>&lt;30</v>
      </c>
      <c r="N7672" t="str">
        <f t="shared" si="477"/>
        <v>Medium</v>
      </c>
      <c r="O7672" t="str">
        <f t="shared" si="478"/>
        <v>High Balance</v>
      </c>
      <c r="P7672" t="str">
        <f t="shared" si="479"/>
        <v>Mid-term</v>
      </c>
    </row>
    <row r="7673" spans="1:16" x14ac:dyDescent="0.25">
      <c r="A7673">
        <v>2025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  <c r="M7673" t="str">
        <f t="shared" si="476"/>
        <v>30-45</v>
      </c>
      <c r="N7673" t="str">
        <f t="shared" si="477"/>
        <v>Low</v>
      </c>
      <c r="O7673" t="str">
        <f t="shared" si="478"/>
        <v>Zero Balance</v>
      </c>
      <c r="P7673" t="str">
        <f t="shared" si="479"/>
        <v>Long-term</v>
      </c>
    </row>
    <row r="7674" spans="1:16" x14ac:dyDescent="0.25">
      <c r="A7674">
        <v>2025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  <c r="M7674" t="str">
        <f t="shared" si="476"/>
        <v>30-45</v>
      </c>
      <c r="N7674" t="str">
        <f t="shared" si="477"/>
        <v>Medium</v>
      </c>
      <c r="O7674" t="str">
        <f t="shared" si="478"/>
        <v>Zero Balance</v>
      </c>
      <c r="P7674" t="str">
        <f t="shared" si="479"/>
        <v>New</v>
      </c>
    </row>
    <row r="7675" spans="1:16" x14ac:dyDescent="0.25">
      <c r="A7675">
        <v>2025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  <c r="M7675" t="str">
        <f t="shared" si="476"/>
        <v>30-45</v>
      </c>
      <c r="N7675" t="str">
        <f t="shared" si="477"/>
        <v>High</v>
      </c>
      <c r="O7675" t="str">
        <f t="shared" si="478"/>
        <v>High Balance</v>
      </c>
      <c r="P7675" t="str">
        <f t="shared" si="479"/>
        <v>New</v>
      </c>
    </row>
    <row r="7676" spans="1:16" x14ac:dyDescent="0.25">
      <c r="A7676">
        <v>2025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  <c r="M7676" t="str">
        <f t="shared" si="476"/>
        <v>&lt;30</v>
      </c>
      <c r="N7676" t="str">
        <f t="shared" si="477"/>
        <v>Medium</v>
      </c>
      <c r="O7676" t="str">
        <f t="shared" si="478"/>
        <v>High Balance</v>
      </c>
      <c r="P7676" t="str">
        <f t="shared" si="479"/>
        <v>Long-term</v>
      </c>
    </row>
    <row r="7677" spans="1:16" x14ac:dyDescent="0.25">
      <c r="A7677">
        <v>2025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  <c r="M7677" t="str">
        <f t="shared" si="476"/>
        <v>30-45</v>
      </c>
      <c r="N7677" t="str">
        <f t="shared" si="477"/>
        <v>Medium</v>
      </c>
      <c r="O7677" t="str">
        <f t="shared" si="478"/>
        <v>High Balance</v>
      </c>
      <c r="P7677" t="str">
        <f t="shared" si="479"/>
        <v>Mid-term</v>
      </c>
    </row>
    <row r="7678" spans="1:16" x14ac:dyDescent="0.25">
      <c r="A7678">
        <v>2025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  <c r="M7678" t="str">
        <f t="shared" si="476"/>
        <v>30-45</v>
      </c>
      <c r="N7678" t="str">
        <f t="shared" si="477"/>
        <v>Low</v>
      </c>
      <c r="O7678" t="str">
        <f t="shared" si="478"/>
        <v>High Balance</v>
      </c>
      <c r="P7678" t="str">
        <f t="shared" si="479"/>
        <v>Mid-term</v>
      </c>
    </row>
    <row r="7679" spans="1:16" x14ac:dyDescent="0.25">
      <c r="A7679">
        <v>2025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  <c r="M7679" t="str">
        <f t="shared" si="476"/>
        <v>30-45</v>
      </c>
      <c r="N7679" t="str">
        <f t="shared" si="477"/>
        <v>Medium</v>
      </c>
      <c r="O7679" t="str">
        <f t="shared" si="478"/>
        <v>High Balance</v>
      </c>
      <c r="P7679" t="str">
        <f t="shared" si="479"/>
        <v>Mid-term</v>
      </c>
    </row>
    <row r="7680" spans="1:16" x14ac:dyDescent="0.25">
      <c r="A7680">
        <v>2025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  <c r="M7680" t="str">
        <f t="shared" si="476"/>
        <v>30-45</v>
      </c>
      <c r="N7680" t="str">
        <f t="shared" si="477"/>
        <v>Medium</v>
      </c>
      <c r="O7680" t="str">
        <f t="shared" si="478"/>
        <v>High Balance</v>
      </c>
      <c r="P7680" t="str">
        <f t="shared" si="479"/>
        <v>Mid-term</v>
      </c>
    </row>
    <row r="7681" spans="1:16" x14ac:dyDescent="0.25">
      <c r="A7681">
        <v>2025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  <c r="M7681" t="str">
        <f t="shared" si="476"/>
        <v>30-45</v>
      </c>
      <c r="N7681" t="str">
        <f t="shared" si="477"/>
        <v>Medium</v>
      </c>
      <c r="O7681" t="str">
        <f t="shared" si="478"/>
        <v>Low Balance</v>
      </c>
      <c r="P7681" t="str">
        <f t="shared" si="479"/>
        <v>Long-term</v>
      </c>
    </row>
    <row r="7682" spans="1:16" x14ac:dyDescent="0.25">
      <c r="A7682">
        <v>2025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  <c r="M7682" t="str">
        <f t="shared" si="476"/>
        <v>&lt;30</v>
      </c>
      <c r="N7682" t="str">
        <f t="shared" si="477"/>
        <v>High</v>
      </c>
      <c r="O7682" t="str">
        <f t="shared" si="478"/>
        <v>Zero Balance</v>
      </c>
      <c r="P7682" t="str">
        <f t="shared" si="479"/>
        <v>Mid-term</v>
      </c>
    </row>
    <row r="7683" spans="1:16" x14ac:dyDescent="0.25">
      <c r="A7683">
        <v>2025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  <c r="M7683" t="str">
        <f t="shared" ref="M7683:M7746" si="480">IF(E7683&lt;30,"&lt;30",IF(E7683&lt;=45,"30-45",IF(E7683&lt;=60,"46-60","60+")))</f>
        <v>30-45</v>
      </c>
      <c r="N7683" t="str">
        <f t="shared" ref="N7683:N7746" si="481">IF(B7683&lt;500,"Low",IF(B7683&lt;700,"Medium","High"))</f>
        <v>Medium</v>
      </c>
      <c r="O7683" t="str">
        <f t="shared" ref="O7683:O7746" si="482">IF(G7683=0,"Zero Balance",IF(G7683&lt;100000,"Low Balance","High Balance"))</f>
        <v>High Balance</v>
      </c>
      <c r="P7683" t="str">
        <f t="shared" ref="P7683:P7746" si="483">IF(F7683&lt;=3,"New",IF(F7683&lt;=7,"Mid-term","Long-term"))</f>
        <v>New</v>
      </c>
    </row>
    <row r="7684" spans="1:16" x14ac:dyDescent="0.25">
      <c r="A7684">
        <v>2025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  <c r="M7684" t="str">
        <f t="shared" si="480"/>
        <v>&lt;30</v>
      </c>
      <c r="N7684" t="str">
        <f t="shared" si="481"/>
        <v>High</v>
      </c>
      <c r="O7684" t="str">
        <f t="shared" si="482"/>
        <v>Zero Balance</v>
      </c>
      <c r="P7684" t="str">
        <f t="shared" si="483"/>
        <v>Long-term</v>
      </c>
    </row>
    <row r="7685" spans="1:16" x14ac:dyDescent="0.25">
      <c r="A7685">
        <v>2025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  <c r="M7685" t="str">
        <f t="shared" si="480"/>
        <v>&lt;30</v>
      </c>
      <c r="N7685" t="str">
        <f t="shared" si="481"/>
        <v>Medium</v>
      </c>
      <c r="O7685" t="str">
        <f t="shared" si="482"/>
        <v>High Balance</v>
      </c>
      <c r="P7685" t="str">
        <f t="shared" si="483"/>
        <v>Mid-term</v>
      </c>
    </row>
    <row r="7686" spans="1:16" x14ac:dyDescent="0.25">
      <c r="A7686">
        <v>2025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  <c r="M7686" t="str">
        <f t="shared" si="480"/>
        <v>30-45</v>
      </c>
      <c r="N7686" t="str">
        <f t="shared" si="481"/>
        <v>Medium</v>
      </c>
      <c r="O7686" t="str">
        <f t="shared" si="482"/>
        <v>High Balance</v>
      </c>
      <c r="P7686" t="str">
        <f t="shared" si="483"/>
        <v>New</v>
      </c>
    </row>
    <row r="7687" spans="1:16" x14ac:dyDescent="0.25">
      <c r="A7687">
        <v>2025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  <c r="M7687" t="str">
        <f t="shared" si="480"/>
        <v>30-45</v>
      </c>
      <c r="N7687" t="str">
        <f t="shared" si="481"/>
        <v>High</v>
      </c>
      <c r="O7687" t="str">
        <f t="shared" si="482"/>
        <v>Low Balance</v>
      </c>
      <c r="P7687" t="str">
        <f t="shared" si="483"/>
        <v>New</v>
      </c>
    </row>
    <row r="7688" spans="1:16" x14ac:dyDescent="0.25">
      <c r="A7688">
        <v>2025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  <c r="M7688" t="str">
        <f t="shared" si="480"/>
        <v>46-60</v>
      </c>
      <c r="N7688" t="str">
        <f t="shared" si="481"/>
        <v>High</v>
      </c>
      <c r="O7688" t="str">
        <f t="shared" si="482"/>
        <v>Zero Balance</v>
      </c>
      <c r="P7688" t="str">
        <f t="shared" si="483"/>
        <v>Long-term</v>
      </c>
    </row>
    <row r="7689" spans="1:16" x14ac:dyDescent="0.25">
      <c r="A7689">
        <v>2025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  <c r="M7689" t="str">
        <f t="shared" si="480"/>
        <v>60+</v>
      </c>
      <c r="N7689" t="str">
        <f t="shared" si="481"/>
        <v>High</v>
      </c>
      <c r="O7689" t="str">
        <f t="shared" si="482"/>
        <v>High Balance</v>
      </c>
      <c r="P7689" t="str">
        <f t="shared" si="483"/>
        <v>Mid-term</v>
      </c>
    </row>
    <row r="7690" spans="1:16" x14ac:dyDescent="0.25">
      <c r="A7690">
        <v>2025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  <c r="M7690" t="str">
        <f t="shared" si="480"/>
        <v>30-45</v>
      </c>
      <c r="N7690" t="str">
        <f t="shared" si="481"/>
        <v>High</v>
      </c>
      <c r="O7690" t="str">
        <f t="shared" si="482"/>
        <v>High Balance</v>
      </c>
      <c r="P7690" t="str">
        <f t="shared" si="483"/>
        <v>Mid-term</v>
      </c>
    </row>
    <row r="7691" spans="1:16" x14ac:dyDescent="0.25">
      <c r="A7691">
        <v>2025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  <c r="M7691" t="str">
        <f t="shared" si="480"/>
        <v>46-60</v>
      </c>
      <c r="N7691" t="str">
        <f t="shared" si="481"/>
        <v>Medium</v>
      </c>
      <c r="O7691" t="str">
        <f t="shared" si="482"/>
        <v>Low Balance</v>
      </c>
      <c r="P7691" t="str">
        <f t="shared" si="483"/>
        <v>Mid-term</v>
      </c>
    </row>
    <row r="7692" spans="1:16" x14ac:dyDescent="0.25">
      <c r="A7692">
        <v>2025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  <c r="M7692" t="str">
        <f t="shared" si="480"/>
        <v>30-45</v>
      </c>
      <c r="N7692" t="str">
        <f t="shared" si="481"/>
        <v>Medium</v>
      </c>
      <c r="O7692" t="str">
        <f t="shared" si="482"/>
        <v>High Balance</v>
      </c>
      <c r="P7692" t="str">
        <f t="shared" si="483"/>
        <v>New</v>
      </c>
    </row>
    <row r="7693" spans="1:16" x14ac:dyDescent="0.25">
      <c r="A7693">
        <v>2025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  <c r="M7693" t="str">
        <f t="shared" si="480"/>
        <v>30-45</v>
      </c>
      <c r="N7693" t="str">
        <f t="shared" si="481"/>
        <v>Medium</v>
      </c>
      <c r="O7693" t="str">
        <f t="shared" si="482"/>
        <v>High Balance</v>
      </c>
      <c r="P7693" t="str">
        <f t="shared" si="483"/>
        <v>New</v>
      </c>
    </row>
    <row r="7694" spans="1:16" x14ac:dyDescent="0.25">
      <c r="A7694">
        <v>2025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  <c r="M7694" t="str">
        <f t="shared" si="480"/>
        <v>60+</v>
      </c>
      <c r="N7694" t="str">
        <f t="shared" si="481"/>
        <v>Medium</v>
      </c>
      <c r="O7694" t="str">
        <f t="shared" si="482"/>
        <v>High Balance</v>
      </c>
      <c r="P7694" t="str">
        <f t="shared" si="483"/>
        <v>Mid-term</v>
      </c>
    </row>
    <row r="7695" spans="1:16" x14ac:dyDescent="0.25">
      <c r="A7695">
        <v>2025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  <c r="M7695" t="str">
        <f t="shared" si="480"/>
        <v>46-60</v>
      </c>
      <c r="N7695" t="str">
        <f t="shared" si="481"/>
        <v>High</v>
      </c>
      <c r="O7695" t="str">
        <f t="shared" si="482"/>
        <v>High Balance</v>
      </c>
      <c r="P7695" t="str">
        <f t="shared" si="483"/>
        <v>Mid-term</v>
      </c>
    </row>
    <row r="7696" spans="1:16" x14ac:dyDescent="0.25">
      <c r="A7696">
        <v>2025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  <c r="M7696" t="str">
        <f t="shared" si="480"/>
        <v>60+</v>
      </c>
      <c r="N7696" t="str">
        <f t="shared" si="481"/>
        <v>Medium</v>
      </c>
      <c r="O7696" t="str">
        <f t="shared" si="482"/>
        <v>High Balance</v>
      </c>
      <c r="P7696" t="str">
        <f t="shared" si="483"/>
        <v>Mid-term</v>
      </c>
    </row>
    <row r="7697" spans="1:16" x14ac:dyDescent="0.25">
      <c r="A7697">
        <v>2025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  <c r="M7697" t="str">
        <f t="shared" si="480"/>
        <v>46-60</v>
      </c>
      <c r="N7697" t="str">
        <f t="shared" si="481"/>
        <v>High</v>
      </c>
      <c r="O7697" t="str">
        <f t="shared" si="482"/>
        <v>Low Balance</v>
      </c>
      <c r="P7697" t="str">
        <f t="shared" si="483"/>
        <v>Long-term</v>
      </c>
    </row>
    <row r="7698" spans="1:16" x14ac:dyDescent="0.25">
      <c r="A7698">
        <v>2025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  <c r="M7698" t="str">
        <f t="shared" si="480"/>
        <v>30-45</v>
      </c>
      <c r="N7698" t="str">
        <f t="shared" si="481"/>
        <v>Medium</v>
      </c>
      <c r="O7698" t="str">
        <f t="shared" si="482"/>
        <v>High Balance</v>
      </c>
      <c r="P7698" t="str">
        <f t="shared" si="483"/>
        <v>Long-term</v>
      </c>
    </row>
    <row r="7699" spans="1:16" x14ac:dyDescent="0.25">
      <c r="A7699">
        <v>2025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  <c r="M7699" t="str">
        <f t="shared" si="480"/>
        <v>30-45</v>
      </c>
      <c r="N7699" t="str">
        <f t="shared" si="481"/>
        <v>Medium</v>
      </c>
      <c r="O7699" t="str">
        <f t="shared" si="482"/>
        <v>Zero Balance</v>
      </c>
      <c r="P7699" t="str">
        <f t="shared" si="483"/>
        <v>New</v>
      </c>
    </row>
    <row r="7700" spans="1:16" x14ac:dyDescent="0.25">
      <c r="A7700">
        <v>2025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  <c r="M7700" t="str">
        <f t="shared" si="480"/>
        <v>46-60</v>
      </c>
      <c r="N7700" t="str">
        <f t="shared" si="481"/>
        <v>Medium</v>
      </c>
      <c r="O7700" t="str">
        <f t="shared" si="482"/>
        <v>Zero Balance</v>
      </c>
      <c r="P7700" t="str">
        <f t="shared" si="483"/>
        <v>Long-term</v>
      </c>
    </row>
    <row r="7701" spans="1:16" x14ac:dyDescent="0.25">
      <c r="A7701">
        <v>2025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  <c r="M7701" t="str">
        <f t="shared" si="480"/>
        <v>30-45</v>
      </c>
      <c r="N7701" t="str">
        <f t="shared" si="481"/>
        <v>Medium</v>
      </c>
      <c r="O7701" t="str">
        <f t="shared" si="482"/>
        <v>Zero Balance</v>
      </c>
      <c r="P7701" t="str">
        <f t="shared" si="483"/>
        <v>Long-term</v>
      </c>
    </row>
    <row r="7702" spans="1:16" x14ac:dyDescent="0.25">
      <c r="A7702">
        <v>2025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  <c r="M7702" t="str">
        <f t="shared" si="480"/>
        <v>30-45</v>
      </c>
      <c r="N7702" t="str">
        <f t="shared" si="481"/>
        <v>High</v>
      </c>
      <c r="O7702" t="str">
        <f t="shared" si="482"/>
        <v>High Balance</v>
      </c>
      <c r="P7702" t="str">
        <f t="shared" si="483"/>
        <v>Mid-term</v>
      </c>
    </row>
    <row r="7703" spans="1:16" x14ac:dyDescent="0.25">
      <c r="A7703">
        <v>2025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  <c r="M7703" t="str">
        <f t="shared" si="480"/>
        <v>&lt;30</v>
      </c>
      <c r="N7703" t="str">
        <f t="shared" si="481"/>
        <v>Medium</v>
      </c>
      <c r="O7703" t="str">
        <f t="shared" si="482"/>
        <v>Low Balance</v>
      </c>
      <c r="P7703" t="str">
        <f t="shared" si="483"/>
        <v>New</v>
      </c>
    </row>
    <row r="7704" spans="1:16" x14ac:dyDescent="0.25">
      <c r="A7704">
        <v>2025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  <c r="M7704" t="str">
        <f t="shared" si="480"/>
        <v>30-45</v>
      </c>
      <c r="N7704" t="str">
        <f t="shared" si="481"/>
        <v>High</v>
      </c>
      <c r="O7704" t="str">
        <f t="shared" si="482"/>
        <v>Zero Balance</v>
      </c>
      <c r="P7704" t="str">
        <f t="shared" si="483"/>
        <v>Long-term</v>
      </c>
    </row>
    <row r="7705" spans="1:16" x14ac:dyDescent="0.25">
      <c r="A7705">
        <v>2025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  <c r="M7705" t="str">
        <f t="shared" si="480"/>
        <v>46-60</v>
      </c>
      <c r="N7705" t="str">
        <f t="shared" si="481"/>
        <v>Medium</v>
      </c>
      <c r="O7705" t="str">
        <f t="shared" si="482"/>
        <v>High Balance</v>
      </c>
      <c r="P7705" t="str">
        <f t="shared" si="483"/>
        <v>New</v>
      </c>
    </row>
    <row r="7706" spans="1:16" x14ac:dyDescent="0.25">
      <c r="A7706">
        <v>2025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  <c r="M7706" t="str">
        <f t="shared" si="480"/>
        <v>30-45</v>
      </c>
      <c r="N7706" t="str">
        <f t="shared" si="481"/>
        <v>High</v>
      </c>
      <c r="O7706" t="str">
        <f t="shared" si="482"/>
        <v>Zero Balance</v>
      </c>
      <c r="P7706" t="str">
        <f t="shared" si="483"/>
        <v>Long-term</v>
      </c>
    </row>
    <row r="7707" spans="1:16" x14ac:dyDescent="0.25">
      <c r="A7707">
        <v>2025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  <c r="M7707" t="str">
        <f t="shared" si="480"/>
        <v>&lt;30</v>
      </c>
      <c r="N7707" t="str">
        <f t="shared" si="481"/>
        <v>High</v>
      </c>
      <c r="O7707" t="str">
        <f t="shared" si="482"/>
        <v>High Balance</v>
      </c>
      <c r="P7707" t="str">
        <f t="shared" si="483"/>
        <v>Long-term</v>
      </c>
    </row>
    <row r="7708" spans="1:16" x14ac:dyDescent="0.25">
      <c r="A7708">
        <v>2025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  <c r="M7708" t="str">
        <f t="shared" si="480"/>
        <v>30-45</v>
      </c>
      <c r="N7708" t="str">
        <f t="shared" si="481"/>
        <v>Medium</v>
      </c>
      <c r="O7708" t="str">
        <f t="shared" si="482"/>
        <v>Zero Balance</v>
      </c>
      <c r="P7708" t="str">
        <f t="shared" si="483"/>
        <v>Mid-term</v>
      </c>
    </row>
    <row r="7709" spans="1:16" x14ac:dyDescent="0.25">
      <c r="A7709">
        <v>2025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  <c r="M7709" t="str">
        <f t="shared" si="480"/>
        <v>30-45</v>
      </c>
      <c r="N7709" t="str">
        <f t="shared" si="481"/>
        <v>High</v>
      </c>
      <c r="O7709" t="str">
        <f t="shared" si="482"/>
        <v>High Balance</v>
      </c>
      <c r="P7709" t="str">
        <f t="shared" si="483"/>
        <v>Mid-term</v>
      </c>
    </row>
    <row r="7710" spans="1:16" x14ac:dyDescent="0.25">
      <c r="A7710">
        <v>2025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  <c r="M7710" t="str">
        <f t="shared" si="480"/>
        <v>30-45</v>
      </c>
      <c r="N7710" t="str">
        <f t="shared" si="481"/>
        <v>Low</v>
      </c>
      <c r="O7710" t="str">
        <f t="shared" si="482"/>
        <v>Low Balance</v>
      </c>
      <c r="P7710" t="str">
        <f t="shared" si="483"/>
        <v>Long-term</v>
      </c>
    </row>
    <row r="7711" spans="1:16" x14ac:dyDescent="0.25">
      <c r="A7711">
        <v>2025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  <c r="M7711" t="str">
        <f t="shared" si="480"/>
        <v>60+</v>
      </c>
      <c r="N7711" t="str">
        <f t="shared" si="481"/>
        <v>Medium</v>
      </c>
      <c r="O7711" t="str">
        <f t="shared" si="482"/>
        <v>Low Balance</v>
      </c>
      <c r="P7711" t="str">
        <f t="shared" si="483"/>
        <v>New</v>
      </c>
    </row>
    <row r="7712" spans="1:16" x14ac:dyDescent="0.25">
      <c r="A7712">
        <v>2025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  <c r="M7712" t="str">
        <f t="shared" si="480"/>
        <v>30-45</v>
      </c>
      <c r="N7712" t="str">
        <f t="shared" si="481"/>
        <v>Medium</v>
      </c>
      <c r="O7712" t="str">
        <f t="shared" si="482"/>
        <v>Zero Balance</v>
      </c>
      <c r="P7712" t="str">
        <f t="shared" si="483"/>
        <v>New</v>
      </c>
    </row>
    <row r="7713" spans="1:16" x14ac:dyDescent="0.25">
      <c r="A7713">
        <v>2025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  <c r="M7713" t="str">
        <f t="shared" si="480"/>
        <v>46-60</v>
      </c>
      <c r="N7713" t="str">
        <f t="shared" si="481"/>
        <v>Medium</v>
      </c>
      <c r="O7713" t="str">
        <f t="shared" si="482"/>
        <v>High Balance</v>
      </c>
      <c r="P7713" t="str">
        <f t="shared" si="483"/>
        <v>Long-term</v>
      </c>
    </row>
    <row r="7714" spans="1:16" x14ac:dyDescent="0.25">
      <c r="A7714">
        <v>2025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  <c r="M7714" t="str">
        <f t="shared" si="480"/>
        <v>30-45</v>
      </c>
      <c r="N7714" t="str">
        <f t="shared" si="481"/>
        <v>Medium</v>
      </c>
      <c r="O7714" t="str">
        <f t="shared" si="482"/>
        <v>Zero Balance</v>
      </c>
      <c r="P7714" t="str">
        <f t="shared" si="483"/>
        <v>New</v>
      </c>
    </row>
    <row r="7715" spans="1:16" x14ac:dyDescent="0.25">
      <c r="A7715">
        <v>2025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  <c r="M7715" t="str">
        <f t="shared" si="480"/>
        <v>46-60</v>
      </c>
      <c r="N7715" t="str">
        <f t="shared" si="481"/>
        <v>High</v>
      </c>
      <c r="O7715" t="str">
        <f t="shared" si="482"/>
        <v>High Balance</v>
      </c>
      <c r="P7715" t="str">
        <f t="shared" si="483"/>
        <v>Long-term</v>
      </c>
    </row>
    <row r="7716" spans="1:16" x14ac:dyDescent="0.25">
      <c r="A7716">
        <v>2025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  <c r="M7716" t="str">
        <f t="shared" si="480"/>
        <v>30-45</v>
      </c>
      <c r="N7716" t="str">
        <f t="shared" si="481"/>
        <v>Medium</v>
      </c>
      <c r="O7716" t="str">
        <f t="shared" si="482"/>
        <v>Zero Balance</v>
      </c>
      <c r="P7716" t="str">
        <f t="shared" si="483"/>
        <v>Long-term</v>
      </c>
    </row>
    <row r="7717" spans="1:16" x14ac:dyDescent="0.25">
      <c r="A7717">
        <v>2025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  <c r="M7717" t="str">
        <f t="shared" si="480"/>
        <v>60+</v>
      </c>
      <c r="N7717" t="str">
        <f t="shared" si="481"/>
        <v>Medium</v>
      </c>
      <c r="O7717" t="str">
        <f t="shared" si="482"/>
        <v>Low Balance</v>
      </c>
      <c r="P7717" t="str">
        <f t="shared" si="483"/>
        <v>New</v>
      </c>
    </row>
    <row r="7718" spans="1:16" x14ac:dyDescent="0.25">
      <c r="A7718">
        <v>2025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  <c r="M7718" t="str">
        <f t="shared" si="480"/>
        <v>30-45</v>
      </c>
      <c r="N7718" t="str">
        <f t="shared" si="481"/>
        <v>Medium</v>
      </c>
      <c r="O7718" t="str">
        <f t="shared" si="482"/>
        <v>High Balance</v>
      </c>
      <c r="P7718" t="str">
        <f t="shared" si="483"/>
        <v>Long-term</v>
      </c>
    </row>
    <row r="7719" spans="1:16" x14ac:dyDescent="0.25">
      <c r="A7719">
        <v>2025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  <c r="M7719" t="str">
        <f t="shared" si="480"/>
        <v>46-60</v>
      </c>
      <c r="N7719" t="str">
        <f t="shared" si="481"/>
        <v>Medium</v>
      </c>
      <c r="O7719" t="str">
        <f t="shared" si="482"/>
        <v>Zero Balance</v>
      </c>
      <c r="P7719" t="str">
        <f t="shared" si="483"/>
        <v>New</v>
      </c>
    </row>
    <row r="7720" spans="1:16" x14ac:dyDescent="0.25">
      <c r="A7720">
        <v>2025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  <c r="M7720" t="str">
        <f t="shared" si="480"/>
        <v>46-60</v>
      </c>
      <c r="N7720" t="str">
        <f t="shared" si="481"/>
        <v>High</v>
      </c>
      <c r="O7720" t="str">
        <f t="shared" si="482"/>
        <v>High Balance</v>
      </c>
      <c r="P7720" t="str">
        <f t="shared" si="483"/>
        <v>Mid-term</v>
      </c>
    </row>
    <row r="7721" spans="1:16" x14ac:dyDescent="0.25">
      <c r="A7721">
        <v>2025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  <c r="M7721" t="str">
        <f t="shared" si="480"/>
        <v>60+</v>
      </c>
      <c r="N7721" t="str">
        <f t="shared" si="481"/>
        <v>Medium</v>
      </c>
      <c r="O7721" t="str">
        <f t="shared" si="482"/>
        <v>Low Balance</v>
      </c>
      <c r="P7721" t="str">
        <f t="shared" si="483"/>
        <v>New</v>
      </c>
    </row>
    <row r="7722" spans="1:16" x14ac:dyDescent="0.25">
      <c r="A7722">
        <v>2025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  <c r="M7722" t="str">
        <f t="shared" si="480"/>
        <v>60+</v>
      </c>
      <c r="N7722" t="str">
        <f t="shared" si="481"/>
        <v>Medium</v>
      </c>
      <c r="O7722" t="str">
        <f t="shared" si="482"/>
        <v>Zero Balance</v>
      </c>
      <c r="P7722" t="str">
        <f t="shared" si="483"/>
        <v>New</v>
      </c>
    </row>
    <row r="7723" spans="1:16" x14ac:dyDescent="0.25">
      <c r="A7723">
        <v>2025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  <c r="M7723" t="str">
        <f t="shared" si="480"/>
        <v>30-45</v>
      </c>
      <c r="N7723" t="str">
        <f t="shared" si="481"/>
        <v>High</v>
      </c>
      <c r="O7723" t="str">
        <f t="shared" si="482"/>
        <v>High Balance</v>
      </c>
      <c r="P7723" t="str">
        <f t="shared" si="483"/>
        <v>New</v>
      </c>
    </row>
    <row r="7724" spans="1:16" x14ac:dyDescent="0.25">
      <c r="A7724">
        <v>2025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  <c r="M7724" t="str">
        <f t="shared" si="480"/>
        <v>&lt;30</v>
      </c>
      <c r="N7724" t="str">
        <f t="shared" si="481"/>
        <v>Medium</v>
      </c>
      <c r="O7724" t="str">
        <f t="shared" si="482"/>
        <v>Low Balance</v>
      </c>
      <c r="P7724" t="str">
        <f t="shared" si="483"/>
        <v>Long-term</v>
      </c>
    </row>
    <row r="7725" spans="1:16" x14ac:dyDescent="0.25">
      <c r="A7725">
        <v>2025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  <c r="M7725" t="str">
        <f t="shared" si="480"/>
        <v>30-45</v>
      </c>
      <c r="N7725" t="str">
        <f t="shared" si="481"/>
        <v>Medium</v>
      </c>
      <c r="O7725" t="str">
        <f t="shared" si="482"/>
        <v>Zero Balance</v>
      </c>
      <c r="P7725" t="str">
        <f t="shared" si="483"/>
        <v>Mid-term</v>
      </c>
    </row>
    <row r="7726" spans="1:16" x14ac:dyDescent="0.25">
      <c r="A7726">
        <v>2025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  <c r="M7726" t="str">
        <f t="shared" si="480"/>
        <v>30-45</v>
      </c>
      <c r="N7726" t="str">
        <f t="shared" si="481"/>
        <v>High</v>
      </c>
      <c r="O7726" t="str">
        <f t="shared" si="482"/>
        <v>High Balance</v>
      </c>
      <c r="P7726" t="str">
        <f t="shared" si="483"/>
        <v>New</v>
      </c>
    </row>
    <row r="7727" spans="1:16" x14ac:dyDescent="0.25">
      <c r="A7727">
        <v>2025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  <c r="M7727" t="str">
        <f t="shared" si="480"/>
        <v>30-45</v>
      </c>
      <c r="N7727" t="str">
        <f t="shared" si="481"/>
        <v>Low</v>
      </c>
      <c r="O7727" t="str">
        <f t="shared" si="482"/>
        <v>High Balance</v>
      </c>
      <c r="P7727" t="str">
        <f t="shared" si="483"/>
        <v>Mid-term</v>
      </c>
    </row>
    <row r="7728" spans="1:16" x14ac:dyDescent="0.25">
      <c r="A7728">
        <v>2025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  <c r="M7728" t="str">
        <f t="shared" si="480"/>
        <v>46-60</v>
      </c>
      <c r="N7728" t="str">
        <f t="shared" si="481"/>
        <v>High</v>
      </c>
      <c r="O7728" t="str">
        <f t="shared" si="482"/>
        <v>High Balance</v>
      </c>
      <c r="P7728" t="str">
        <f t="shared" si="483"/>
        <v>Mid-term</v>
      </c>
    </row>
    <row r="7729" spans="1:16" x14ac:dyDescent="0.25">
      <c r="A7729">
        <v>2025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  <c r="M7729" t="str">
        <f t="shared" si="480"/>
        <v>60+</v>
      </c>
      <c r="N7729" t="str">
        <f t="shared" si="481"/>
        <v>Medium</v>
      </c>
      <c r="O7729" t="str">
        <f t="shared" si="482"/>
        <v>Zero Balance</v>
      </c>
      <c r="P7729" t="str">
        <f t="shared" si="483"/>
        <v>Mid-term</v>
      </c>
    </row>
    <row r="7730" spans="1:16" x14ac:dyDescent="0.25">
      <c r="A7730">
        <v>2025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  <c r="M7730" t="str">
        <f t="shared" si="480"/>
        <v>30-45</v>
      </c>
      <c r="N7730" t="str">
        <f t="shared" si="481"/>
        <v>Medium</v>
      </c>
      <c r="O7730" t="str">
        <f t="shared" si="482"/>
        <v>Zero Balance</v>
      </c>
      <c r="P7730" t="str">
        <f t="shared" si="483"/>
        <v>Long-term</v>
      </c>
    </row>
    <row r="7731" spans="1:16" x14ac:dyDescent="0.25">
      <c r="A7731">
        <v>2025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  <c r="M7731" t="str">
        <f t="shared" si="480"/>
        <v>30-45</v>
      </c>
      <c r="N7731" t="str">
        <f t="shared" si="481"/>
        <v>High</v>
      </c>
      <c r="O7731" t="str">
        <f t="shared" si="482"/>
        <v>High Balance</v>
      </c>
      <c r="P7731" t="str">
        <f t="shared" si="483"/>
        <v>New</v>
      </c>
    </row>
    <row r="7732" spans="1:16" x14ac:dyDescent="0.25">
      <c r="A7732">
        <v>2025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  <c r="M7732" t="str">
        <f t="shared" si="480"/>
        <v>30-45</v>
      </c>
      <c r="N7732" t="str">
        <f t="shared" si="481"/>
        <v>Medium</v>
      </c>
      <c r="O7732" t="str">
        <f t="shared" si="482"/>
        <v>High Balance</v>
      </c>
      <c r="P7732" t="str">
        <f t="shared" si="483"/>
        <v>Long-term</v>
      </c>
    </row>
    <row r="7733" spans="1:16" x14ac:dyDescent="0.25">
      <c r="A7733">
        <v>2025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  <c r="M7733" t="str">
        <f t="shared" si="480"/>
        <v>30-45</v>
      </c>
      <c r="N7733" t="str">
        <f t="shared" si="481"/>
        <v>Medium</v>
      </c>
      <c r="O7733" t="str">
        <f t="shared" si="482"/>
        <v>High Balance</v>
      </c>
      <c r="P7733" t="str">
        <f t="shared" si="483"/>
        <v>Long-term</v>
      </c>
    </row>
    <row r="7734" spans="1:16" x14ac:dyDescent="0.25">
      <c r="A7734">
        <v>2025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  <c r="M7734" t="str">
        <f t="shared" si="480"/>
        <v>30-45</v>
      </c>
      <c r="N7734" t="str">
        <f t="shared" si="481"/>
        <v>High</v>
      </c>
      <c r="O7734" t="str">
        <f t="shared" si="482"/>
        <v>Low Balance</v>
      </c>
      <c r="P7734" t="str">
        <f t="shared" si="483"/>
        <v>New</v>
      </c>
    </row>
    <row r="7735" spans="1:16" x14ac:dyDescent="0.25">
      <c r="A7735">
        <v>2025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  <c r="M7735" t="str">
        <f t="shared" si="480"/>
        <v>46-60</v>
      </c>
      <c r="N7735" t="str">
        <f t="shared" si="481"/>
        <v>Medium</v>
      </c>
      <c r="O7735" t="str">
        <f t="shared" si="482"/>
        <v>High Balance</v>
      </c>
      <c r="P7735" t="str">
        <f t="shared" si="483"/>
        <v>New</v>
      </c>
    </row>
    <row r="7736" spans="1:16" x14ac:dyDescent="0.25">
      <c r="A7736">
        <v>2025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  <c r="M7736" t="str">
        <f t="shared" si="480"/>
        <v>30-45</v>
      </c>
      <c r="N7736" t="str">
        <f t="shared" si="481"/>
        <v>High</v>
      </c>
      <c r="O7736" t="str">
        <f t="shared" si="482"/>
        <v>Zero Balance</v>
      </c>
      <c r="P7736" t="str">
        <f t="shared" si="483"/>
        <v>New</v>
      </c>
    </row>
    <row r="7737" spans="1:16" x14ac:dyDescent="0.25">
      <c r="A7737">
        <v>2025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  <c r="M7737" t="str">
        <f t="shared" si="480"/>
        <v>30-45</v>
      </c>
      <c r="N7737" t="str">
        <f t="shared" si="481"/>
        <v>Medium</v>
      </c>
      <c r="O7737" t="str">
        <f t="shared" si="482"/>
        <v>High Balance</v>
      </c>
      <c r="P7737" t="str">
        <f t="shared" si="483"/>
        <v>Mid-term</v>
      </c>
    </row>
    <row r="7738" spans="1:16" x14ac:dyDescent="0.25">
      <c r="A7738">
        <v>2025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  <c r="M7738" t="str">
        <f t="shared" si="480"/>
        <v>30-45</v>
      </c>
      <c r="N7738" t="str">
        <f t="shared" si="481"/>
        <v>Medium</v>
      </c>
      <c r="O7738" t="str">
        <f t="shared" si="482"/>
        <v>High Balance</v>
      </c>
      <c r="P7738" t="str">
        <f t="shared" si="483"/>
        <v>New</v>
      </c>
    </row>
    <row r="7739" spans="1:16" x14ac:dyDescent="0.25">
      <c r="A7739">
        <v>2025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  <c r="M7739" t="str">
        <f t="shared" si="480"/>
        <v>30-45</v>
      </c>
      <c r="N7739" t="str">
        <f t="shared" si="481"/>
        <v>High</v>
      </c>
      <c r="O7739" t="str">
        <f t="shared" si="482"/>
        <v>High Balance</v>
      </c>
      <c r="P7739" t="str">
        <f t="shared" si="483"/>
        <v>Mid-term</v>
      </c>
    </row>
    <row r="7740" spans="1:16" x14ac:dyDescent="0.25">
      <c r="A7740">
        <v>2025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  <c r="M7740" t="str">
        <f t="shared" si="480"/>
        <v>30-45</v>
      </c>
      <c r="N7740" t="str">
        <f t="shared" si="481"/>
        <v>Medium</v>
      </c>
      <c r="O7740" t="str">
        <f t="shared" si="482"/>
        <v>Zero Balance</v>
      </c>
      <c r="P7740" t="str">
        <f t="shared" si="483"/>
        <v>Mid-term</v>
      </c>
    </row>
    <row r="7741" spans="1:16" x14ac:dyDescent="0.25">
      <c r="A7741">
        <v>2025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  <c r="M7741" t="str">
        <f t="shared" si="480"/>
        <v>30-45</v>
      </c>
      <c r="N7741" t="str">
        <f t="shared" si="481"/>
        <v>High</v>
      </c>
      <c r="O7741" t="str">
        <f t="shared" si="482"/>
        <v>Zero Balance</v>
      </c>
      <c r="P7741" t="str">
        <f t="shared" si="483"/>
        <v>Mid-term</v>
      </c>
    </row>
    <row r="7742" spans="1:16" x14ac:dyDescent="0.25">
      <c r="A7742">
        <v>2025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  <c r="M7742" t="str">
        <f t="shared" si="480"/>
        <v>46-60</v>
      </c>
      <c r="N7742" t="str">
        <f t="shared" si="481"/>
        <v>Medium</v>
      </c>
      <c r="O7742" t="str">
        <f t="shared" si="482"/>
        <v>Zero Balance</v>
      </c>
      <c r="P7742" t="str">
        <f t="shared" si="483"/>
        <v>Long-term</v>
      </c>
    </row>
    <row r="7743" spans="1:16" x14ac:dyDescent="0.25">
      <c r="A7743">
        <v>2025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  <c r="M7743" t="str">
        <f t="shared" si="480"/>
        <v>46-60</v>
      </c>
      <c r="N7743" t="str">
        <f t="shared" si="481"/>
        <v>Low</v>
      </c>
      <c r="O7743" t="str">
        <f t="shared" si="482"/>
        <v>High Balance</v>
      </c>
      <c r="P7743" t="str">
        <f t="shared" si="483"/>
        <v>New</v>
      </c>
    </row>
    <row r="7744" spans="1:16" x14ac:dyDescent="0.25">
      <c r="A7744">
        <v>2025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  <c r="M7744" t="str">
        <f t="shared" si="480"/>
        <v>&lt;30</v>
      </c>
      <c r="N7744" t="str">
        <f t="shared" si="481"/>
        <v>Medium</v>
      </c>
      <c r="O7744" t="str">
        <f t="shared" si="482"/>
        <v>High Balance</v>
      </c>
      <c r="P7744" t="str">
        <f t="shared" si="483"/>
        <v>New</v>
      </c>
    </row>
    <row r="7745" spans="1:16" x14ac:dyDescent="0.25">
      <c r="A7745">
        <v>2025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  <c r="M7745" t="str">
        <f t="shared" si="480"/>
        <v>30-45</v>
      </c>
      <c r="N7745" t="str">
        <f t="shared" si="481"/>
        <v>High</v>
      </c>
      <c r="O7745" t="str">
        <f t="shared" si="482"/>
        <v>High Balance</v>
      </c>
      <c r="P7745" t="str">
        <f t="shared" si="483"/>
        <v>Mid-term</v>
      </c>
    </row>
    <row r="7746" spans="1:16" x14ac:dyDescent="0.25">
      <c r="A7746">
        <v>2025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  <c r="M7746" t="str">
        <f t="shared" si="480"/>
        <v>30-45</v>
      </c>
      <c r="N7746" t="str">
        <f t="shared" si="481"/>
        <v>High</v>
      </c>
      <c r="O7746" t="str">
        <f t="shared" si="482"/>
        <v>Zero Balance</v>
      </c>
      <c r="P7746" t="str">
        <f t="shared" si="483"/>
        <v>New</v>
      </c>
    </row>
    <row r="7747" spans="1:16" x14ac:dyDescent="0.25">
      <c r="A7747">
        <v>2025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  <c r="M7747" t="str">
        <f t="shared" ref="M7747:M7810" si="484">IF(E7747&lt;30,"&lt;30",IF(E7747&lt;=45,"30-45",IF(E7747&lt;=60,"46-60","60+")))</f>
        <v>30-45</v>
      </c>
      <c r="N7747" t="str">
        <f t="shared" ref="N7747:N7810" si="485">IF(B7747&lt;500,"Low",IF(B7747&lt;700,"Medium","High"))</f>
        <v>Medium</v>
      </c>
      <c r="O7747" t="str">
        <f t="shared" ref="O7747:O7810" si="486">IF(G7747=0,"Zero Balance",IF(G7747&lt;100000,"Low Balance","High Balance"))</f>
        <v>High Balance</v>
      </c>
      <c r="P7747" t="str">
        <f t="shared" ref="P7747:P7810" si="487">IF(F7747&lt;=3,"New",IF(F7747&lt;=7,"Mid-term","Long-term"))</f>
        <v>Mid-term</v>
      </c>
    </row>
    <row r="7748" spans="1:16" x14ac:dyDescent="0.25">
      <c r="A7748">
        <v>2025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  <c r="M7748" t="str">
        <f t="shared" si="484"/>
        <v>30-45</v>
      </c>
      <c r="N7748" t="str">
        <f t="shared" si="485"/>
        <v>Medium</v>
      </c>
      <c r="O7748" t="str">
        <f t="shared" si="486"/>
        <v>Zero Balance</v>
      </c>
      <c r="P7748" t="str">
        <f t="shared" si="487"/>
        <v>Long-term</v>
      </c>
    </row>
    <row r="7749" spans="1:16" x14ac:dyDescent="0.25">
      <c r="A7749">
        <v>2025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  <c r="M7749" t="str">
        <f t="shared" si="484"/>
        <v>&lt;30</v>
      </c>
      <c r="N7749" t="str">
        <f t="shared" si="485"/>
        <v>High</v>
      </c>
      <c r="O7749" t="str">
        <f t="shared" si="486"/>
        <v>Zero Balance</v>
      </c>
      <c r="P7749" t="str">
        <f t="shared" si="487"/>
        <v>Mid-term</v>
      </c>
    </row>
    <row r="7750" spans="1:16" x14ac:dyDescent="0.25">
      <c r="A7750">
        <v>2025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  <c r="M7750" t="str">
        <f t="shared" si="484"/>
        <v>30-45</v>
      </c>
      <c r="N7750" t="str">
        <f t="shared" si="485"/>
        <v>High</v>
      </c>
      <c r="O7750" t="str">
        <f t="shared" si="486"/>
        <v>High Balance</v>
      </c>
      <c r="P7750" t="str">
        <f t="shared" si="487"/>
        <v>Long-term</v>
      </c>
    </row>
    <row r="7751" spans="1:16" x14ac:dyDescent="0.25">
      <c r="A7751">
        <v>2025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  <c r="M7751" t="str">
        <f t="shared" si="484"/>
        <v>30-45</v>
      </c>
      <c r="N7751" t="str">
        <f t="shared" si="485"/>
        <v>High</v>
      </c>
      <c r="O7751" t="str">
        <f t="shared" si="486"/>
        <v>Zero Balance</v>
      </c>
      <c r="P7751" t="str">
        <f t="shared" si="487"/>
        <v>New</v>
      </c>
    </row>
    <row r="7752" spans="1:16" x14ac:dyDescent="0.25">
      <c r="A7752">
        <v>2025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  <c r="M7752" t="str">
        <f t="shared" si="484"/>
        <v>&lt;30</v>
      </c>
      <c r="N7752" t="str">
        <f t="shared" si="485"/>
        <v>Medium</v>
      </c>
      <c r="O7752" t="str">
        <f t="shared" si="486"/>
        <v>Zero Balance</v>
      </c>
      <c r="P7752" t="str">
        <f t="shared" si="487"/>
        <v>New</v>
      </c>
    </row>
    <row r="7753" spans="1:16" x14ac:dyDescent="0.25">
      <c r="A7753">
        <v>2025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  <c r="M7753" t="str">
        <f t="shared" si="484"/>
        <v>30-45</v>
      </c>
      <c r="N7753" t="str">
        <f t="shared" si="485"/>
        <v>High</v>
      </c>
      <c r="O7753" t="str">
        <f t="shared" si="486"/>
        <v>Zero Balance</v>
      </c>
      <c r="P7753" t="str">
        <f t="shared" si="487"/>
        <v>Mid-term</v>
      </c>
    </row>
    <row r="7754" spans="1:16" x14ac:dyDescent="0.25">
      <c r="A7754">
        <v>2025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  <c r="M7754" t="str">
        <f t="shared" si="484"/>
        <v>30-45</v>
      </c>
      <c r="N7754" t="str">
        <f t="shared" si="485"/>
        <v>Low</v>
      </c>
      <c r="O7754" t="str">
        <f t="shared" si="486"/>
        <v>Low Balance</v>
      </c>
      <c r="P7754" t="str">
        <f t="shared" si="487"/>
        <v>New</v>
      </c>
    </row>
    <row r="7755" spans="1:16" x14ac:dyDescent="0.25">
      <c r="A7755">
        <v>2025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  <c r="M7755" t="str">
        <f t="shared" si="484"/>
        <v>&lt;30</v>
      </c>
      <c r="N7755" t="str">
        <f t="shared" si="485"/>
        <v>Medium</v>
      </c>
      <c r="O7755" t="str">
        <f t="shared" si="486"/>
        <v>High Balance</v>
      </c>
      <c r="P7755" t="str">
        <f t="shared" si="487"/>
        <v>Long-term</v>
      </c>
    </row>
    <row r="7756" spans="1:16" x14ac:dyDescent="0.25">
      <c r="A7756">
        <v>2025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  <c r="M7756" t="str">
        <f t="shared" si="484"/>
        <v>30-45</v>
      </c>
      <c r="N7756" t="str">
        <f t="shared" si="485"/>
        <v>Medium</v>
      </c>
      <c r="O7756" t="str">
        <f t="shared" si="486"/>
        <v>Low Balance</v>
      </c>
      <c r="P7756" t="str">
        <f t="shared" si="487"/>
        <v>Mid-term</v>
      </c>
    </row>
    <row r="7757" spans="1:16" x14ac:dyDescent="0.25">
      <c r="A7757">
        <v>2025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  <c r="M7757" t="str">
        <f t="shared" si="484"/>
        <v>30-45</v>
      </c>
      <c r="N7757" t="str">
        <f t="shared" si="485"/>
        <v>Medium</v>
      </c>
      <c r="O7757" t="str">
        <f t="shared" si="486"/>
        <v>Zero Balance</v>
      </c>
      <c r="P7757" t="str">
        <f t="shared" si="487"/>
        <v>Long-term</v>
      </c>
    </row>
    <row r="7758" spans="1:16" x14ac:dyDescent="0.25">
      <c r="A7758">
        <v>2025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  <c r="M7758" t="str">
        <f t="shared" si="484"/>
        <v>30-45</v>
      </c>
      <c r="N7758" t="str">
        <f t="shared" si="485"/>
        <v>Medium</v>
      </c>
      <c r="O7758" t="str">
        <f t="shared" si="486"/>
        <v>High Balance</v>
      </c>
      <c r="P7758" t="str">
        <f t="shared" si="487"/>
        <v>Mid-term</v>
      </c>
    </row>
    <row r="7759" spans="1:16" x14ac:dyDescent="0.25">
      <c r="A7759">
        <v>2025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  <c r="M7759" t="str">
        <f t="shared" si="484"/>
        <v>30-45</v>
      </c>
      <c r="N7759" t="str">
        <f t="shared" si="485"/>
        <v>High</v>
      </c>
      <c r="O7759" t="str">
        <f t="shared" si="486"/>
        <v>Low Balance</v>
      </c>
      <c r="P7759" t="str">
        <f t="shared" si="487"/>
        <v>Mid-term</v>
      </c>
    </row>
    <row r="7760" spans="1:16" x14ac:dyDescent="0.25">
      <c r="A7760">
        <v>2025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  <c r="M7760" t="str">
        <f t="shared" si="484"/>
        <v>30-45</v>
      </c>
      <c r="N7760" t="str">
        <f t="shared" si="485"/>
        <v>High</v>
      </c>
      <c r="O7760" t="str">
        <f t="shared" si="486"/>
        <v>Zero Balance</v>
      </c>
      <c r="P7760" t="str">
        <f t="shared" si="487"/>
        <v>New</v>
      </c>
    </row>
    <row r="7761" spans="1:16" x14ac:dyDescent="0.25">
      <c r="A7761">
        <v>2025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  <c r="M7761" t="str">
        <f t="shared" si="484"/>
        <v>46-60</v>
      </c>
      <c r="N7761" t="str">
        <f t="shared" si="485"/>
        <v>Medium</v>
      </c>
      <c r="O7761" t="str">
        <f t="shared" si="486"/>
        <v>High Balance</v>
      </c>
      <c r="P7761" t="str">
        <f t="shared" si="487"/>
        <v>New</v>
      </c>
    </row>
    <row r="7762" spans="1:16" x14ac:dyDescent="0.25">
      <c r="A7762">
        <v>2025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  <c r="M7762" t="str">
        <f t="shared" si="484"/>
        <v>30-45</v>
      </c>
      <c r="N7762" t="str">
        <f t="shared" si="485"/>
        <v>High</v>
      </c>
      <c r="O7762" t="str">
        <f t="shared" si="486"/>
        <v>High Balance</v>
      </c>
      <c r="P7762" t="str">
        <f t="shared" si="487"/>
        <v>Mid-term</v>
      </c>
    </row>
    <row r="7763" spans="1:16" x14ac:dyDescent="0.25">
      <c r="A7763">
        <v>2025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  <c r="M7763" t="str">
        <f t="shared" si="484"/>
        <v>30-45</v>
      </c>
      <c r="N7763" t="str">
        <f t="shared" si="485"/>
        <v>Medium</v>
      </c>
      <c r="O7763" t="str">
        <f t="shared" si="486"/>
        <v>High Balance</v>
      </c>
      <c r="P7763" t="str">
        <f t="shared" si="487"/>
        <v>New</v>
      </c>
    </row>
    <row r="7764" spans="1:16" x14ac:dyDescent="0.25">
      <c r="A7764">
        <v>2025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  <c r="M7764" t="str">
        <f t="shared" si="484"/>
        <v>30-45</v>
      </c>
      <c r="N7764" t="str">
        <f t="shared" si="485"/>
        <v>High</v>
      </c>
      <c r="O7764" t="str">
        <f t="shared" si="486"/>
        <v>Zero Balance</v>
      </c>
      <c r="P7764" t="str">
        <f t="shared" si="487"/>
        <v>New</v>
      </c>
    </row>
    <row r="7765" spans="1:16" x14ac:dyDescent="0.25">
      <c r="A7765">
        <v>2025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  <c r="M7765" t="str">
        <f t="shared" si="484"/>
        <v>30-45</v>
      </c>
      <c r="N7765" t="str">
        <f t="shared" si="485"/>
        <v>Medium</v>
      </c>
      <c r="O7765" t="str">
        <f t="shared" si="486"/>
        <v>Low Balance</v>
      </c>
      <c r="P7765" t="str">
        <f t="shared" si="487"/>
        <v>New</v>
      </c>
    </row>
    <row r="7766" spans="1:16" x14ac:dyDescent="0.25">
      <c r="A7766">
        <v>2025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  <c r="M7766" t="str">
        <f t="shared" si="484"/>
        <v>30-45</v>
      </c>
      <c r="N7766" t="str">
        <f t="shared" si="485"/>
        <v>Medium</v>
      </c>
      <c r="O7766" t="str">
        <f t="shared" si="486"/>
        <v>High Balance</v>
      </c>
      <c r="P7766" t="str">
        <f t="shared" si="487"/>
        <v>New</v>
      </c>
    </row>
    <row r="7767" spans="1:16" x14ac:dyDescent="0.25">
      <c r="A7767">
        <v>2025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  <c r="M7767" t="str">
        <f t="shared" si="484"/>
        <v>46-60</v>
      </c>
      <c r="N7767" t="str">
        <f t="shared" si="485"/>
        <v>Medium</v>
      </c>
      <c r="O7767" t="str">
        <f t="shared" si="486"/>
        <v>High Balance</v>
      </c>
      <c r="P7767" t="str">
        <f t="shared" si="487"/>
        <v>Mid-term</v>
      </c>
    </row>
    <row r="7768" spans="1:16" x14ac:dyDescent="0.25">
      <c r="A7768">
        <v>2025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  <c r="M7768" t="str">
        <f t="shared" si="484"/>
        <v>30-45</v>
      </c>
      <c r="N7768" t="str">
        <f t="shared" si="485"/>
        <v>Medium</v>
      </c>
      <c r="O7768" t="str">
        <f t="shared" si="486"/>
        <v>Zero Balance</v>
      </c>
      <c r="P7768" t="str">
        <f t="shared" si="487"/>
        <v>New</v>
      </c>
    </row>
    <row r="7769" spans="1:16" x14ac:dyDescent="0.25">
      <c r="A7769">
        <v>2025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  <c r="M7769" t="str">
        <f t="shared" si="484"/>
        <v>46-60</v>
      </c>
      <c r="N7769" t="str">
        <f t="shared" si="485"/>
        <v>Medium</v>
      </c>
      <c r="O7769" t="str">
        <f t="shared" si="486"/>
        <v>High Balance</v>
      </c>
      <c r="P7769" t="str">
        <f t="shared" si="487"/>
        <v>New</v>
      </c>
    </row>
    <row r="7770" spans="1:16" x14ac:dyDescent="0.25">
      <c r="A7770">
        <v>2025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  <c r="M7770" t="str">
        <f t="shared" si="484"/>
        <v>&lt;30</v>
      </c>
      <c r="N7770" t="str">
        <f t="shared" si="485"/>
        <v>Medium</v>
      </c>
      <c r="O7770" t="str">
        <f t="shared" si="486"/>
        <v>High Balance</v>
      </c>
      <c r="P7770" t="str">
        <f t="shared" si="487"/>
        <v>Long-term</v>
      </c>
    </row>
    <row r="7771" spans="1:16" x14ac:dyDescent="0.25">
      <c r="A7771">
        <v>2025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  <c r="M7771" t="str">
        <f t="shared" si="484"/>
        <v>&lt;30</v>
      </c>
      <c r="N7771" t="str">
        <f t="shared" si="485"/>
        <v>High</v>
      </c>
      <c r="O7771" t="str">
        <f t="shared" si="486"/>
        <v>High Balance</v>
      </c>
      <c r="P7771" t="str">
        <f t="shared" si="487"/>
        <v>Mid-term</v>
      </c>
    </row>
    <row r="7772" spans="1:16" x14ac:dyDescent="0.25">
      <c r="A7772">
        <v>2025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  <c r="M7772" t="str">
        <f t="shared" si="484"/>
        <v>&lt;30</v>
      </c>
      <c r="N7772" t="str">
        <f t="shared" si="485"/>
        <v>Medium</v>
      </c>
      <c r="O7772" t="str">
        <f t="shared" si="486"/>
        <v>High Balance</v>
      </c>
      <c r="P7772" t="str">
        <f t="shared" si="487"/>
        <v>New</v>
      </c>
    </row>
    <row r="7773" spans="1:16" x14ac:dyDescent="0.25">
      <c r="A7773">
        <v>2025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  <c r="M7773" t="str">
        <f t="shared" si="484"/>
        <v>&lt;30</v>
      </c>
      <c r="N7773" t="str">
        <f t="shared" si="485"/>
        <v>High</v>
      </c>
      <c r="O7773" t="str">
        <f t="shared" si="486"/>
        <v>High Balance</v>
      </c>
      <c r="P7773" t="str">
        <f t="shared" si="487"/>
        <v>New</v>
      </c>
    </row>
    <row r="7774" spans="1:16" x14ac:dyDescent="0.25">
      <c r="A7774">
        <v>2025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  <c r="M7774" t="str">
        <f t="shared" si="484"/>
        <v>46-60</v>
      </c>
      <c r="N7774" t="str">
        <f t="shared" si="485"/>
        <v>High</v>
      </c>
      <c r="O7774" t="str">
        <f t="shared" si="486"/>
        <v>High Balance</v>
      </c>
      <c r="P7774" t="str">
        <f t="shared" si="487"/>
        <v>Mid-term</v>
      </c>
    </row>
    <row r="7775" spans="1:16" x14ac:dyDescent="0.25">
      <c r="A7775">
        <v>2025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  <c r="M7775" t="str">
        <f t="shared" si="484"/>
        <v>60+</v>
      </c>
      <c r="N7775" t="str">
        <f t="shared" si="485"/>
        <v>Medium</v>
      </c>
      <c r="O7775" t="str">
        <f t="shared" si="486"/>
        <v>High Balance</v>
      </c>
      <c r="P7775" t="str">
        <f t="shared" si="487"/>
        <v>Mid-term</v>
      </c>
    </row>
    <row r="7776" spans="1:16" x14ac:dyDescent="0.25">
      <c r="A7776">
        <v>2025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  <c r="M7776" t="str">
        <f t="shared" si="484"/>
        <v>30-45</v>
      </c>
      <c r="N7776" t="str">
        <f t="shared" si="485"/>
        <v>High</v>
      </c>
      <c r="O7776" t="str">
        <f t="shared" si="486"/>
        <v>High Balance</v>
      </c>
      <c r="P7776" t="str">
        <f t="shared" si="487"/>
        <v>Mid-term</v>
      </c>
    </row>
    <row r="7777" spans="1:16" x14ac:dyDescent="0.25">
      <c r="A7777">
        <v>2025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  <c r="M7777" t="str">
        <f t="shared" si="484"/>
        <v>30-45</v>
      </c>
      <c r="N7777" t="str">
        <f t="shared" si="485"/>
        <v>Medium</v>
      </c>
      <c r="O7777" t="str">
        <f t="shared" si="486"/>
        <v>Zero Balance</v>
      </c>
      <c r="P7777" t="str">
        <f t="shared" si="487"/>
        <v>Long-term</v>
      </c>
    </row>
    <row r="7778" spans="1:16" x14ac:dyDescent="0.25">
      <c r="A7778">
        <v>2025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  <c r="M7778" t="str">
        <f t="shared" si="484"/>
        <v>60+</v>
      </c>
      <c r="N7778" t="str">
        <f t="shared" si="485"/>
        <v>High</v>
      </c>
      <c r="O7778" t="str">
        <f t="shared" si="486"/>
        <v>Zero Balance</v>
      </c>
      <c r="P7778" t="str">
        <f t="shared" si="487"/>
        <v>Long-term</v>
      </c>
    </row>
    <row r="7779" spans="1:16" x14ac:dyDescent="0.25">
      <c r="A7779">
        <v>2025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  <c r="M7779" t="str">
        <f t="shared" si="484"/>
        <v>&lt;30</v>
      </c>
      <c r="N7779" t="str">
        <f t="shared" si="485"/>
        <v>High</v>
      </c>
      <c r="O7779" t="str">
        <f t="shared" si="486"/>
        <v>Low Balance</v>
      </c>
      <c r="P7779" t="str">
        <f t="shared" si="487"/>
        <v>New</v>
      </c>
    </row>
    <row r="7780" spans="1:16" x14ac:dyDescent="0.25">
      <c r="A7780">
        <v>2025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  <c r="M7780" t="str">
        <f t="shared" si="484"/>
        <v>&lt;30</v>
      </c>
      <c r="N7780" t="str">
        <f t="shared" si="485"/>
        <v>Medium</v>
      </c>
      <c r="O7780" t="str">
        <f t="shared" si="486"/>
        <v>Zero Balance</v>
      </c>
      <c r="P7780" t="str">
        <f t="shared" si="487"/>
        <v>New</v>
      </c>
    </row>
    <row r="7781" spans="1:16" x14ac:dyDescent="0.25">
      <c r="A7781">
        <v>2025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  <c r="M7781" t="str">
        <f t="shared" si="484"/>
        <v>46-60</v>
      </c>
      <c r="N7781" t="str">
        <f t="shared" si="485"/>
        <v>High</v>
      </c>
      <c r="O7781" t="str">
        <f t="shared" si="486"/>
        <v>Zero Balance</v>
      </c>
      <c r="P7781" t="str">
        <f t="shared" si="487"/>
        <v>New</v>
      </c>
    </row>
    <row r="7782" spans="1:16" x14ac:dyDescent="0.25">
      <c r="A7782">
        <v>2025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  <c r="M7782" t="str">
        <f t="shared" si="484"/>
        <v>30-45</v>
      </c>
      <c r="N7782" t="str">
        <f t="shared" si="485"/>
        <v>High</v>
      </c>
      <c r="O7782" t="str">
        <f t="shared" si="486"/>
        <v>Low Balance</v>
      </c>
      <c r="P7782" t="str">
        <f t="shared" si="487"/>
        <v>Long-term</v>
      </c>
    </row>
    <row r="7783" spans="1:16" x14ac:dyDescent="0.25">
      <c r="A7783">
        <v>2025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  <c r="M7783" t="str">
        <f t="shared" si="484"/>
        <v>30-45</v>
      </c>
      <c r="N7783" t="str">
        <f t="shared" si="485"/>
        <v>High</v>
      </c>
      <c r="O7783" t="str">
        <f t="shared" si="486"/>
        <v>High Balance</v>
      </c>
      <c r="P7783" t="str">
        <f t="shared" si="487"/>
        <v>Mid-term</v>
      </c>
    </row>
    <row r="7784" spans="1:16" x14ac:dyDescent="0.25">
      <c r="A7784">
        <v>2025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  <c r="M7784" t="str">
        <f t="shared" si="484"/>
        <v>46-60</v>
      </c>
      <c r="N7784" t="str">
        <f t="shared" si="485"/>
        <v>Medium</v>
      </c>
      <c r="O7784" t="str">
        <f t="shared" si="486"/>
        <v>Low Balance</v>
      </c>
      <c r="P7784" t="str">
        <f t="shared" si="487"/>
        <v>Long-term</v>
      </c>
    </row>
    <row r="7785" spans="1:16" x14ac:dyDescent="0.25">
      <c r="A7785">
        <v>2025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  <c r="M7785" t="str">
        <f t="shared" si="484"/>
        <v>30-45</v>
      </c>
      <c r="N7785" t="str">
        <f t="shared" si="485"/>
        <v>Low</v>
      </c>
      <c r="O7785" t="str">
        <f t="shared" si="486"/>
        <v>Zero Balance</v>
      </c>
      <c r="P7785" t="str">
        <f t="shared" si="487"/>
        <v>Mid-term</v>
      </c>
    </row>
    <row r="7786" spans="1:16" x14ac:dyDescent="0.25">
      <c r="A7786">
        <v>2025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  <c r="M7786" t="str">
        <f t="shared" si="484"/>
        <v>60+</v>
      </c>
      <c r="N7786" t="str">
        <f t="shared" si="485"/>
        <v>High</v>
      </c>
      <c r="O7786" t="str">
        <f t="shared" si="486"/>
        <v>Low Balance</v>
      </c>
      <c r="P7786" t="str">
        <f t="shared" si="487"/>
        <v>New</v>
      </c>
    </row>
    <row r="7787" spans="1:16" x14ac:dyDescent="0.25">
      <c r="A7787">
        <v>2025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  <c r="M7787" t="str">
        <f t="shared" si="484"/>
        <v>&lt;30</v>
      </c>
      <c r="N7787" t="str">
        <f t="shared" si="485"/>
        <v>High</v>
      </c>
      <c r="O7787" t="str">
        <f t="shared" si="486"/>
        <v>Zero Balance</v>
      </c>
      <c r="P7787" t="str">
        <f t="shared" si="487"/>
        <v>Long-term</v>
      </c>
    </row>
    <row r="7788" spans="1:16" x14ac:dyDescent="0.25">
      <c r="A7788">
        <v>2025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  <c r="M7788" t="str">
        <f t="shared" si="484"/>
        <v>30-45</v>
      </c>
      <c r="N7788" t="str">
        <f t="shared" si="485"/>
        <v>Medium</v>
      </c>
      <c r="O7788" t="str">
        <f t="shared" si="486"/>
        <v>Low Balance</v>
      </c>
      <c r="P7788" t="str">
        <f t="shared" si="487"/>
        <v>Long-term</v>
      </c>
    </row>
    <row r="7789" spans="1:16" x14ac:dyDescent="0.25">
      <c r="A7789">
        <v>2025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  <c r="M7789" t="str">
        <f t="shared" si="484"/>
        <v>46-60</v>
      </c>
      <c r="N7789" t="str">
        <f t="shared" si="485"/>
        <v>Medium</v>
      </c>
      <c r="O7789" t="str">
        <f t="shared" si="486"/>
        <v>Zero Balance</v>
      </c>
      <c r="P7789" t="str">
        <f t="shared" si="487"/>
        <v>Long-term</v>
      </c>
    </row>
    <row r="7790" spans="1:16" x14ac:dyDescent="0.25">
      <c r="A7790">
        <v>2025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  <c r="M7790" t="str">
        <f t="shared" si="484"/>
        <v>60+</v>
      </c>
      <c r="N7790" t="str">
        <f t="shared" si="485"/>
        <v>Medium</v>
      </c>
      <c r="O7790" t="str">
        <f t="shared" si="486"/>
        <v>High Balance</v>
      </c>
      <c r="P7790" t="str">
        <f t="shared" si="487"/>
        <v>New</v>
      </c>
    </row>
    <row r="7791" spans="1:16" x14ac:dyDescent="0.25">
      <c r="A7791">
        <v>2025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  <c r="M7791" t="str">
        <f t="shared" si="484"/>
        <v>30-45</v>
      </c>
      <c r="N7791" t="str">
        <f t="shared" si="485"/>
        <v>Medium</v>
      </c>
      <c r="O7791" t="str">
        <f t="shared" si="486"/>
        <v>Low Balance</v>
      </c>
      <c r="P7791" t="str">
        <f t="shared" si="487"/>
        <v>New</v>
      </c>
    </row>
    <row r="7792" spans="1:16" x14ac:dyDescent="0.25">
      <c r="A7792">
        <v>2025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  <c r="M7792" t="str">
        <f t="shared" si="484"/>
        <v>&lt;30</v>
      </c>
      <c r="N7792" t="str">
        <f t="shared" si="485"/>
        <v>Medium</v>
      </c>
      <c r="O7792" t="str">
        <f t="shared" si="486"/>
        <v>Zero Balance</v>
      </c>
      <c r="P7792" t="str">
        <f t="shared" si="487"/>
        <v>New</v>
      </c>
    </row>
    <row r="7793" spans="1:16" x14ac:dyDescent="0.25">
      <c r="A7793">
        <v>2025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  <c r="M7793" t="str">
        <f t="shared" si="484"/>
        <v>30-45</v>
      </c>
      <c r="N7793" t="str">
        <f t="shared" si="485"/>
        <v>Medium</v>
      </c>
      <c r="O7793" t="str">
        <f t="shared" si="486"/>
        <v>High Balance</v>
      </c>
      <c r="P7793" t="str">
        <f t="shared" si="487"/>
        <v>Mid-term</v>
      </c>
    </row>
    <row r="7794" spans="1:16" x14ac:dyDescent="0.25">
      <c r="A7794">
        <v>2025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  <c r="M7794" t="str">
        <f t="shared" si="484"/>
        <v>30-45</v>
      </c>
      <c r="N7794" t="str">
        <f t="shared" si="485"/>
        <v>Medium</v>
      </c>
      <c r="O7794" t="str">
        <f t="shared" si="486"/>
        <v>Zero Balance</v>
      </c>
      <c r="P7794" t="str">
        <f t="shared" si="487"/>
        <v>Long-term</v>
      </c>
    </row>
    <row r="7795" spans="1:16" x14ac:dyDescent="0.25">
      <c r="A7795">
        <v>2025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  <c r="M7795" t="str">
        <f t="shared" si="484"/>
        <v>46-60</v>
      </c>
      <c r="N7795" t="str">
        <f t="shared" si="485"/>
        <v>Medium</v>
      </c>
      <c r="O7795" t="str">
        <f t="shared" si="486"/>
        <v>High Balance</v>
      </c>
      <c r="P7795" t="str">
        <f t="shared" si="487"/>
        <v>Mid-term</v>
      </c>
    </row>
    <row r="7796" spans="1:16" x14ac:dyDescent="0.25">
      <c r="A7796">
        <v>2025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  <c r="M7796" t="str">
        <f t="shared" si="484"/>
        <v>&lt;30</v>
      </c>
      <c r="N7796" t="str">
        <f t="shared" si="485"/>
        <v>Medium</v>
      </c>
      <c r="O7796" t="str">
        <f t="shared" si="486"/>
        <v>High Balance</v>
      </c>
      <c r="P7796" t="str">
        <f t="shared" si="487"/>
        <v>New</v>
      </c>
    </row>
    <row r="7797" spans="1:16" x14ac:dyDescent="0.25">
      <c r="A7797">
        <v>2025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  <c r="M7797" t="str">
        <f t="shared" si="484"/>
        <v>30-45</v>
      </c>
      <c r="N7797" t="str">
        <f t="shared" si="485"/>
        <v>Low</v>
      </c>
      <c r="O7797" t="str">
        <f t="shared" si="486"/>
        <v>Low Balance</v>
      </c>
      <c r="P7797" t="str">
        <f t="shared" si="487"/>
        <v>Mid-term</v>
      </c>
    </row>
    <row r="7798" spans="1:16" x14ac:dyDescent="0.25">
      <c r="A7798">
        <v>2025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  <c r="M7798" t="str">
        <f t="shared" si="484"/>
        <v>30-45</v>
      </c>
      <c r="N7798" t="str">
        <f t="shared" si="485"/>
        <v>Medium</v>
      </c>
      <c r="O7798" t="str">
        <f t="shared" si="486"/>
        <v>Zero Balance</v>
      </c>
      <c r="P7798" t="str">
        <f t="shared" si="487"/>
        <v>New</v>
      </c>
    </row>
    <row r="7799" spans="1:16" x14ac:dyDescent="0.25">
      <c r="A7799">
        <v>2025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  <c r="M7799" t="str">
        <f t="shared" si="484"/>
        <v>30-45</v>
      </c>
      <c r="N7799" t="str">
        <f t="shared" si="485"/>
        <v>Medium</v>
      </c>
      <c r="O7799" t="str">
        <f t="shared" si="486"/>
        <v>High Balance</v>
      </c>
      <c r="P7799" t="str">
        <f t="shared" si="487"/>
        <v>Mid-term</v>
      </c>
    </row>
    <row r="7800" spans="1:16" x14ac:dyDescent="0.25">
      <c r="A7800">
        <v>2025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  <c r="M7800" t="str">
        <f t="shared" si="484"/>
        <v>46-60</v>
      </c>
      <c r="N7800" t="str">
        <f t="shared" si="485"/>
        <v>Medium</v>
      </c>
      <c r="O7800" t="str">
        <f t="shared" si="486"/>
        <v>Zero Balance</v>
      </c>
      <c r="P7800" t="str">
        <f t="shared" si="487"/>
        <v>New</v>
      </c>
    </row>
    <row r="7801" spans="1:16" x14ac:dyDescent="0.25">
      <c r="A7801">
        <v>2025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  <c r="M7801" t="str">
        <f t="shared" si="484"/>
        <v>46-60</v>
      </c>
      <c r="N7801" t="str">
        <f t="shared" si="485"/>
        <v>Medium</v>
      </c>
      <c r="O7801" t="str">
        <f t="shared" si="486"/>
        <v>High Balance</v>
      </c>
      <c r="P7801" t="str">
        <f t="shared" si="487"/>
        <v>Mid-term</v>
      </c>
    </row>
    <row r="7802" spans="1:16" x14ac:dyDescent="0.25">
      <c r="A7802">
        <v>2025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  <c r="M7802" t="str">
        <f t="shared" si="484"/>
        <v>46-60</v>
      </c>
      <c r="N7802" t="str">
        <f t="shared" si="485"/>
        <v>Medium</v>
      </c>
      <c r="O7802" t="str">
        <f t="shared" si="486"/>
        <v>High Balance</v>
      </c>
      <c r="P7802" t="str">
        <f t="shared" si="487"/>
        <v>New</v>
      </c>
    </row>
    <row r="7803" spans="1:16" x14ac:dyDescent="0.25">
      <c r="A7803">
        <v>2025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  <c r="M7803" t="str">
        <f t="shared" si="484"/>
        <v>46-60</v>
      </c>
      <c r="N7803" t="str">
        <f t="shared" si="485"/>
        <v>Medium</v>
      </c>
      <c r="O7803" t="str">
        <f t="shared" si="486"/>
        <v>High Balance</v>
      </c>
      <c r="P7803" t="str">
        <f t="shared" si="487"/>
        <v>Mid-term</v>
      </c>
    </row>
    <row r="7804" spans="1:16" x14ac:dyDescent="0.25">
      <c r="A7804">
        <v>2025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  <c r="M7804" t="str">
        <f t="shared" si="484"/>
        <v>60+</v>
      </c>
      <c r="N7804" t="str">
        <f t="shared" si="485"/>
        <v>High</v>
      </c>
      <c r="O7804" t="str">
        <f t="shared" si="486"/>
        <v>High Balance</v>
      </c>
      <c r="P7804" t="str">
        <f t="shared" si="487"/>
        <v>Long-term</v>
      </c>
    </row>
    <row r="7805" spans="1:16" x14ac:dyDescent="0.25">
      <c r="A7805">
        <v>2025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  <c r="M7805" t="str">
        <f t="shared" si="484"/>
        <v>46-60</v>
      </c>
      <c r="N7805" t="str">
        <f t="shared" si="485"/>
        <v>Medium</v>
      </c>
      <c r="O7805" t="str">
        <f t="shared" si="486"/>
        <v>High Balance</v>
      </c>
      <c r="P7805" t="str">
        <f t="shared" si="487"/>
        <v>Long-term</v>
      </c>
    </row>
    <row r="7806" spans="1:16" x14ac:dyDescent="0.25">
      <c r="A7806">
        <v>2025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  <c r="M7806" t="str">
        <f t="shared" si="484"/>
        <v>46-60</v>
      </c>
      <c r="N7806" t="str">
        <f t="shared" si="485"/>
        <v>Medium</v>
      </c>
      <c r="O7806" t="str">
        <f t="shared" si="486"/>
        <v>High Balance</v>
      </c>
      <c r="P7806" t="str">
        <f t="shared" si="487"/>
        <v>Long-term</v>
      </c>
    </row>
    <row r="7807" spans="1:16" x14ac:dyDescent="0.25">
      <c r="A7807">
        <v>2025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  <c r="M7807" t="str">
        <f t="shared" si="484"/>
        <v>30-45</v>
      </c>
      <c r="N7807" t="str">
        <f t="shared" si="485"/>
        <v>Medium</v>
      </c>
      <c r="O7807" t="str">
        <f t="shared" si="486"/>
        <v>High Balance</v>
      </c>
      <c r="P7807" t="str">
        <f t="shared" si="487"/>
        <v>New</v>
      </c>
    </row>
    <row r="7808" spans="1:16" x14ac:dyDescent="0.25">
      <c r="A7808">
        <v>2025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  <c r="M7808" t="str">
        <f t="shared" si="484"/>
        <v>&lt;30</v>
      </c>
      <c r="N7808" t="str">
        <f t="shared" si="485"/>
        <v>Medium</v>
      </c>
      <c r="O7808" t="str">
        <f t="shared" si="486"/>
        <v>High Balance</v>
      </c>
      <c r="P7808" t="str">
        <f t="shared" si="487"/>
        <v>Mid-term</v>
      </c>
    </row>
    <row r="7809" spans="1:16" x14ac:dyDescent="0.25">
      <c r="A7809">
        <v>2025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  <c r="M7809" t="str">
        <f t="shared" si="484"/>
        <v>30-45</v>
      </c>
      <c r="N7809" t="str">
        <f t="shared" si="485"/>
        <v>Medium</v>
      </c>
      <c r="O7809" t="str">
        <f t="shared" si="486"/>
        <v>High Balance</v>
      </c>
      <c r="P7809" t="str">
        <f t="shared" si="487"/>
        <v>New</v>
      </c>
    </row>
    <row r="7810" spans="1:16" x14ac:dyDescent="0.25">
      <c r="A7810">
        <v>2025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  <c r="M7810" t="str">
        <f t="shared" si="484"/>
        <v>46-60</v>
      </c>
      <c r="N7810" t="str">
        <f t="shared" si="485"/>
        <v>Medium</v>
      </c>
      <c r="O7810" t="str">
        <f t="shared" si="486"/>
        <v>High Balance</v>
      </c>
      <c r="P7810" t="str">
        <f t="shared" si="487"/>
        <v>Mid-term</v>
      </c>
    </row>
    <row r="7811" spans="1:16" x14ac:dyDescent="0.25">
      <c r="A7811">
        <v>2025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  <c r="M7811" t="str">
        <f t="shared" ref="M7811:M7874" si="488">IF(E7811&lt;30,"&lt;30",IF(E7811&lt;=45,"30-45",IF(E7811&lt;=60,"46-60","60+")))</f>
        <v>30-45</v>
      </c>
      <c r="N7811" t="str">
        <f t="shared" ref="N7811:N7874" si="489">IF(B7811&lt;500,"Low",IF(B7811&lt;700,"Medium","High"))</f>
        <v>Medium</v>
      </c>
      <c r="O7811" t="str">
        <f t="shared" ref="O7811:O7874" si="490">IF(G7811=0,"Zero Balance",IF(G7811&lt;100000,"Low Balance","High Balance"))</f>
        <v>High Balance</v>
      </c>
      <c r="P7811" t="str">
        <f t="shared" ref="P7811:P7874" si="491">IF(F7811&lt;=3,"New",IF(F7811&lt;=7,"Mid-term","Long-term"))</f>
        <v>New</v>
      </c>
    </row>
    <row r="7812" spans="1:16" x14ac:dyDescent="0.25">
      <c r="A7812">
        <v>2025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  <c r="M7812" t="str">
        <f t="shared" si="488"/>
        <v>30-45</v>
      </c>
      <c r="N7812" t="str">
        <f t="shared" si="489"/>
        <v>High</v>
      </c>
      <c r="O7812" t="str">
        <f t="shared" si="490"/>
        <v>High Balance</v>
      </c>
      <c r="P7812" t="str">
        <f t="shared" si="491"/>
        <v>New</v>
      </c>
    </row>
    <row r="7813" spans="1:16" x14ac:dyDescent="0.25">
      <c r="A7813">
        <v>2025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  <c r="M7813" t="str">
        <f t="shared" si="488"/>
        <v>30-45</v>
      </c>
      <c r="N7813" t="str">
        <f t="shared" si="489"/>
        <v>Medium</v>
      </c>
      <c r="O7813" t="str">
        <f t="shared" si="490"/>
        <v>High Balance</v>
      </c>
      <c r="P7813" t="str">
        <f t="shared" si="491"/>
        <v>New</v>
      </c>
    </row>
    <row r="7814" spans="1:16" x14ac:dyDescent="0.25">
      <c r="A7814">
        <v>2025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  <c r="M7814" t="str">
        <f t="shared" si="488"/>
        <v>&lt;30</v>
      </c>
      <c r="N7814" t="str">
        <f t="shared" si="489"/>
        <v>Medium</v>
      </c>
      <c r="O7814" t="str">
        <f t="shared" si="490"/>
        <v>High Balance</v>
      </c>
      <c r="P7814" t="str">
        <f t="shared" si="491"/>
        <v>Long-term</v>
      </c>
    </row>
    <row r="7815" spans="1:16" x14ac:dyDescent="0.25">
      <c r="A7815">
        <v>2025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  <c r="M7815" t="str">
        <f t="shared" si="488"/>
        <v>60+</v>
      </c>
      <c r="N7815" t="str">
        <f t="shared" si="489"/>
        <v>Medium</v>
      </c>
      <c r="O7815" t="str">
        <f t="shared" si="490"/>
        <v>Low Balance</v>
      </c>
      <c r="P7815" t="str">
        <f t="shared" si="491"/>
        <v>New</v>
      </c>
    </row>
    <row r="7816" spans="1:16" x14ac:dyDescent="0.25">
      <c r="A7816">
        <v>2025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  <c r="M7816" t="str">
        <f t="shared" si="488"/>
        <v>30-45</v>
      </c>
      <c r="N7816" t="str">
        <f t="shared" si="489"/>
        <v>Medium</v>
      </c>
      <c r="O7816" t="str">
        <f t="shared" si="490"/>
        <v>High Balance</v>
      </c>
      <c r="P7816" t="str">
        <f t="shared" si="491"/>
        <v>New</v>
      </c>
    </row>
    <row r="7817" spans="1:16" x14ac:dyDescent="0.25">
      <c r="A7817">
        <v>2025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  <c r="M7817" t="str">
        <f t="shared" si="488"/>
        <v>30-45</v>
      </c>
      <c r="N7817" t="str">
        <f t="shared" si="489"/>
        <v>Medium</v>
      </c>
      <c r="O7817" t="str">
        <f t="shared" si="490"/>
        <v>Zero Balance</v>
      </c>
      <c r="P7817" t="str">
        <f t="shared" si="491"/>
        <v>Long-term</v>
      </c>
    </row>
    <row r="7818" spans="1:16" x14ac:dyDescent="0.25">
      <c r="A7818">
        <v>2025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  <c r="M7818" t="str">
        <f t="shared" si="488"/>
        <v>30-45</v>
      </c>
      <c r="N7818" t="str">
        <f t="shared" si="489"/>
        <v>High</v>
      </c>
      <c r="O7818" t="str">
        <f t="shared" si="490"/>
        <v>High Balance</v>
      </c>
      <c r="P7818" t="str">
        <f t="shared" si="491"/>
        <v>New</v>
      </c>
    </row>
    <row r="7819" spans="1:16" x14ac:dyDescent="0.25">
      <c r="A7819">
        <v>2025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  <c r="M7819" t="str">
        <f t="shared" si="488"/>
        <v>46-60</v>
      </c>
      <c r="N7819" t="str">
        <f t="shared" si="489"/>
        <v>Medium</v>
      </c>
      <c r="O7819" t="str">
        <f t="shared" si="490"/>
        <v>Zero Balance</v>
      </c>
      <c r="P7819" t="str">
        <f t="shared" si="491"/>
        <v>Long-term</v>
      </c>
    </row>
    <row r="7820" spans="1:16" x14ac:dyDescent="0.25">
      <c r="A7820">
        <v>2025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  <c r="M7820" t="str">
        <f t="shared" si="488"/>
        <v>&lt;30</v>
      </c>
      <c r="N7820" t="str">
        <f t="shared" si="489"/>
        <v>Medium</v>
      </c>
      <c r="O7820" t="str">
        <f t="shared" si="490"/>
        <v>High Balance</v>
      </c>
      <c r="P7820" t="str">
        <f t="shared" si="491"/>
        <v>Long-term</v>
      </c>
    </row>
    <row r="7821" spans="1:16" x14ac:dyDescent="0.25">
      <c r="A7821">
        <v>2025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  <c r="M7821" t="str">
        <f t="shared" si="488"/>
        <v>&lt;30</v>
      </c>
      <c r="N7821" t="str">
        <f t="shared" si="489"/>
        <v>Medium</v>
      </c>
      <c r="O7821" t="str">
        <f t="shared" si="490"/>
        <v>Zero Balance</v>
      </c>
      <c r="P7821" t="str">
        <f t="shared" si="491"/>
        <v>New</v>
      </c>
    </row>
    <row r="7822" spans="1:16" x14ac:dyDescent="0.25">
      <c r="A7822">
        <v>2025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  <c r="M7822" t="str">
        <f t="shared" si="488"/>
        <v>30-45</v>
      </c>
      <c r="N7822" t="str">
        <f t="shared" si="489"/>
        <v>Medium</v>
      </c>
      <c r="O7822" t="str">
        <f t="shared" si="490"/>
        <v>Zero Balance</v>
      </c>
      <c r="P7822" t="str">
        <f t="shared" si="491"/>
        <v>Mid-term</v>
      </c>
    </row>
    <row r="7823" spans="1:16" x14ac:dyDescent="0.25">
      <c r="A7823">
        <v>2025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  <c r="M7823" t="str">
        <f t="shared" si="488"/>
        <v>&lt;30</v>
      </c>
      <c r="N7823" t="str">
        <f t="shared" si="489"/>
        <v>High</v>
      </c>
      <c r="O7823" t="str">
        <f t="shared" si="490"/>
        <v>High Balance</v>
      </c>
      <c r="P7823" t="str">
        <f t="shared" si="491"/>
        <v>New</v>
      </c>
    </row>
    <row r="7824" spans="1:16" x14ac:dyDescent="0.25">
      <c r="A7824">
        <v>2025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  <c r="M7824" t="str">
        <f t="shared" si="488"/>
        <v>46-60</v>
      </c>
      <c r="N7824" t="str">
        <f t="shared" si="489"/>
        <v>Medium</v>
      </c>
      <c r="O7824" t="str">
        <f t="shared" si="490"/>
        <v>High Balance</v>
      </c>
      <c r="P7824" t="str">
        <f t="shared" si="491"/>
        <v>New</v>
      </c>
    </row>
    <row r="7825" spans="1:16" x14ac:dyDescent="0.25">
      <c r="A7825">
        <v>2025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  <c r="M7825" t="str">
        <f t="shared" si="488"/>
        <v>30-45</v>
      </c>
      <c r="N7825" t="str">
        <f t="shared" si="489"/>
        <v>High</v>
      </c>
      <c r="O7825" t="str">
        <f t="shared" si="490"/>
        <v>Zero Balance</v>
      </c>
      <c r="P7825" t="str">
        <f t="shared" si="491"/>
        <v>Mid-term</v>
      </c>
    </row>
    <row r="7826" spans="1:16" x14ac:dyDescent="0.25">
      <c r="A7826">
        <v>2025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  <c r="M7826" t="str">
        <f t="shared" si="488"/>
        <v>30-45</v>
      </c>
      <c r="N7826" t="str">
        <f t="shared" si="489"/>
        <v>Medium</v>
      </c>
      <c r="O7826" t="str">
        <f t="shared" si="490"/>
        <v>High Balance</v>
      </c>
      <c r="P7826" t="str">
        <f t="shared" si="491"/>
        <v>Long-term</v>
      </c>
    </row>
    <row r="7827" spans="1:16" x14ac:dyDescent="0.25">
      <c r="A7827">
        <v>2025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  <c r="M7827" t="str">
        <f t="shared" si="488"/>
        <v>&lt;30</v>
      </c>
      <c r="N7827" t="str">
        <f t="shared" si="489"/>
        <v>Medium</v>
      </c>
      <c r="O7827" t="str">
        <f t="shared" si="490"/>
        <v>High Balance</v>
      </c>
      <c r="P7827" t="str">
        <f t="shared" si="491"/>
        <v>Mid-term</v>
      </c>
    </row>
    <row r="7828" spans="1:16" x14ac:dyDescent="0.25">
      <c r="A7828">
        <v>2025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  <c r="M7828" t="str">
        <f t="shared" si="488"/>
        <v>46-60</v>
      </c>
      <c r="N7828" t="str">
        <f t="shared" si="489"/>
        <v>Medium</v>
      </c>
      <c r="O7828" t="str">
        <f t="shared" si="490"/>
        <v>High Balance</v>
      </c>
      <c r="P7828" t="str">
        <f t="shared" si="491"/>
        <v>New</v>
      </c>
    </row>
    <row r="7829" spans="1:16" x14ac:dyDescent="0.25">
      <c r="A7829">
        <v>2025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  <c r="M7829" t="str">
        <f t="shared" si="488"/>
        <v>30-45</v>
      </c>
      <c r="N7829" t="str">
        <f t="shared" si="489"/>
        <v>Medium</v>
      </c>
      <c r="O7829" t="str">
        <f t="shared" si="490"/>
        <v>Zero Balance</v>
      </c>
      <c r="P7829" t="str">
        <f t="shared" si="491"/>
        <v>Long-term</v>
      </c>
    </row>
    <row r="7830" spans="1:16" x14ac:dyDescent="0.25">
      <c r="A7830">
        <v>2025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  <c r="M7830" t="str">
        <f t="shared" si="488"/>
        <v>30-45</v>
      </c>
      <c r="N7830" t="str">
        <f t="shared" si="489"/>
        <v>High</v>
      </c>
      <c r="O7830" t="str">
        <f t="shared" si="490"/>
        <v>High Balance</v>
      </c>
      <c r="P7830" t="str">
        <f t="shared" si="491"/>
        <v>Long-term</v>
      </c>
    </row>
    <row r="7831" spans="1:16" x14ac:dyDescent="0.25">
      <c r="A7831">
        <v>2025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  <c r="M7831" t="str">
        <f t="shared" si="488"/>
        <v>30-45</v>
      </c>
      <c r="N7831" t="str">
        <f t="shared" si="489"/>
        <v>Medium</v>
      </c>
      <c r="O7831" t="str">
        <f t="shared" si="490"/>
        <v>Low Balance</v>
      </c>
      <c r="P7831" t="str">
        <f t="shared" si="491"/>
        <v>Long-term</v>
      </c>
    </row>
    <row r="7832" spans="1:16" x14ac:dyDescent="0.25">
      <c r="A7832">
        <v>2025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  <c r="M7832" t="str">
        <f t="shared" si="488"/>
        <v>30-45</v>
      </c>
      <c r="N7832" t="str">
        <f t="shared" si="489"/>
        <v>Medium</v>
      </c>
      <c r="O7832" t="str">
        <f t="shared" si="490"/>
        <v>Zero Balance</v>
      </c>
      <c r="P7832" t="str">
        <f t="shared" si="491"/>
        <v>Long-term</v>
      </c>
    </row>
    <row r="7833" spans="1:16" x14ac:dyDescent="0.25">
      <c r="A7833">
        <v>2025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  <c r="M7833" t="str">
        <f t="shared" si="488"/>
        <v>30-45</v>
      </c>
      <c r="N7833" t="str">
        <f t="shared" si="489"/>
        <v>High</v>
      </c>
      <c r="O7833" t="str">
        <f t="shared" si="490"/>
        <v>Low Balance</v>
      </c>
      <c r="P7833" t="str">
        <f t="shared" si="491"/>
        <v>New</v>
      </c>
    </row>
    <row r="7834" spans="1:16" x14ac:dyDescent="0.25">
      <c r="A7834">
        <v>2025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  <c r="M7834" t="str">
        <f t="shared" si="488"/>
        <v>46-60</v>
      </c>
      <c r="N7834" t="str">
        <f t="shared" si="489"/>
        <v>Medium</v>
      </c>
      <c r="O7834" t="str">
        <f t="shared" si="490"/>
        <v>Low Balance</v>
      </c>
      <c r="P7834" t="str">
        <f t="shared" si="491"/>
        <v>New</v>
      </c>
    </row>
    <row r="7835" spans="1:16" x14ac:dyDescent="0.25">
      <c r="A7835">
        <v>2025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  <c r="M7835" t="str">
        <f t="shared" si="488"/>
        <v>30-45</v>
      </c>
      <c r="N7835" t="str">
        <f t="shared" si="489"/>
        <v>Medium</v>
      </c>
      <c r="O7835" t="str">
        <f t="shared" si="490"/>
        <v>Low Balance</v>
      </c>
      <c r="P7835" t="str">
        <f t="shared" si="491"/>
        <v>Mid-term</v>
      </c>
    </row>
    <row r="7836" spans="1:16" x14ac:dyDescent="0.25">
      <c r="A7836">
        <v>2025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  <c r="M7836" t="str">
        <f t="shared" si="488"/>
        <v>46-60</v>
      </c>
      <c r="N7836" t="str">
        <f t="shared" si="489"/>
        <v>High</v>
      </c>
      <c r="O7836" t="str">
        <f t="shared" si="490"/>
        <v>Zero Balance</v>
      </c>
      <c r="P7836" t="str">
        <f t="shared" si="491"/>
        <v>Long-term</v>
      </c>
    </row>
    <row r="7837" spans="1:16" x14ac:dyDescent="0.25">
      <c r="A7837">
        <v>2025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  <c r="M7837" t="str">
        <f t="shared" si="488"/>
        <v>30-45</v>
      </c>
      <c r="N7837" t="str">
        <f t="shared" si="489"/>
        <v>Medium</v>
      </c>
      <c r="O7837" t="str">
        <f t="shared" si="490"/>
        <v>Low Balance</v>
      </c>
      <c r="P7837" t="str">
        <f t="shared" si="491"/>
        <v>Long-term</v>
      </c>
    </row>
    <row r="7838" spans="1:16" x14ac:dyDescent="0.25">
      <c r="A7838">
        <v>2025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  <c r="M7838" t="str">
        <f t="shared" si="488"/>
        <v>30-45</v>
      </c>
      <c r="N7838" t="str">
        <f t="shared" si="489"/>
        <v>Medium</v>
      </c>
      <c r="O7838" t="str">
        <f t="shared" si="490"/>
        <v>Zero Balance</v>
      </c>
      <c r="P7838" t="str">
        <f t="shared" si="491"/>
        <v>Mid-term</v>
      </c>
    </row>
    <row r="7839" spans="1:16" x14ac:dyDescent="0.25">
      <c r="A7839">
        <v>2025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  <c r="M7839" t="str">
        <f t="shared" si="488"/>
        <v>46-60</v>
      </c>
      <c r="N7839" t="str">
        <f t="shared" si="489"/>
        <v>High</v>
      </c>
      <c r="O7839" t="str">
        <f t="shared" si="490"/>
        <v>Zero Balance</v>
      </c>
      <c r="P7839" t="str">
        <f t="shared" si="491"/>
        <v>New</v>
      </c>
    </row>
    <row r="7840" spans="1:16" x14ac:dyDescent="0.25">
      <c r="A7840">
        <v>2025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  <c r="M7840" t="str">
        <f t="shared" si="488"/>
        <v>30-45</v>
      </c>
      <c r="N7840" t="str">
        <f t="shared" si="489"/>
        <v>Medium</v>
      </c>
      <c r="O7840" t="str">
        <f t="shared" si="490"/>
        <v>High Balance</v>
      </c>
      <c r="P7840" t="str">
        <f t="shared" si="491"/>
        <v>Long-term</v>
      </c>
    </row>
    <row r="7841" spans="1:16" x14ac:dyDescent="0.25">
      <c r="A7841">
        <v>2025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  <c r="M7841" t="str">
        <f t="shared" si="488"/>
        <v>&lt;30</v>
      </c>
      <c r="N7841" t="str">
        <f t="shared" si="489"/>
        <v>Medium</v>
      </c>
      <c r="O7841" t="str">
        <f t="shared" si="490"/>
        <v>Zero Balance</v>
      </c>
      <c r="P7841" t="str">
        <f t="shared" si="491"/>
        <v>New</v>
      </c>
    </row>
    <row r="7842" spans="1:16" x14ac:dyDescent="0.25">
      <c r="A7842">
        <v>2025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  <c r="M7842" t="str">
        <f t="shared" si="488"/>
        <v>46-60</v>
      </c>
      <c r="N7842" t="str">
        <f t="shared" si="489"/>
        <v>Medium</v>
      </c>
      <c r="O7842" t="str">
        <f t="shared" si="490"/>
        <v>High Balance</v>
      </c>
      <c r="P7842" t="str">
        <f t="shared" si="491"/>
        <v>Mid-term</v>
      </c>
    </row>
    <row r="7843" spans="1:16" x14ac:dyDescent="0.25">
      <c r="A7843">
        <v>2025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  <c r="M7843" t="str">
        <f t="shared" si="488"/>
        <v>46-60</v>
      </c>
      <c r="N7843" t="str">
        <f t="shared" si="489"/>
        <v>High</v>
      </c>
      <c r="O7843" t="str">
        <f t="shared" si="490"/>
        <v>High Balance</v>
      </c>
      <c r="P7843" t="str">
        <f t="shared" si="491"/>
        <v>Mid-term</v>
      </c>
    </row>
    <row r="7844" spans="1:16" x14ac:dyDescent="0.25">
      <c r="A7844">
        <v>2025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  <c r="M7844" t="str">
        <f t="shared" si="488"/>
        <v>30-45</v>
      </c>
      <c r="N7844" t="str">
        <f t="shared" si="489"/>
        <v>High</v>
      </c>
      <c r="O7844" t="str">
        <f t="shared" si="490"/>
        <v>High Balance</v>
      </c>
      <c r="P7844" t="str">
        <f t="shared" si="491"/>
        <v>Mid-term</v>
      </c>
    </row>
    <row r="7845" spans="1:16" x14ac:dyDescent="0.25">
      <c r="A7845">
        <v>2025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  <c r="M7845" t="str">
        <f t="shared" si="488"/>
        <v>30-45</v>
      </c>
      <c r="N7845" t="str">
        <f t="shared" si="489"/>
        <v>Medium</v>
      </c>
      <c r="O7845" t="str">
        <f t="shared" si="490"/>
        <v>High Balance</v>
      </c>
      <c r="P7845" t="str">
        <f t="shared" si="491"/>
        <v>Mid-term</v>
      </c>
    </row>
    <row r="7846" spans="1:16" x14ac:dyDescent="0.25">
      <c r="A7846">
        <v>2025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  <c r="M7846" t="str">
        <f t="shared" si="488"/>
        <v>30-45</v>
      </c>
      <c r="N7846" t="str">
        <f t="shared" si="489"/>
        <v>Medium</v>
      </c>
      <c r="O7846" t="str">
        <f t="shared" si="490"/>
        <v>Zero Balance</v>
      </c>
      <c r="P7846" t="str">
        <f t="shared" si="491"/>
        <v>New</v>
      </c>
    </row>
    <row r="7847" spans="1:16" x14ac:dyDescent="0.25">
      <c r="A7847">
        <v>2025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  <c r="M7847" t="str">
        <f t="shared" si="488"/>
        <v>30-45</v>
      </c>
      <c r="N7847" t="str">
        <f t="shared" si="489"/>
        <v>Medium</v>
      </c>
      <c r="O7847" t="str">
        <f t="shared" si="490"/>
        <v>Zero Balance</v>
      </c>
      <c r="P7847" t="str">
        <f t="shared" si="491"/>
        <v>New</v>
      </c>
    </row>
    <row r="7848" spans="1:16" x14ac:dyDescent="0.25">
      <c r="A7848">
        <v>2025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  <c r="M7848" t="str">
        <f t="shared" si="488"/>
        <v>&lt;30</v>
      </c>
      <c r="N7848" t="str">
        <f t="shared" si="489"/>
        <v>Medium</v>
      </c>
      <c r="O7848" t="str">
        <f t="shared" si="490"/>
        <v>Low Balance</v>
      </c>
      <c r="P7848" t="str">
        <f t="shared" si="491"/>
        <v>New</v>
      </c>
    </row>
    <row r="7849" spans="1:16" x14ac:dyDescent="0.25">
      <c r="A7849">
        <v>2025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  <c r="M7849" t="str">
        <f t="shared" si="488"/>
        <v>&lt;30</v>
      </c>
      <c r="N7849" t="str">
        <f t="shared" si="489"/>
        <v>Medium</v>
      </c>
      <c r="O7849" t="str">
        <f t="shared" si="490"/>
        <v>High Balance</v>
      </c>
      <c r="P7849" t="str">
        <f t="shared" si="491"/>
        <v>New</v>
      </c>
    </row>
    <row r="7850" spans="1:16" x14ac:dyDescent="0.25">
      <c r="A7850">
        <v>2025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  <c r="M7850" t="str">
        <f t="shared" si="488"/>
        <v>46-60</v>
      </c>
      <c r="N7850" t="str">
        <f t="shared" si="489"/>
        <v>Low</v>
      </c>
      <c r="O7850" t="str">
        <f t="shared" si="490"/>
        <v>Zero Balance</v>
      </c>
      <c r="P7850" t="str">
        <f t="shared" si="491"/>
        <v>Long-term</v>
      </c>
    </row>
    <row r="7851" spans="1:16" x14ac:dyDescent="0.25">
      <c r="A7851">
        <v>2025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  <c r="M7851" t="str">
        <f t="shared" si="488"/>
        <v>30-45</v>
      </c>
      <c r="N7851" t="str">
        <f t="shared" si="489"/>
        <v>Medium</v>
      </c>
      <c r="O7851" t="str">
        <f t="shared" si="490"/>
        <v>High Balance</v>
      </c>
      <c r="P7851" t="str">
        <f t="shared" si="491"/>
        <v>Mid-term</v>
      </c>
    </row>
    <row r="7852" spans="1:16" x14ac:dyDescent="0.25">
      <c r="A7852">
        <v>2025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  <c r="M7852" t="str">
        <f t="shared" si="488"/>
        <v>30-45</v>
      </c>
      <c r="N7852" t="str">
        <f t="shared" si="489"/>
        <v>Low</v>
      </c>
      <c r="O7852" t="str">
        <f t="shared" si="490"/>
        <v>Zero Balance</v>
      </c>
      <c r="P7852" t="str">
        <f t="shared" si="491"/>
        <v>New</v>
      </c>
    </row>
    <row r="7853" spans="1:16" x14ac:dyDescent="0.25">
      <c r="A7853">
        <v>2025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  <c r="M7853" t="str">
        <f t="shared" si="488"/>
        <v>60+</v>
      </c>
      <c r="N7853" t="str">
        <f t="shared" si="489"/>
        <v>High</v>
      </c>
      <c r="O7853" t="str">
        <f t="shared" si="490"/>
        <v>High Balance</v>
      </c>
      <c r="P7853" t="str">
        <f t="shared" si="491"/>
        <v>Mid-term</v>
      </c>
    </row>
    <row r="7854" spans="1:16" x14ac:dyDescent="0.25">
      <c r="A7854">
        <v>2025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  <c r="M7854" t="str">
        <f t="shared" si="488"/>
        <v>30-45</v>
      </c>
      <c r="N7854" t="str">
        <f t="shared" si="489"/>
        <v>High</v>
      </c>
      <c r="O7854" t="str">
        <f t="shared" si="490"/>
        <v>High Balance</v>
      </c>
      <c r="P7854" t="str">
        <f t="shared" si="491"/>
        <v>New</v>
      </c>
    </row>
    <row r="7855" spans="1:16" x14ac:dyDescent="0.25">
      <c r="A7855">
        <v>2025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  <c r="M7855" t="str">
        <f t="shared" si="488"/>
        <v>46-60</v>
      </c>
      <c r="N7855" t="str">
        <f t="shared" si="489"/>
        <v>High</v>
      </c>
      <c r="O7855" t="str">
        <f t="shared" si="490"/>
        <v>Zero Balance</v>
      </c>
      <c r="P7855" t="str">
        <f t="shared" si="491"/>
        <v>Mid-term</v>
      </c>
    </row>
    <row r="7856" spans="1:16" x14ac:dyDescent="0.25">
      <c r="A7856">
        <v>2025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  <c r="M7856" t="str">
        <f t="shared" si="488"/>
        <v>46-60</v>
      </c>
      <c r="N7856" t="str">
        <f t="shared" si="489"/>
        <v>High</v>
      </c>
      <c r="O7856" t="str">
        <f t="shared" si="490"/>
        <v>Zero Balance</v>
      </c>
      <c r="P7856" t="str">
        <f t="shared" si="491"/>
        <v>Mid-term</v>
      </c>
    </row>
    <row r="7857" spans="1:16" x14ac:dyDescent="0.25">
      <c r="A7857">
        <v>2025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  <c r="M7857" t="str">
        <f t="shared" si="488"/>
        <v>46-60</v>
      </c>
      <c r="N7857" t="str">
        <f t="shared" si="489"/>
        <v>Medium</v>
      </c>
      <c r="O7857" t="str">
        <f t="shared" si="490"/>
        <v>High Balance</v>
      </c>
      <c r="P7857" t="str">
        <f t="shared" si="491"/>
        <v>Long-term</v>
      </c>
    </row>
    <row r="7858" spans="1:16" x14ac:dyDescent="0.25">
      <c r="A7858">
        <v>2025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  <c r="M7858" t="str">
        <f t="shared" si="488"/>
        <v>30-45</v>
      </c>
      <c r="N7858" t="str">
        <f t="shared" si="489"/>
        <v>Medium</v>
      </c>
      <c r="O7858" t="str">
        <f t="shared" si="490"/>
        <v>High Balance</v>
      </c>
      <c r="P7858" t="str">
        <f t="shared" si="491"/>
        <v>Mid-term</v>
      </c>
    </row>
    <row r="7859" spans="1:16" x14ac:dyDescent="0.25">
      <c r="A7859">
        <v>2025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  <c r="M7859" t="str">
        <f t="shared" si="488"/>
        <v>&lt;30</v>
      </c>
      <c r="N7859" t="str">
        <f t="shared" si="489"/>
        <v>High</v>
      </c>
      <c r="O7859" t="str">
        <f t="shared" si="490"/>
        <v>Low Balance</v>
      </c>
      <c r="P7859" t="str">
        <f t="shared" si="491"/>
        <v>Mid-term</v>
      </c>
    </row>
    <row r="7860" spans="1:16" x14ac:dyDescent="0.25">
      <c r="A7860">
        <v>2025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  <c r="M7860" t="str">
        <f t="shared" si="488"/>
        <v>&lt;30</v>
      </c>
      <c r="N7860" t="str">
        <f t="shared" si="489"/>
        <v>Medium</v>
      </c>
      <c r="O7860" t="str">
        <f t="shared" si="490"/>
        <v>High Balance</v>
      </c>
      <c r="P7860" t="str">
        <f t="shared" si="491"/>
        <v>New</v>
      </c>
    </row>
    <row r="7861" spans="1:16" x14ac:dyDescent="0.25">
      <c r="A7861">
        <v>2025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  <c r="M7861" t="str">
        <f t="shared" si="488"/>
        <v>&lt;30</v>
      </c>
      <c r="N7861" t="str">
        <f t="shared" si="489"/>
        <v>High</v>
      </c>
      <c r="O7861" t="str">
        <f t="shared" si="490"/>
        <v>Low Balance</v>
      </c>
      <c r="P7861" t="str">
        <f t="shared" si="491"/>
        <v>New</v>
      </c>
    </row>
    <row r="7862" spans="1:16" x14ac:dyDescent="0.25">
      <c r="A7862">
        <v>2025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  <c r="M7862" t="str">
        <f t="shared" si="488"/>
        <v>30-45</v>
      </c>
      <c r="N7862" t="str">
        <f t="shared" si="489"/>
        <v>Medium</v>
      </c>
      <c r="O7862" t="str">
        <f t="shared" si="490"/>
        <v>Low Balance</v>
      </c>
      <c r="P7862" t="str">
        <f t="shared" si="491"/>
        <v>Long-term</v>
      </c>
    </row>
    <row r="7863" spans="1:16" x14ac:dyDescent="0.25">
      <c r="A7863">
        <v>2025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  <c r="M7863" t="str">
        <f t="shared" si="488"/>
        <v>&lt;30</v>
      </c>
      <c r="N7863" t="str">
        <f t="shared" si="489"/>
        <v>Medium</v>
      </c>
      <c r="O7863" t="str">
        <f t="shared" si="490"/>
        <v>High Balance</v>
      </c>
      <c r="P7863" t="str">
        <f t="shared" si="491"/>
        <v>New</v>
      </c>
    </row>
    <row r="7864" spans="1:16" x14ac:dyDescent="0.25">
      <c r="A7864">
        <v>2025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  <c r="M7864" t="str">
        <f t="shared" si="488"/>
        <v>30-45</v>
      </c>
      <c r="N7864" t="str">
        <f t="shared" si="489"/>
        <v>Medium</v>
      </c>
      <c r="O7864" t="str">
        <f t="shared" si="490"/>
        <v>High Balance</v>
      </c>
      <c r="P7864" t="str">
        <f t="shared" si="491"/>
        <v>Mid-term</v>
      </c>
    </row>
    <row r="7865" spans="1:16" x14ac:dyDescent="0.25">
      <c r="A7865">
        <v>2025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  <c r="M7865" t="str">
        <f t="shared" si="488"/>
        <v>46-60</v>
      </c>
      <c r="N7865" t="str">
        <f t="shared" si="489"/>
        <v>High</v>
      </c>
      <c r="O7865" t="str">
        <f t="shared" si="490"/>
        <v>High Balance</v>
      </c>
      <c r="P7865" t="str">
        <f t="shared" si="491"/>
        <v>Long-term</v>
      </c>
    </row>
    <row r="7866" spans="1:16" x14ac:dyDescent="0.25">
      <c r="A7866">
        <v>2025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  <c r="M7866" t="str">
        <f t="shared" si="488"/>
        <v>30-45</v>
      </c>
      <c r="N7866" t="str">
        <f t="shared" si="489"/>
        <v>Medium</v>
      </c>
      <c r="O7866" t="str">
        <f t="shared" si="490"/>
        <v>Zero Balance</v>
      </c>
      <c r="P7866" t="str">
        <f t="shared" si="491"/>
        <v>New</v>
      </c>
    </row>
    <row r="7867" spans="1:16" x14ac:dyDescent="0.25">
      <c r="A7867">
        <v>2025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  <c r="M7867" t="str">
        <f t="shared" si="488"/>
        <v>30-45</v>
      </c>
      <c r="N7867" t="str">
        <f t="shared" si="489"/>
        <v>Medium</v>
      </c>
      <c r="O7867" t="str">
        <f t="shared" si="490"/>
        <v>Zero Balance</v>
      </c>
      <c r="P7867" t="str">
        <f t="shared" si="491"/>
        <v>Long-term</v>
      </c>
    </row>
    <row r="7868" spans="1:16" x14ac:dyDescent="0.25">
      <c r="A7868">
        <v>2025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  <c r="M7868" t="str">
        <f t="shared" si="488"/>
        <v>30-45</v>
      </c>
      <c r="N7868" t="str">
        <f t="shared" si="489"/>
        <v>Medium</v>
      </c>
      <c r="O7868" t="str">
        <f t="shared" si="490"/>
        <v>High Balance</v>
      </c>
      <c r="P7868" t="str">
        <f t="shared" si="491"/>
        <v>Mid-term</v>
      </c>
    </row>
    <row r="7869" spans="1:16" x14ac:dyDescent="0.25">
      <c r="A7869">
        <v>2025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  <c r="M7869" t="str">
        <f t="shared" si="488"/>
        <v>46-60</v>
      </c>
      <c r="N7869" t="str">
        <f t="shared" si="489"/>
        <v>Medium</v>
      </c>
      <c r="O7869" t="str">
        <f t="shared" si="490"/>
        <v>Zero Balance</v>
      </c>
      <c r="P7869" t="str">
        <f t="shared" si="491"/>
        <v>New</v>
      </c>
    </row>
    <row r="7870" spans="1:16" x14ac:dyDescent="0.25">
      <c r="A7870">
        <v>2025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  <c r="M7870" t="str">
        <f t="shared" si="488"/>
        <v>&lt;30</v>
      </c>
      <c r="N7870" t="str">
        <f t="shared" si="489"/>
        <v>Medium</v>
      </c>
      <c r="O7870" t="str">
        <f t="shared" si="490"/>
        <v>Low Balance</v>
      </c>
      <c r="P7870" t="str">
        <f t="shared" si="491"/>
        <v>Mid-term</v>
      </c>
    </row>
    <row r="7871" spans="1:16" x14ac:dyDescent="0.25">
      <c r="A7871">
        <v>2025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  <c r="M7871" t="str">
        <f t="shared" si="488"/>
        <v>30-45</v>
      </c>
      <c r="N7871" t="str">
        <f t="shared" si="489"/>
        <v>Medium</v>
      </c>
      <c r="O7871" t="str">
        <f t="shared" si="490"/>
        <v>Low Balance</v>
      </c>
      <c r="P7871" t="str">
        <f t="shared" si="491"/>
        <v>Long-term</v>
      </c>
    </row>
    <row r="7872" spans="1:16" x14ac:dyDescent="0.25">
      <c r="A7872">
        <v>2025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  <c r="M7872" t="str">
        <f t="shared" si="488"/>
        <v>&lt;30</v>
      </c>
      <c r="N7872" t="str">
        <f t="shared" si="489"/>
        <v>Medium</v>
      </c>
      <c r="O7872" t="str">
        <f t="shared" si="490"/>
        <v>Zero Balance</v>
      </c>
      <c r="P7872" t="str">
        <f t="shared" si="491"/>
        <v>Long-term</v>
      </c>
    </row>
    <row r="7873" spans="1:16" x14ac:dyDescent="0.25">
      <c r="A7873">
        <v>2025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  <c r="M7873" t="str">
        <f t="shared" si="488"/>
        <v>30-45</v>
      </c>
      <c r="N7873" t="str">
        <f t="shared" si="489"/>
        <v>Medium</v>
      </c>
      <c r="O7873" t="str">
        <f t="shared" si="490"/>
        <v>Low Balance</v>
      </c>
      <c r="P7873" t="str">
        <f t="shared" si="491"/>
        <v>New</v>
      </c>
    </row>
    <row r="7874" spans="1:16" x14ac:dyDescent="0.25">
      <c r="A7874">
        <v>2025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  <c r="M7874" t="str">
        <f t="shared" si="488"/>
        <v>46-60</v>
      </c>
      <c r="N7874" t="str">
        <f t="shared" si="489"/>
        <v>Medium</v>
      </c>
      <c r="O7874" t="str">
        <f t="shared" si="490"/>
        <v>High Balance</v>
      </c>
      <c r="P7874" t="str">
        <f t="shared" si="491"/>
        <v>Long-term</v>
      </c>
    </row>
    <row r="7875" spans="1:16" x14ac:dyDescent="0.25">
      <c r="A7875">
        <v>2025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  <c r="M7875" t="str">
        <f t="shared" ref="M7875:M7938" si="492">IF(E7875&lt;30,"&lt;30",IF(E7875&lt;=45,"30-45",IF(E7875&lt;=60,"46-60","60+")))</f>
        <v>30-45</v>
      </c>
      <c r="N7875" t="str">
        <f t="shared" ref="N7875:N7938" si="493">IF(B7875&lt;500,"Low",IF(B7875&lt;700,"Medium","High"))</f>
        <v>High</v>
      </c>
      <c r="O7875" t="str">
        <f t="shared" ref="O7875:O7938" si="494">IF(G7875=0,"Zero Balance",IF(G7875&lt;100000,"Low Balance","High Balance"))</f>
        <v>Low Balance</v>
      </c>
      <c r="P7875" t="str">
        <f t="shared" ref="P7875:P7938" si="495">IF(F7875&lt;=3,"New",IF(F7875&lt;=7,"Mid-term","Long-term"))</f>
        <v>Mid-term</v>
      </c>
    </row>
    <row r="7876" spans="1:16" x14ac:dyDescent="0.25">
      <c r="A7876">
        <v>2025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  <c r="M7876" t="str">
        <f t="shared" si="492"/>
        <v>30-45</v>
      </c>
      <c r="N7876" t="str">
        <f t="shared" si="493"/>
        <v>Medium</v>
      </c>
      <c r="O7876" t="str">
        <f t="shared" si="494"/>
        <v>High Balance</v>
      </c>
      <c r="P7876" t="str">
        <f t="shared" si="495"/>
        <v>Mid-term</v>
      </c>
    </row>
    <row r="7877" spans="1:16" x14ac:dyDescent="0.25">
      <c r="A7877">
        <v>2025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  <c r="M7877" t="str">
        <f t="shared" si="492"/>
        <v>30-45</v>
      </c>
      <c r="N7877" t="str">
        <f t="shared" si="493"/>
        <v>Medium</v>
      </c>
      <c r="O7877" t="str">
        <f t="shared" si="494"/>
        <v>High Balance</v>
      </c>
      <c r="P7877" t="str">
        <f t="shared" si="495"/>
        <v>New</v>
      </c>
    </row>
    <row r="7878" spans="1:16" x14ac:dyDescent="0.25">
      <c r="A7878">
        <v>2025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  <c r="M7878" t="str">
        <f t="shared" si="492"/>
        <v>30-45</v>
      </c>
      <c r="N7878" t="str">
        <f t="shared" si="493"/>
        <v>Medium</v>
      </c>
      <c r="O7878" t="str">
        <f t="shared" si="494"/>
        <v>Zero Balance</v>
      </c>
      <c r="P7878" t="str">
        <f t="shared" si="495"/>
        <v>New</v>
      </c>
    </row>
    <row r="7879" spans="1:16" x14ac:dyDescent="0.25">
      <c r="A7879">
        <v>2025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  <c r="M7879" t="str">
        <f t="shared" si="492"/>
        <v>30-45</v>
      </c>
      <c r="N7879" t="str">
        <f t="shared" si="493"/>
        <v>Low</v>
      </c>
      <c r="O7879" t="str">
        <f t="shared" si="494"/>
        <v>Low Balance</v>
      </c>
      <c r="P7879" t="str">
        <f t="shared" si="495"/>
        <v>New</v>
      </c>
    </row>
    <row r="7880" spans="1:16" x14ac:dyDescent="0.25">
      <c r="A7880">
        <v>2025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  <c r="M7880" t="str">
        <f t="shared" si="492"/>
        <v>30-45</v>
      </c>
      <c r="N7880" t="str">
        <f t="shared" si="493"/>
        <v>High</v>
      </c>
      <c r="O7880" t="str">
        <f t="shared" si="494"/>
        <v>High Balance</v>
      </c>
      <c r="P7880" t="str">
        <f t="shared" si="495"/>
        <v>Long-term</v>
      </c>
    </row>
    <row r="7881" spans="1:16" x14ac:dyDescent="0.25">
      <c r="A7881">
        <v>2025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  <c r="M7881" t="str">
        <f t="shared" si="492"/>
        <v>30-45</v>
      </c>
      <c r="N7881" t="str">
        <f t="shared" si="493"/>
        <v>Medium</v>
      </c>
      <c r="O7881" t="str">
        <f t="shared" si="494"/>
        <v>Low Balance</v>
      </c>
      <c r="P7881" t="str">
        <f t="shared" si="495"/>
        <v>Mid-term</v>
      </c>
    </row>
    <row r="7882" spans="1:16" x14ac:dyDescent="0.25">
      <c r="A7882">
        <v>2025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  <c r="M7882" t="str">
        <f t="shared" si="492"/>
        <v>30-45</v>
      </c>
      <c r="N7882" t="str">
        <f t="shared" si="493"/>
        <v>High</v>
      </c>
      <c r="O7882" t="str">
        <f t="shared" si="494"/>
        <v>Zero Balance</v>
      </c>
      <c r="P7882" t="str">
        <f t="shared" si="495"/>
        <v>Long-term</v>
      </c>
    </row>
    <row r="7883" spans="1:16" x14ac:dyDescent="0.25">
      <c r="A7883">
        <v>2025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  <c r="M7883" t="str">
        <f t="shared" si="492"/>
        <v>46-60</v>
      </c>
      <c r="N7883" t="str">
        <f t="shared" si="493"/>
        <v>High</v>
      </c>
      <c r="O7883" t="str">
        <f t="shared" si="494"/>
        <v>Zero Balance</v>
      </c>
      <c r="P7883" t="str">
        <f t="shared" si="495"/>
        <v>Long-term</v>
      </c>
    </row>
    <row r="7884" spans="1:16" x14ac:dyDescent="0.25">
      <c r="A7884">
        <v>2025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  <c r="M7884" t="str">
        <f t="shared" si="492"/>
        <v>30-45</v>
      </c>
      <c r="N7884" t="str">
        <f t="shared" si="493"/>
        <v>High</v>
      </c>
      <c r="O7884" t="str">
        <f t="shared" si="494"/>
        <v>High Balance</v>
      </c>
      <c r="P7884" t="str">
        <f t="shared" si="495"/>
        <v>New</v>
      </c>
    </row>
    <row r="7885" spans="1:16" x14ac:dyDescent="0.25">
      <c r="A7885">
        <v>2025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  <c r="M7885" t="str">
        <f t="shared" si="492"/>
        <v>30-45</v>
      </c>
      <c r="N7885" t="str">
        <f t="shared" si="493"/>
        <v>Medium</v>
      </c>
      <c r="O7885" t="str">
        <f t="shared" si="494"/>
        <v>Zero Balance</v>
      </c>
      <c r="P7885" t="str">
        <f t="shared" si="495"/>
        <v>Mid-term</v>
      </c>
    </row>
    <row r="7886" spans="1:16" x14ac:dyDescent="0.25">
      <c r="A7886">
        <v>2025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  <c r="M7886" t="str">
        <f t="shared" si="492"/>
        <v>30-45</v>
      </c>
      <c r="N7886" t="str">
        <f t="shared" si="493"/>
        <v>Medium</v>
      </c>
      <c r="O7886" t="str">
        <f t="shared" si="494"/>
        <v>High Balance</v>
      </c>
      <c r="P7886" t="str">
        <f t="shared" si="495"/>
        <v>Mid-term</v>
      </c>
    </row>
    <row r="7887" spans="1:16" x14ac:dyDescent="0.25">
      <c r="A7887">
        <v>2025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  <c r="M7887" t="str">
        <f t="shared" si="492"/>
        <v>30-45</v>
      </c>
      <c r="N7887" t="str">
        <f t="shared" si="493"/>
        <v>High</v>
      </c>
      <c r="O7887" t="str">
        <f t="shared" si="494"/>
        <v>Low Balance</v>
      </c>
      <c r="P7887" t="str">
        <f t="shared" si="495"/>
        <v>New</v>
      </c>
    </row>
    <row r="7888" spans="1:16" x14ac:dyDescent="0.25">
      <c r="A7888">
        <v>2025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  <c r="M7888" t="str">
        <f t="shared" si="492"/>
        <v>30-45</v>
      </c>
      <c r="N7888" t="str">
        <f t="shared" si="493"/>
        <v>Medium</v>
      </c>
      <c r="O7888" t="str">
        <f t="shared" si="494"/>
        <v>Zero Balance</v>
      </c>
      <c r="P7888" t="str">
        <f t="shared" si="495"/>
        <v>Long-term</v>
      </c>
    </row>
    <row r="7889" spans="1:16" x14ac:dyDescent="0.25">
      <c r="A7889">
        <v>2025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  <c r="M7889" t="str">
        <f t="shared" si="492"/>
        <v>30-45</v>
      </c>
      <c r="N7889" t="str">
        <f t="shared" si="493"/>
        <v>High</v>
      </c>
      <c r="O7889" t="str">
        <f t="shared" si="494"/>
        <v>High Balance</v>
      </c>
      <c r="P7889" t="str">
        <f t="shared" si="495"/>
        <v>New</v>
      </c>
    </row>
    <row r="7890" spans="1:16" x14ac:dyDescent="0.25">
      <c r="A7890">
        <v>2025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  <c r="M7890" t="str">
        <f t="shared" si="492"/>
        <v>30-45</v>
      </c>
      <c r="N7890" t="str">
        <f t="shared" si="493"/>
        <v>Medium</v>
      </c>
      <c r="O7890" t="str">
        <f t="shared" si="494"/>
        <v>Low Balance</v>
      </c>
      <c r="P7890" t="str">
        <f t="shared" si="495"/>
        <v>New</v>
      </c>
    </row>
    <row r="7891" spans="1:16" x14ac:dyDescent="0.25">
      <c r="A7891">
        <v>2025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  <c r="M7891" t="str">
        <f t="shared" si="492"/>
        <v>46-60</v>
      </c>
      <c r="N7891" t="str">
        <f t="shared" si="493"/>
        <v>Medium</v>
      </c>
      <c r="O7891" t="str">
        <f t="shared" si="494"/>
        <v>High Balance</v>
      </c>
      <c r="P7891" t="str">
        <f t="shared" si="495"/>
        <v>Long-term</v>
      </c>
    </row>
    <row r="7892" spans="1:16" x14ac:dyDescent="0.25">
      <c r="A7892">
        <v>2025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  <c r="M7892" t="str">
        <f t="shared" si="492"/>
        <v>46-60</v>
      </c>
      <c r="N7892" t="str">
        <f t="shared" si="493"/>
        <v>Medium</v>
      </c>
      <c r="O7892" t="str">
        <f t="shared" si="494"/>
        <v>Zero Balance</v>
      </c>
      <c r="P7892" t="str">
        <f t="shared" si="495"/>
        <v>Mid-term</v>
      </c>
    </row>
    <row r="7893" spans="1:16" x14ac:dyDescent="0.25">
      <c r="A7893">
        <v>2025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  <c r="M7893" t="str">
        <f t="shared" si="492"/>
        <v>46-60</v>
      </c>
      <c r="N7893" t="str">
        <f t="shared" si="493"/>
        <v>Medium</v>
      </c>
      <c r="O7893" t="str">
        <f t="shared" si="494"/>
        <v>High Balance</v>
      </c>
      <c r="P7893" t="str">
        <f t="shared" si="495"/>
        <v>New</v>
      </c>
    </row>
    <row r="7894" spans="1:16" x14ac:dyDescent="0.25">
      <c r="A7894">
        <v>2025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  <c r="M7894" t="str">
        <f t="shared" si="492"/>
        <v>30-45</v>
      </c>
      <c r="N7894" t="str">
        <f t="shared" si="493"/>
        <v>Medium</v>
      </c>
      <c r="O7894" t="str">
        <f t="shared" si="494"/>
        <v>Zero Balance</v>
      </c>
      <c r="P7894" t="str">
        <f t="shared" si="495"/>
        <v>Mid-term</v>
      </c>
    </row>
    <row r="7895" spans="1:16" x14ac:dyDescent="0.25">
      <c r="A7895">
        <v>2025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  <c r="M7895" t="str">
        <f t="shared" si="492"/>
        <v>30-45</v>
      </c>
      <c r="N7895" t="str">
        <f t="shared" si="493"/>
        <v>Medium</v>
      </c>
      <c r="O7895" t="str">
        <f t="shared" si="494"/>
        <v>High Balance</v>
      </c>
      <c r="P7895" t="str">
        <f t="shared" si="495"/>
        <v>Long-term</v>
      </c>
    </row>
    <row r="7896" spans="1:16" x14ac:dyDescent="0.25">
      <c r="A7896">
        <v>2025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  <c r="M7896" t="str">
        <f t="shared" si="492"/>
        <v>60+</v>
      </c>
      <c r="N7896" t="str">
        <f t="shared" si="493"/>
        <v>High</v>
      </c>
      <c r="O7896" t="str">
        <f t="shared" si="494"/>
        <v>High Balance</v>
      </c>
      <c r="P7896" t="str">
        <f t="shared" si="495"/>
        <v>New</v>
      </c>
    </row>
    <row r="7897" spans="1:16" x14ac:dyDescent="0.25">
      <c r="A7897">
        <v>2025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  <c r="M7897" t="str">
        <f t="shared" si="492"/>
        <v>30-45</v>
      </c>
      <c r="N7897" t="str">
        <f t="shared" si="493"/>
        <v>Medium</v>
      </c>
      <c r="O7897" t="str">
        <f t="shared" si="494"/>
        <v>High Balance</v>
      </c>
      <c r="P7897" t="str">
        <f t="shared" si="495"/>
        <v>Long-term</v>
      </c>
    </row>
    <row r="7898" spans="1:16" x14ac:dyDescent="0.25">
      <c r="A7898">
        <v>2025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  <c r="M7898" t="str">
        <f t="shared" si="492"/>
        <v>30-45</v>
      </c>
      <c r="N7898" t="str">
        <f t="shared" si="493"/>
        <v>Medium</v>
      </c>
      <c r="O7898" t="str">
        <f t="shared" si="494"/>
        <v>Zero Balance</v>
      </c>
      <c r="P7898" t="str">
        <f t="shared" si="495"/>
        <v>New</v>
      </c>
    </row>
    <row r="7899" spans="1:16" x14ac:dyDescent="0.25">
      <c r="A7899">
        <v>2025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  <c r="M7899" t="str">
        <f t="shared" si="492"/>
        <v>30-45</v>
      </c>
      <c r="N7899" t="str">
        <f t="shared" si="493"/>
        <v>Medium</v>
      </c>
      <c r="O7899" t="str">
        <f t="shared" si="494"/>
        <v>High Balance</v>
      </c>
      <c r="P7899" t="str">
        <f t="shared" si="495"/>
        <v>Mid-term</v>
      </c>
    </row>
    <row r="7900" spans="1:16" x14ac:dyDescent="0.25">
      <c r="A7900">
        <v>2025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  <c r="M7900" t="str">
        <f t="shared" si="492"/>
        <v>60+</v>
      </c>
      <c r="N7900" t="str">
        <f t="shared" si="493"/>
        <v>Medium</v>
      </c>
      <c r="O7900" t="str">
        <f t="shared" si="494"/>
        <v>Low Balance</v>
      </c>
      <c r="P7900" t="str">
        <f t="shared" si="495"/>
        <v>Mid-term</v>
      </c>
    </row>
    <row r="7901" spans="1:16" x14ac:dyDescent="0.25">
      <c r="A7901">
        <v>2025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  <c r="M7901" t="str">
        <f t="shared" si="492"/>
        <v>30-45</v>
      </c>
      <c r="N7901" t="str">
        <f t="shared" si="493"/>
        <v>Medium</v>
      </c>
      <c r="O7901" t="str">
        <f t="shared" si="494"/>
        <v>Zero Balance</v>
      </c>
      <c r="P7901" t="str">
        <f t="shared" si="495"/>
        <v>Mid-term</v>
      </c>
    </row>
    <row r="7902" spans="1:16" x14ac:dyDescent="0.25">
      <c r="A7902">
        <v>2025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  <c r="M7902" t="str">
        <f t="shared" si="492"/>
        <v>46-60</v>
      </c>
      <c r="N7902" t="str">
        <f t="shared" si="493"/>
        <v>High</v>
      </c>
      <c r="O7902" t="str">
        <f t="shared" si="494"/>
        <v>Zero Balance</v>
      </c>
      <c r="P7902" t="str">
        <f t="shared" si="495"/>
        <v>New</v>
      </c>
    </row>
    <row r="7903" spans="1:16" x14ac:dyDescent="0.25">
      <c r="A7903">
        <v>2025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  <c r="M7903" t="str">
        <f t="shared" si="492"/>
        <v>&lt;30</v>
      </c>
      <c r="N7903" t="str">
        <f t="shared" si="493"/>
        <v>Medium</v>
      </c>
      <c r="O7903" t="str">
        <f t="shared" si="494"/>
        <v>High Balance</v>
      </c>
      <c r="P7903" t="str">
        <f t="shared" si="495"/>
        <v>New</v>
      </c>
    </row>
    <row r="7904" spans="1:16" x14ac:dyDescent="0.25">
      <c r="A7904">
        <v>2025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  <c r="M7904" t="str">
        <f t="shared" si="492"/>
        <v>30-45</v>
      </c>
      <c r="N7904" t="str">
        <f t="shared" si="493"/>
        <v>Low</v>
      </c>
      <c r="O7904" t="str">
        <f t="shared" si="494"/>
        <v>Zero Balance</v>
      </c>
      <c r="P7904" t="str">
        <f t="shared" si="495"/>
        <v>Long-term</v>
      </c>
    </row>
    <row r="7905" spans="1:16" x14ac:dyDescent="0.25">
      <c r="A7905">
        <v>2025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  <c r="M7905" t="str">
        <f t="shared" si="492"/>
        <v>30-45</v>
      </c>
      <c r="N7905" t="str">
        <f t="shared" si="493"/>
        <v>Medium</v>
      </c>
      <c r="O7905" t="str">
        <f t="shared" si="494"/>
        <v>Zero Balance</v>
      </c>
      <c r="P7905" t="str">
        <f t="shared" si="495"/>
        <v>Long-term</v>
      </c>
    </row>
    <row r="7906" spans="1:16" x14ac:dyDescent="0.25">
      <c r="A7906">
        <v>2025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  <c r="M7906" t="str">
        <f t="shared" si="492"/>
        <v>30-45</v>
      </c>
      <c r="N7906" t="str">
        <f t="shared" si="493"/>
        <v>Low</v>
      </c>
      <c r="O7906" t="str">
        <f t="shared" si="494"/>
        <v>High Balance</v>
      </c>
      <c r="P7906" t="str">
        <f t="shared" si="495"/>
        <v>New</v>
      </c>
    </row>
    <row r="7907" spans="1:16" x14ac:dyDescent="0.25">
      <c r="A7907">
        <v>2025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  <c r="M7907" t="str">
        <f t="shared" si="492"/>
        <v>30-45</v>
      </c>
      <c r="N7907" t="str">
        <f t="shared" si="493"/>
        <v>High</v>
      </c>
      <c r="O7907" t="str">
        <f t="shared" si="494"/>
        <v>High Balance</v>
      </c>
      <c r="P7907" t="str">
        <f t="shared" si="495"/>
        <v>Long-term</v>
      </c>
    </row>
    <row r="7908" spans="1:16" x14ac:dyDescent="0.25">
      <c r="A7908">
        <v>2025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  <c r="M7908" t="str">
        <f t="shared" si="492"/>
        <v>30-45</v>
      </c>
      <c r="N7908" t="str">
        <f t="shared" si="493"/>
        <v>Medium</v>
      </c>
      <c r="O7908" t="str">
        <f t="shared" si="494"/>
        <v>High Balance</v>
      </c>
      <c r="P7908" t="str">
        <f t="shared" si="495"/>
        <v>New</v>
      </c>
    </row>
    <row r="7909" spans="1:16" x14ac:dyDescent="0.25">
      <c r="A7909">
        <v>2025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  <c r="M7909" t="str">
        <f t="shared" si="492"/>
        <v>30-45</v>
      </c>
      <c r="N7909" t="str">
        <f t="shared" si="493"/>
        <v>Medium</v>
      </c>
      <c r="O7909" t="str">
        <f t="shared" si="494"/>
        <v>Low Balance</v>
      </c>
      <c r="P7909" t="str">
        <f t="shared" si="495"/>
        <v>New</v>
      </c>
    </row>
    <row r="7910" spans="1:16" x14ac:dyDescent="0.25">
      <c r="A7910">
        <v>2025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  <c r="M7910" t="str">
        <f t="shared" si="492"/>
        <v>30-45</v>
      </c>
      <c r="N7910" t="str">
        <f t="shared" si="493"/>
        <v>Medium</v>
      </c>
      <c r="O7910" t="str">
        <f t="shared" si="494"/>
        <v>Zero Balance</v>
      </c>
      <c r="P7910" t="str">
        <f t="shared" si="495"/>
        <v>Mid-term</v>
      </c>
    </row>
    <row r="7911" spans="1:16" x14ac:dyDescent="0.25">
      <c r="A7911">
        <v>2025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  <c r="M7911" t="str">
        <f t="shared" si="492"/>
        <v>60+</v>
      </c>
      <c r="N7911" t="str">
        <f t="shared" si="493"/>
        <v>Medium</v>
      </c>
      <c r="O7911" t="str">
        <f t="shared" si="494"/>
        <v>Zero Balance</v>
      </c>
      <c r="P7911" t="str">
        <f t="shared" si="495"/>
        <v>Mid-term</v>
      </c>
    </row>
    <row r="7912" spans="1:16" x14ac:dyDescent="0.25">
      <c r="A7912">
        <v>2025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  <c r="M7912" t="str">
        <f t="shared" si="492"/>
        <v>&lt;30</v>
      </c>
      <c r="N7912" t="str">
        <f t="shared" si="493"/>
        <v>Medium</v>
      </c>
      <c r="O7912" t="str">
        <f t="shared" si="494"/>
        <v>High Balance</v>
      </c>
      <c r="P7912" t="str">
        <f t="shared" si="495"/>
        <v>Mid-term</v>
      </c>
    </row>
    <row r="7913" spans="1:16" x14ac:dyDescent="0.25">
      <c r="A7913">
        <v>2025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  <c r="M7913" t="str">
        <f t="shared" si="492"/>
        <v>&lt;30</v>
      </c>
      <c r="N7913" t="str">
        <f t="shared" si="493"/>
        <v>Medium</v>
      </c>
      <c r="O7913" t="str">
        <f t="shared" si="494"/>
        <v>High Balance</v>
      </c>
      <c r="P7913" t="str">
        <f t="shared" si="495"/>
        <v>New</v>
      </c>
    </row>
    <row r="7914" spans="1:16" x14ac:dyDescent="0.25">
      <c r="A7914">
        <v>2025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  <c r="M7914" t="str">
        <f t="shared" si="492"/>
        <v>30-45</v>
      </c>
      <c r="N7914" t="str">
        <f t="shared" si="493"/>
        <v>Medium</v>
      </c>
      <c r="O7914" t="str">
        <f t="shared" si="494"/>
        <v>High Balance</v>
      </c>
      <c r="P7914" t="str">
        <f t="shared" si="495"/>
        <v>New</v>
      </c>
    </row>
    <row r="7915" spans="1:16" x14ac:dyDescent="0.25">
      <c r="A7915">
        <v>2025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  <c r="M7915" t="str">
        <f t="shared" si="492"/>
        <v>&lt;30</v>
      </c>
      <c r="N7915" t="str">
        <f t="shared" si="493"/>
        <v>High</v>
      </c>
      <c r="O7915" t="str">
        <f t="shared" si="494"/>
        <v>High Balance</v>
      </c>
      <c r="P7915" t="str">
        <f t="shared" si="495"/>
        <v>Mid-term</v>
      </c>
    </row>
    <row r="7916" spans="1:16" x14ac:dyDescent="0.25">
      <c r="A7916">
        <v>2025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  <c r="M7916" t="str">
        <f t="shared" si="492"/>
        <v>30-45</v>
      </c>
      <c r="N7916" t="str">
        <f t="shared" si="493"/>
        <v>Medium</v>
      </c>
      <c r="O7916" t="str">
        <f t="shared" si="494"/>
        <v>Zero Balance</v>
      </c>
      <c r="P7916" t="str">
        <f t="shared" si="495"/>
        <v>Long-term</v>
      </c>
    </row>
    <row r="7917" spans="1:16" x14ac:dyDescent="0.25">
      <c r="A7917">
        <v>2025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  <c r="M7917" t="str">
        <f t="shared" si="492"/>
        <v>46-60</v>
      </c>
      <c r="N7917" t="str">
        <f t="shared" si="493"/>
        <v>Medium</v>
      </c>
      <c r="O7917" t="str">
        <f t="shared" si="494"/>
        <v>Zero Balance</v>
      </c>
      <c r="P7917" t="str">
        <f t="shared" si="495"/>
        <v>New</v>
      </c>
    </row>
    <row r="7918" spans="1:16" x14ac:dyDescent="0.25">
      <c r="A7918">
        <v>2025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  <c r="M7918" t="str">
        <f t="shared" si="492"/>
        <v>30-45</v>
      </c>
      <c r="N7918" t="str">
        <f t="shared" si="493"/>
        <v>Medium</v>
      </c>
      <c r="O7918" t="str">
        <f t="shared" si="494"/>
        <v>Zero Balance</v>
      </c>
      <c r="P7918" t="str">
        <f t="shared" si="495"/>
        <v>Mid-term</v>
      </c>
    </row>
    <row r="7919" spans="1:16" x14ac:dyDescent="0.25">
      <c r="A7919">
        <v>2025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  <c r="M7919" t="str">
        <f t="shared" si="492"/>
        <v>30-45</v>
      </c>
      <c r="N7919" t="str">
        <f t="shared" si="493"/>
        <v>Medium</v>
      </c>
      <c r="O7919" t="str">
        <f t="shared" si="494"/>
        <v>High Balance</v>
      </c>
      <c r="P7919" t="str">
        <f t="shared" si="495"/>
        <v>Long-term</v>
      </c>
    </row>
    <row r="7920" spans="1:16" x14ac:dyDescent="0.25">
      <c r="A7920">
        <v>2025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  <c r="M7920" t="str">
        <f t="shared" si="492"/>
        <v>30-45</v>
      </c>
      <c r="N7920" t="str">
        <f t="shared" si="493"/>
        <v>Medium</v>
      </c>
      <c r="O7920" t="str">
        <f t="shared" si="494"/>
        <v>Zero Balance</v>
      </c>
      <c r="P7920" t="str">
        <f t="shared" si="495"/>
        <v>Mid-term</v>
      </c>
    </row>
    <row r="7921" spans="1:16" x14ac:dyDescent="0.25">
      <c r="A7921">
        <v>2025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  <c r="M7921" t="str">
        <f t="shared" si="492"/>
        <v>30-45</v>
      </c>
      <c r="N7921" t="str">
        <f t="shared" si="493"/>
        <v>Medium</v>
      </c>
      <c r="O7921" t="str">
        <f t="shared" si="494"/>
        <v>High Balance</v>
      </c>
      <c r="P7921" t="str">
        <f t="shared" si="495"/>
        <v>Long-term</v>
      </c>
    </row>
    <row r="7922" spans="1:16" x14ac:dyDescent="0.25">
      <c r="A7922">
        <v>2025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  <c r="M7922" t="str">
        <f t="shared" si="492"/>
        <v>30-45</v>
      </c>
      <c r="N7922" t="str">
        <f t="shared" si="493"/>
        <v>High</v>
      </c>
      <c r="O7922" t="str">
        <f t="shared" si="494"/>
        <v>High Balance</v>
      </c>
      <c r="P7922" t="str">
        <f t="shared" si="495"/>
        <v>Mid-term</v>
      </c>
    </row>
    <row r="7923" spans="1:16" x14ac:dyDescent="0.25">
      <c r="A7923">
        <v>2025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  <c r="M7923" t="str">
        <f t="shared" si="492"/>
        <v>30-45</v>
      </c>
      <c r="N7923" t="str">
        <f t="shared" si="493"/>
        <v>Medium</v>
      </c>
      <c r="O7923" t="str">
        <f t="shared" si="494"/>
        <v>Zero Balance</v>
      </c>
      <c r="P7923" t="str">
        <f t="shared" si="495"/>
        <v>Mid-term</v>
      </c>
    </row>
    <row r="7924" spans="1:16" x14ac:dyDescent="0.25">
      <c r="A7924">
        <v>2025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  <c r="M7924" t="str">
        <f t="shared" si="492"/>
        <v>30-45</v>
      </c>
      <c r="N7924" t="str">
        <f t="shared" si="493"/>
        <v>Medium</v>
      </c>
      <c r="O7924" t="str">
        <f t="shared" si="494"/>
        <v>Zero Balance</v>
      </c>
      <c r="P7924" t="str">
        <f t="shared" si="495"/>
        <v>Mid-term</v>
      </c>
    </row>
    <row r="7925" spans="1:16" x14ac:dyDescent="0.25">
      <c r="A7925">
        <v>2025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  <c r="M7925" t="str">
        <f t="shared" si="492"/>
        <v>30-45</v>
      </c>
      <c r="N7925" t="str">
        <f t="shared" si="493"/>
        <v>High</v>
      </c>
      <c r="O7925" t="str">
        <f t="shared" si="494"/>
        <v>High Balance</v>
      </c>
      <c r="P7925" t="str">
        <f t="shared" si="495"/>
        <v>Mid-term</v>
      </c>
    </row>
    <row r="7926" spans="1:16" x14ac:dyDescent="0.25">
      <c r="A7926">
        <v>2025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  <c r="M7926" t="str">
        <f t="shared" si="492"/>
        <v>46-60</v>
      </c>
      <c r="N7926" t="str">
        <f t="shared" si="493"/>
        <v>High</v>
      </c>
      <c r="O7926" t="str">
        <f t="shared" si="494"/>
        <v>Zero Balance</v>
      </c>
      <c r="P7926" t="str">
        <f t="shared" si="495"/>
        <v>New</v>
      </c>
    </row>
    <row r="7927" spans="1:16" x14ac:dyDescent="0.25">
      <c r="A7927">
        <v>2025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  <c r="M7927" t="str">
        <f t="shared" si="492"/>
        <v>30-45</v>
      </c>
      <c r="N7927" t="str">
        <f t="shared" si="493"/>
        <v>Medium</v>
      </c>
      <c r="O7927" t="str">
        <f t="shared" si="494"/>
        <v>Zero Balance</v>
      </c>
      <c r="P7927" t="str">
        <f t="shared" si="495"/>
        <v>Mid-term</v>
      </c>
    </row>
    <row r="7928" spans="1:16" x14ac:dyDescent="0.25">
      <c r="A7928">
        <v>2025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  <c r="M7928" t="str">
        <f t="shared" si="492"/>
        <v>46-60</v>
      </c>
      <c r="N7928" t="str">
        <f t="shared" si="493"/>
        <v>Medium</v>
      </c>
      <c r="O7928" t="str">
        <f t="shared" si="494"/>
        <v>Low Balance</v>
      </c>
      <c r="P7928" t="str">
        <f t="shared" si="495"/>
        <v>Mid-term</v>
      </c>
    </row>
    <row r="7929" spans="1:16" x14ac:dyDescent="0.25">
      <c r="A7929">
        <v>2025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  <c r="M7929" t="str">
        <f t="shared" si="492"/>
        <v>30-45</v>
      </c>
      <c r="N7929" t="str">
        <f t="shared" si="493"/>
        <v>Medium</v>
      </c>
      <c r="O7929" t="str">
        <f t="shared" si="494"/>
        <v>High Balance</v>
      </c>
      <c r="P7929" t="str">
        <f t="shared" si="495"/>
        <v>New</v>
      </c>
    </row>
    <row r="7930" spans="1:16" x14ac:dyDescent="0.25">
      <c r="A7930">
        <v>2025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  <c r="M7930" t="str">
        <f t="shared" si="492"/>
        <v>30-45</v>
      </c>
      <c r="N7930" t="str">
        <f t="shared" si="493"/>
        <v>High</v>
      </c>
      <c r="O7930" t="str">
        <f t="shared" si="494"/>
        <v>High Balance</v>
      </c>
      <c r="P7930" t="str">
        <f t="shared" si="495"/>
        <v>Mid-term</v>
      </c>
    </row>
    <row r="7931" spans="1:16" x14ac:dyDescent="0.25">
      <c r="A7931">
        <v>2025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  <c r="M7931" t="str">
        <f t="shared" si="492"/>
        <v>30-45</v>
      </c>
      <c r="N7931" t="str">
        <f t="shared" si="493"/>
        <v>High</v>
      </c>
      <c r="O7931" t="str">
        <f t="shared" si="494"/>
        <v>Low Balance</v>
      </c>
      <c r="P7931" t="str">
        <f t="shared" si="495"/>
        <v>Mid-term</v>
      </c>
    </row>
    <row r="7932" spans="1:16" x14ac:dyDescent="0.25">
      <c r="A7932">
        <v>2025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  <c r="M7932" t="str">
        <f t="shared" si="492"/>
        <v>30-45</v>
      </c>
      <c r="N7932" t="str">
        <f t="shared" si="493"/>
        <v>Medium</v>
      </c>
      <c r="O7932" t="str">
        <f t="shared" si="494"/>
        <v>Zero Balance</v>
      </c>
      <c r="P7932" t="str">
        <f t="shared" si="495"/>
        <v>Mid-term</v>
      </c>
    </row>
    <row r="7933" spans="1:16" x14ac:dyDescent="0.25">
      <c r="A7933">
        <v>2025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  <c r="M7933" t="str">
        <f t="shared" si="492"/>
        <v>46-60</v>
      </c>
      <c r="N7933" t="str">
        <f t="shared" si="493"/>
        <v>High</v>
      </c>
      <c r="O7933" t="str">
        <f t="shared" si="494"/>
        <v>Low Balance</v>
      </c>
      <c r="P7933" t="str">
        <f t="shared" si="495"/>
        <v>New</v>
      </c>
    </row>
    <row r="7934" spans="1:16" x14ac:dyDescent="0.25">
      <c r="A7934">
        <v>2025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  <c r="M7934" t="str">
        <f t="shared" si="492"/>
        <v>30-45</v>
      </c>
      <c r="N7934" t="str">
        <f t="shared" si="493"/>
        <v>High</v>
      </c>
      <c r="O7934" t="str">
        <f t="shared" si="494"/>
        <v>High Balance</v>
      </c>
      <c r="P7934" t="str">
        <f t="shared" si="495"/>
        <v>Long-term</v>
      </c>
    </row>
    <row r="7935" spans="1:16" x14ac:dyDescent="0.25">
      <c r="A7935">
        <v>2025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  <c r="M7935" t="str">
        <f t="shared" si="492"/>
        <v>60+</v>
      </c>
      <c r="N7935" t="str">
        <f t="shared" si="493"/>
        <v>High</v>
      </c>
      <c r="O7935" t="str">
        <f t="shared" si="494"/>
        <v>Low Balance</v>
      </c>
      <c r="P7935" t="str">
        <f t="shared" si="495"/>
        <v>Mid-term</v>
      </c>
    </row>
    <row r="7936" spans="1:16" x14ac:dyDescent="0.25">
      <c r="A7936">
        <v>2025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  <c r="M7936" t="str">
        <f t="shared" si="492"/>
        <v>30-45</v>
      </c>
      <c r="N7936" t="str">
        <f t="shared" si="493"/>
        <v>Medium</v>
      </c>
      <c r="O7936" t="str">
        <f t="shared" si="494"/>
        <v>High Balance</v>
      </c>
      <c r="P7936" t="str">
        <f t="shared" si="495"/>
        <v>Mid-term</v>
      </c>
    </row>
    <row r="7937" spans="1:16" x14ac:dyDescent="0.25">
      <c r="A7937">
        <v>2025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  <c r="M7937" t="str">
        <f t="shared" si="492"/>
        <v>30-45</v>
      </c>
      <c r="N7937" t="str">
        <f t="shared" si="493"/>
        <v>Medium</v>
      </c>
      <c r="O7937" t="str">
        <f t="shared" si="494"/>
        <v>Zero Balance</v>
      </c>
      <c r="P7937" t="str">
        <f t="shared" si="495"/>
        <v>Mid-term</v>
      </c>
    </row>
    <row r="7938" spans="1:16" x14ac:dyDescent="0.25">
      <c r="A7938">
        <v>2025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  <c r="M7938" t="str">
        <f t="shared" si="492"/>
        <v>&lt;30</v>
      </c>
      <c r="N7938" t="str">
        <f t="shared" si="493"/>
        <v>Low</v>
      </c>
      <c r="O7938" t="str">
        <f t="shared" si="494"/>
        <v>Zero Balance</v>
      </c>
      <c r="P7938" t="str">
        <f t="shared" si="495"/>
        <v>New</v>
      </c>
    </row>
    <row r="7939" spans="1:16" x14ac:dyDescent="0.25">
      <c r="A7939">
        <v>2025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  <c r="M7939" t="str">
        <f t="shared" ref="M7939:M8002" si="496">IF(E7939&lt;30,"&lt;30",IF(E7939&lt;=45,"30-45",IF(E7939&lt;=60,"46-60","60+")))</f>
        <v>30-45</v>
      </c>
      <c r="N7939" t="str">
        <f t="shared" ref="N7939:N8002" si="497">IF(B7939&lt;500,"Low",IF(B7939&lt;700,"Medium","High"))</f>
        <v>Medium</v>
      </c>
      <c r="O7939" t="str">
        <f t="shared" ref="O7939:O8002" si="498">IF(G7939=0,"Zero Balance",IF(G7939&lt;100000,"Low Balance","High Balance"))</f>
        <v>Zero Balance</v>
      </c>
      <c r="P7939" t="str">
        <f t="shared" ref="P7939:P8002" si="499">IF(F7939&lt;=3,"New",IF(F7939&lt;=7,"Mid-term","Long-term"))</f>
        <v>New</v>
      </c>
    </row>
    <row r="7940" spans="1:16" x14ac:dyDescent="0.25">
      <c r="A7940">
        <v>2025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  <c r="M7940" t="str">
        <f t="shared" si="496"/>
        <v>30-45</v>
      </c>
      <c r="N7940" t="str">
        <f t="shared" si="497"/>
        <v>High</v>
      </c>
      <c r="O7940" t="str">
        <f t="shared" si="498"/>
        <v>Zero Balance</v>
      </c>
      <c r="P7940" t="str">
        <f t="shared" si="499"/>
        <v>New</v>
      </c>
    </row>
    <row r="7941" spans="1:16" x14ac:dyDescent="0.25">
      <c r="A7941">
        <v>2025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  <c r="M7941" t="str">
        <f t="shared" si="496"/>
        <v>&lt;30</v>
      </c>
      <c r="N7941" t="str">
        <f t="shared" si="497"/>
        <v>High</v>
      </c>
      <c r="O7941" t="str">
        <f t="shared" si="498"/>
        <v>Low Balance</v>
      </c>
      <c r="P7941" t="str">
        <f t="shared" si="499"/>
        <v>Long-term</v>
      </c>
    </row>
    <row r="7942" spans="1:16" x14ac:dyDescent="0.25">
      <c r="A7942">
        <v>2025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  <c r="M7942" t="str">
        <f t="shared" si="496"/>
        <v>&lt;30</v>
      </c>
      <c r="N7942" t="str">
        <f t="shared" si="497"/>
        <v>High</v>
      </c>
      <c r="O7942" t="str">
        <f t="shared" si="498"/>
        <v>Low Balance</v>
      </c>
      <c r="P7942" t="str">
        <f t="shared" si="499"/>
        <v>Mid-term</v>
      </c>
    </row>
    <row r="7943" spans="1:16" x14ac:dyDescent="0.25">
      <c r="A7943">
        <v>2025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  <c r="M7943" t="str">
        <f t="shared" si="496"/>
        <v>30-45</v>
      </c>
      <c r="N7943" t="str">
        <f t="shared" si="497"/>
        <v>Medium</v>
      </c>
      <c r="O7943" t="str">
        <f t="shared" si="498"/>
        <v>High Balance</v>
      </c>
      <c r="P7943" t="str">
        <f t="shared" si="499"/>
        <v>New</v>
      </c>
    </row>
    <row r="7944" spans="1:16" x14ac:dyDescent="0.25">
      <c r="A7944">
        <v>2025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  <c r="M7944" t="str">
        <f t="shared" si="496"/>
        <v>30-45</v>
      </c>
      <c r="N7944" t="str">
        <f t="shared" si="497"/>
        <v>Medium</v>
      </c>
      <c r="O7944" t="str">
        <f t="shared" si="498"/>
        <v>Zero Balance</v>
      </c>
      <c r="P7944" t="str">
        <f t="shared" si="499"/>
        <v>New</v>
      </c>
    </row>
    <row r="7945" spans="1:16" x14ac:dyDescent="0.25">
      <c r="A7945">
        <v>2025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  <c r="M7945" t="str">
        <f t="shared" si="496"/>
        <v>30-45</v>
      </c>
      <c r="N7945" t="str">
        <f t="shared" si="497"/>
        <v>Medium</v>
      </c>
      <c r="O7945" t="str">
        <f t="shared" si="498"/>
        <v>High Balance</v>
      </c>
      <c r="P7945" t="str">
        <f t="shared" si="499"/>
        <v>New</v>
      </c>
    </row>
    <row r="7946" spans="1:16" x14ac:dyDescent="0.25">
      <c r="A7946">
        <v>2025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  <c r="M7946" t="str">
        <f t="shared" si="496"/>
        <v>30-45</v>
      </c>
      <c r="N7946" t="str">
        <f t="shared" si="497"/>
        <v>Medium</v>
      </c>
      <c r="O7946" t="str">
        <f t="shared" si="498"/>
        <v>Low Balance</v>
      </c>
      <c r="P7946" t="str">
        <f t="shared" si="499"/>
        <v>New</v>
      </c>
    </row>
    <row r="7947" spans="1:16" x14ac:dyDescent="0.25">
      <c r="A7947">
        <v>2025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  <c r="M7947" t="str">
        <f t="shared" si="496"/>
        <v>30-45</v>
      </c>
      <c r="N7947" t="str">
        <f t="shared" si="497"/>
        <v>High</v>
      </c>
      <c r="O7947" t="str">
        <f t="shared" si="498"/>
        <v>Zero Balance</v>
      </c>
      <c r="P7947" t="str">
        <f t="shared" si="499"/>
        <v>Long-term</v>
      </c>
    </row>
    <row r="7948" spans="1:16" x14ac:dyDescent="0.25">
      <c r="A7948">
        <v>2025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  <c r="M7948" t="str">
        <f t="shared" si="496"/>
        <v>30-45</v>
      </c>
      <c r="N7948" t="str">
        <f t="shared" si="497"/>
        <v>Low</v>
      </c>
      <c r="O7948" t="str">
        <f t="shared" si="498"/>
        <v>Low Balance</v>
      </c>
      <c r="P7948" t="str">
        <f t="shared" si="499"/>
        <v>Mid-term</v>
      </c>
    </row>
    <row r="7949" spans="1:16" x14ac:dyDescent="0.25">
      <c r="A7949">
        <v>2025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  <c r="M7949" t="str">
        <f t="shared" si="496"/>
        <v>30-45</v>
      </c>
      <c r="N7949" t="str">
        <f t="shared" si="497"/>
        <v>Medium</v>
      </c>
      <c r="O7949" t="str">
        <f t="shared" si="498"/>
        <v>High Balance</v>
      </c>
      <c r="P7949" t="str">
        <f t="shared" si="499"/>
        <v>Mid-term</v>
      </c>
    </row>
    <row r="7950" spans="1:16" x14ac:dyDescent="0.25">
      <c r="A7950">
        <v>2025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  <c r="M7950" t="str">
        <f t="shared" si="496"/>
        <v>&lt;30</v>
      </c>
      <c r="N7950" t="str">
        <f t="shared" si="497"/>
        <v>High</v>
      </c>
      <c r="O7950" t="str">
        <f t="shared" si="498"/>
        <v>High Balance</v>
      </c>
      <c r="P7950" t="str">
        <f t="shared" si="499"/>
        <v>New</v>
      </c>
    </row>
    <row r="7951" spans="1:16" x14ac:dyDescent="0.25">
      <c r="A7951">
        <v>2025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  <c r="M7951" t="str">
        <f t="shared" si="496"/>
        <v>46-60</v>
      </c>
      <c r="N7951" t="str">
        <f t="shared" si="497"/>
        <v>Medium</v>
      </c>
      <c r="O7951" t="str">
        <f t="shared" si="498"/>
        <v>High Balance</v>
      </c>
      <c r="P7951" t="str">
        <f t="shared" si="499"/>
        <v>New</v>
      </c>
    </row>
    <row r="7952" spans="1:16" x14ac:dyDescent="0.25">
      <c r="A7952">
        <v>2025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  <c r="M7952" t="str">
        <f t="shared" si="496"/>
        <v>30-45</v>
      </c>
      <c r="N7952" t="str">
        <f t="shared" si="497"/>
        <v>Medium</v>
      </c>
      <c r="O7952" t="str">
        <f t="shared" si="498"/>
        <v>High Balance</v>
      </c>
      <c r="P7952" t="str">
        <f t="shared" si="499"/>
        <v>Long-term</v>
      </c>
    </row>
    <row r="7953" spans="1:16" x14ac:dyDescent="0.25">
      <c r="A7953">
        <v>2025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  <c r="M7953" t="str">
        <f t="shared" si="496"/>
        <v>30-45</v>
      </c>
      <c r="N7953" t="str">
        <f t="shared" si="497"/>
        <v>High</v>
      </c>
      <c r="O7953" t="str">
        <f t="shared" si="498"/>
        <v>Zero Balance</v>
      </c>
      <c r="P7953" t="str">
        <f t="shared" si="499"/>
        <v>New</v>
      </c>
    </row>
    <row r="7954" spans="1:16" x14ac:dyDescent="0.25">
      <c r="A7954">
        <v>2025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  <c r="M7954" t="str">
        <f t="shared" si="496"/>
        <v>30-45</v>
      </c>
      <c r="N7954" t="str">
        <f t="shared" si="497"/>
        <v>High</v>
      </c>
      <c r="O7954" t="str">
        <f t="shared" si="498"/>
        <v>High Balance</v>
      </c>
      <c r="P7954" t="str">
        <f t="shared" si="499"/>
        <v>New</v>
      </c>
    </row>
    <row r="7955" spans="1:16" x14ac:dyDescent="0.25">
      <c r="A7955">
        <v>2025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  <c r="M7955" t="str">
        <f t="shared" si="496"/>
        <v>30-45</v>
      </c>
      <c r="N7955" t="str">
        <f t="shared" si="497"/>
        <v>Medium</v>
      </c>
      <c r="O7955" t="str">
        <f t="shared" si="498"/>
        <v>Low Balance</v>
      </c>
      <c r="P7955" t="str">
        <f t="shared" si="499"/>
        <v>New</v>
      </c>
    </row>
    <row r="7956" spans="1:16" x14ac:dyDescent="0.25">
      <c r="A7956">
        <v>2025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  <c r="M7956" t="str">
        <f t="shared" si="496"/>
        <v>30-45</v>
      </c>
      <c r="N7956" t="str">
        <f t="shared" si="497"/>
        <v>High</v>
      </c>
      <c r="O7956" t="str">
        <f t="shared" si="498"/>
        <v>Low Balance</v>
      </c>
      <c r="P7956" t="str">
        <f t="shared" si="499"/>
        <v>Mid-term</v>
      </c>
    </row>
    <row r="7957" spans="1:16" x14ac:dyDescent="0.25">
      <c r="A7957">
        <v>2025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  <c r="M7957" t="str">
        <f t="shared" si="496"/>
        <v>30-45</v>
      </c>
      <c r="N7957" t="str">
        <f t="shared" si="497"/>
        <v>High</v>
      </c>
      <c r="O7957" t="str">
        <f t="shared" si="498"/>
        <v>High Balance</v>
      </c>
      <c r="P7957" t="str">
        <f t="shared" si="499"/>
        <v>Mid-term</v>
      </c>
    </row>
    <row r="7958" spans="1:16" x14ac:dyDescent="0.25">
      <c r="A7958">
        <v>2025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  <c r="M7958" t="str">
        <f t="shared" si="496"/>
        <v>60+</v>
      </c>
      <c r="N7958" t="str">
        <f t="shared" si="497"/>
        <v>High</v>
      </c>
      <c r="O7958" t="str">
        <f t="shared" si="498"/>
        <v>Zero Balance</v>
      </c>
      <c r="P7958" t="str">
        <f t="shared" si="499"/>
        <v>Mid-term</v>
      </c>
    </row>
    <row r="7959" spans="1:16" x14ac:dyDescent="0.25">
      <c r="A7959">
        <v>2025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  <c r="M7959" t="str">
        <f t="shared" si="496"/>
        <v>30-45</v>
      </c>
      <c r="N7959" t="str">
        <f t="shared" si="497"/>
        <v>High</v>
      </c>
      <c r="O7959" t="str">
        <f t="shared" si="498"/>
        <v>High Balance</v>
      </c>
      <c r="P7959" t="str">
        <f t="shared" si="499"/>
        <v>New</v>
      </c>
    </row>
    <row r="7960" spans="1:16" x14ac:dyDescent="0.25">
      <c r="A7960">
        <v>2025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  <c r="M7960" t="str">
        <f t="shared" si="496"/>
        <v>30-45</v>
      </c>
      <c r="N7960" t="str">
        <f t="shared" si="497"/>
        <v>Medium</v>
      </c>
      <c r="O7960" t="str">
        <f t="shared" si="498"/>
        <v>High Balance</v>
      </c>
      <c r="P7960" t="str">
        <f t="shared" si="499"/>
        <v>Mid-term</v>
      </c>
    </row>
    <row r="7961" spans="1:16" x14ac:dyDescent="0.25">
      <c r="A7961">
        <v>2025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  <c r="M7961" t="str">
        <f t="shared" si="496"/>
        <v>30-45</v>
      </c>
      <c r="N7961" t="str">
        <f t="shared" si="497"/>
        <v>Medium</v>
      </c>
      <c r="O7961" t="str">
        <f t="shared" si="498"/>
        <v>Zero Balance</v>
      </c>
      <c r="P7961" t="str">
        <f t="shared" si="499"/>
        <v>Long-term</v>
      </c>
    </row>
    <row r="7962" spans="1:16" x14ac:dyDescent="0.25">
      <c r="A7962">
        <v>2025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  <c r="M7962" t="str">
        <f t="shared" si="496"/>
        <v>30-45</v>
      </c>
      <c r="N7962" t="str">
        <f t="shared" si="497"/>
        <v>Medium</v>
      </c>
      <c r="O7962" t="str">
        <f t="shared" si="498"/>
        <v>Zero Balance</v>
      </c>
      <c r="P7962" t="str">
        <f t="shared" si="499"/>
        <v>Mid-term</v>
      </c>
    </row>
    <row r="7963" spans="1:16" x14ac:dyDescent="0.25">
      <c r="A7963">
        <v>2025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  <c r="M7963" t="str">
        <f t="shared" si="496"/>
        <v>30-45</v>
      </c>
      <c r="N7963" t="str">
        <f t="shared" si="497"/>
        <v>High</v>
      </c>
      <c r="O7963" t="str">
        <f t="shared" si="498"/>
        <v>High Balance</v>
      </c>
      <c r="P7963" t="str">
        <f t="shared" si="499"/>
        <v>New</v>
      </c>
    </row>
    <row r="7964" spans="1:16" x14ac:dyDescent="0.25">
      <c r="A7964">
        <v>2025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  <c r="M7964" t="str">
        <f t="shared" si="496"/>
        <v>46-60</v>
      </c>
      <c r="N7964" t="str">
        <f t="shared" si="497"/>
        <v>Medium</v>
      </c>
      <c r="O7964" t="str">
        <f t="shared" si="498"/>
        <v>High Balance</v>
      </c>
      <c r="P7964" t="str">
        <f t="shared" si="499"/>
        <v>New</v>
      </c>
    </row>
    <row r="7965" spans="1:16" x14ac:dyDescent="0.25">
      <c r="A7965">
        <v>2025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  <c r="M7965" t="str">
        <f t="shared" si="496"/>
        <v>30-45</v>
      </c>
      <c r="N7965" t="str">
        <f t="shared" si="497"/>
        <v>Medium</v>
      </c>
      <c r="O7965" t="str">
        <f t="shared" si="498"/>
        <v>Zero Balance</v>
      </c>
      <c r="P7965" t="str">
        <f t="shared" si="499"/>
        <v>Mid-term</v>
      </c>
    </row>
    <row r="7966" spans="1:16" x14ac:dyDescent="0.25">
      <c r="A7966">
        <v>2025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  <c r="M7966" t="str">
        <f t="shared" si="496"/>
        <v>30-45</v>
      </c>
      <c r="N7966" t="str">
        <f t="shared" si="497"/>
        <v>Medium</v>
      </c>
      <c r="O7966" t="str">
        <f t="shared" si="498"/>
        <v>High Balance</v>
      </c>
      <c r="P7966" t="str">
        <f t="shared" si="499"/>
        <v>New</v>
      </c>
    </row>
    <row r="7967" spans="1:16" x14ac:dyDescent="0.25">
      <c r="A7967">
        <v>2025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  <c r="M7967" t="str">
        <f t="shared" si="496"/>
        <v>46-60</v>
      </c>
      <c r="N7967" t="str">
        <f t="shared" si="497"/>
        <v>Medium</v>
      </c>
      <c r="O7967" t="str">
        <f t="shared" si="498"/>
        <v>High Balance</v>
      </c>
      <c r="P7967" t="str">
        <f t="shared" si="499"/>
        <v>Mid-term</v>
      </c>
    </row>
    <row r="7968" spans="1:16" x14ac:dyDescent="0.25">
      <c r="A7968">
        <v>2025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  <c r="M7968" t="str">
        <f t="shared" si="496"/>
        <v>30-45</v>
      </c>
      <c r="N7968" t="str">
        <f t="shared" si="497"/>
        <v>Medium</v>
      </c>
      <c r="O7968" t="str">
        <f t="shared" si="498"/>
        <v>Zero Balance</v>
      </c>
      <c r="P7968" t="str">
        <f t="shared" si="499"/>
        <v>Mid-term</v>
      </c>
    </row>
    <row r="7969" spans="1:16" x14ac:dyDescent="0.25">
      <c r="A7969">
        <v>2025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  <c r="M7969" t="str">
        <f t="shared" si="496"/>
        <v>30-45</v>
      </c>
      <c r="N7969" t="str">
        <f t="shared" si="497"/>
        <v>Medium</v>
      </c>
      <c r="O7969" t="str">
        <f t="shared" si="498"/>
        <v>High Balance</v>
      </c>
      <c r="P7969" t="str">
        <f t="shared" si="499"/>
        <v>Long-term</v>
      </c>
    </row>
    <row r="7970" spans="1:16" x14ac:dyDescent="0.25">
      <c r="A7970">
        <v>2025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  <c r="M7970" t="str">
        <f t="shared" si="496"/>
        <v>30-45</v>
      </c>
      <c r="N7970" t="str">
        <f t="shared" si="497"/>
        <v>Medium</v>
      </c>
      <c r="O7970" t="str">
        <f t="shared" si="498"/>
        <v>Low Balance</v>
      </c>
      <c r="P7970" t="str">
        <f t="shared" si="499"/>
        <v>Long-term</v>
      </c>
    </row>
    <row r="7971" spans="1:16" x14ac:dyDescent="0.25">
      <c r="A7971">
        <v>2025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  <c r="M7971" t="str">
        <f t="shared" si="496"/>
        <v>46-60</v>
      </c>
      <c r="N7971" t="str">
        <f t="shared" si="497"/>
        <v>Medium</v>
      </c>
      <c r="O7971" t="str">
        <f t="shared" si="498"/>
        <v>High Balance</v>
      </c>
      <c r="P7971" t="str">
        <f t="shared" si="499"/>
        <v>New</v>
      </c>
    </row>
    <row r="7972" spans="1:16" x14ac:dyDescent="0.25">
      <c r="A7972">
        <v>2025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  <c r="M7972" t="str">
        <f t="shared" si="496"/>
        <v>30-45</v>
      </c>
      <c r="N7972" t="str">
        <f t="shared" si="497"/>
        <v>High</v>
      </c>
      <c r="O7972" t="str">
        <f t="shared" si="498"/>
        <v>Low Balance</v>
      </c>
      <c r="P7972" t="str">
        <f t="shared" si="499"/>
        <v>Mid-term</v>
      </c>
    </row>
    <row r="7973" spans="1:16" x14ac:dyDescent="0.25">
      <c r="A7973">
        <v>2025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  <c r="M7973" t="str">
        <f t="shared" si="496"/>
        <v>30-45</v>
      </c>
      <c r="N7973" t="str">
        <f t="shared" si="497"/>
        <v>Medium</v>
      </c>
      <c r="O7973" t="str">
        <f t="shared" si="498"/>
        <v>Zero Balance</v>
      </c>
      <c r="P7973" t="str">
        <f t="shared" si="499"/>
        <v>Long-term</v>
      </c>
    </row>
    <row r="7974" spans="1:16" x14ac:dyDescent="0.25">
      <c r="A7974">
        <v>2025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  <c r="M7974" t="str">
        <f t="shared" si="496"/>
        <v>30-45</v>
      </c>
      <c r="N7974" t="str">
        <f t="shared" si="497"/>
        <v>High</v>
      </c>
      <c r="O7974" t="str">
        <f t="shared" si="498"/>
        <v>Low Balance</v>
      </c>
      <c r="P7974" t="str">
        <f t="shared" si="499"/>
        <v>Mid-term</v>
      </c>
    </row>
    <row r="7975" spans="1:16" x14ac:dyDescent="0.25">
      <c r="A7975">
        <v>2025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  <c r="M7975" t="str">
        <f t="shared" si="496"/>
        <v>30-45</v>
      </c>
      <c r="N7975" t="str">
        <f t="shared" si="497"/>
        <v>Medium</v>
      </c>
      <c r="O7975" t="str">
        <f t="shared" si="498"/>
        <v>High Balance</v>
      </c>
      <c r="P7975" t="str">
        <f t="shared" si="499"/>
        <v>Mid-term</v>
      </c>
    </row>
    <row r="7976" spans="1:16" x14ac:dyDescent="0.25">
      <c r="A7976">
        <v>2025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  <c r="M7976" t="str">
        <f t="shared" si="496"/>
        <v>46-60</v>
      </c>
      <c r="N7976" t="str">
        <f t="shared" si="497"/>
        <v>High</v>
      </c>
      <c r="O7976" t="str">
        <f t="shared" si="498"/>
        <v>High Balance</v>
      </c>
      <c r="P7976" t="str">
        <f t="shared" si="499"/>
        <v>New</v>
      </c>
    </row>
    <row r="7977" spans="1:16" x14ac:dyDescent="0.25">
      <c r="A7977">
        <v>2025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  <c r="M7977" t="str">
        <f t="shared" si="496"/>
        <v>30-45</v>
      </c>
      <c r="N7977" t="str">
        <f t="shared" si="497"/>
        <v>Medium</v>
      </c>
      <c r="O7977" t="str">
        <f t="shared" si="498"/>
        <v>High Balance</v>
      </c>
      <c r="P7977" t="str">
        <f t="shared" si="499"/>
        <v>New</v>
      </c>
    </row>
    <row r="7978" spans="1:16" x14ac:dyDescent="0.25">
      <c r="A7978">
        <v>2025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  <c r="M7978" t="str">
        <f t="shared" si="496"/>
        <v>30-45</v>
      </c>
      <c r="N7978" t="str">
        <f t="shared" si="497"/>
        <v>High</v>
      </c>
      <c r="O7978" t="str">
        <f t="shared" si="498"/>
        <v>High Balance</v>
      </c>
      <c r="P7978" t="str">
        <f t="shared" si="499"/>
        <v>Mid-term</v>
      </c>
    </row>
    <row r="7979" spans="1:16" x14ac:dyDescent="0.25">
      <c r="A7979">
        <v>2025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  <c r="M7979" t="str">
        <f t="shared" si="496"/>
        <v>46-60</v>
      </c>
      <c r="N7979" t="str">
        <f t="shared" si="497"/>
        <v>Medium</v>
      </c>
      <c r="O7979" t="str">
        <f t="shared" si="498"/>
        <v>Low Balance</v>
      </c>
      <c r="P7979" t="str">
        <f t="shared" si="499"/>
        <v>Long-term</v>
      </c>
    </row>
    <row r="7980" spans="1:16" x14ac:dyDescent="0.25">
      <c r="A7980">
        <v>2025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  <c r="M7980" t="str">
        <f t="shared" si="496"/>
        <v>30-45</v>
      </c>
      <c r="N7980" t="str">
        <f t="shared" si="497"/>
        <v>Medium</v>
      </c>
      <c r="O7980" t="str">
        <f t="shared" si="498"/>
        <v>Low Balance</v>
      </c>
      <c r="P7980" t="str">
        <f t="shared" si="499"/>
        <v>New</v>
      </c>
    </row>
    <row r="7981" spans="1:16" x14ac:dyDescent="0.25">
      <c r="A7981">
        <v>2025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  <c r="M7981" t="str">
        <f t="shared" si="496"/>
        <v>&lt;30</v>
      </c>
      <c r="N7981" t="str">
        <f t="shared" si="497"/>
        <v>Medium</v>
      </c>
      <c r="O7981" t="str">
        <f t="shared" si="498"/>
        <v>Zero Balance</v>
      </c>
      <c r="P7981" t="str">
        <f t="shared" si="499"/>
        <v>Mid-term</v>
      </c>
    </row>
    <row r="7982" spans="1:16" x14ac:dyDescent="0.25">
      <c r="A7982">
        <v>2025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  <c r="M7982" t="str">
        <f t="shared" si="496"/>
        <v>&lt;30</v>
      </c>
      <c r="N7982" t="str">
        <f t="shared" si="497"/>
        <v>Low</v>
      </c>
      <c r="O7982" t="str">
        <f t="shared" si="498"/>
        <v>High Balance</v>
      </c>
      <c r="P7982" t="str">
        <f t="shared" si="499"/>
        <v>Mid-term</v>
      </c>
    </row>
    <row r="7983" spans="1:16" x14ac:dyDescent="0.25">
      <c r="A7983">
        <v>2025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  <c r="M7983" t="str">
        <f t="shared" si="496"/>
        <v>30-45</v>
      </c>
      <c r="N7983" t="str">
        <f t="shared" si="497"/>
        <v>Medium</v>
      </c>
      <c r="O7983" t="str">
        <f t="shared" si="498"/>
        <v>Low Balance</v>
      </c>
      <c r="P7983" t="str">
        <f t="shared" si="499"/>
        <v>Long-term</v>
      </c>
    </row>
    <row r="7984" spans="1:16" x14ac:dyDescent="0.25">
      <c r="A7984">
        <v>2025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  <c r="M7984" t="str">
        <f t="shared" si="496"/>
        <v>30-45</v>
      </c>
      <c r="N7984" t="str">
        <f t="shared" si="497"/>
        <v>Medium</v>
      </c>
      <c r="O7984" t="str">
        <f t="shared" si="498"/>
        <v>High Balance</v>
      </c>
      <c r="P7984" t="str">
        <f t="shared" si="499"/>
        <v>New</v>
      </c>
    </row>
    <row r="7985" spans="1:16" x14ac:dyDescent="0.25">
      <c r="A7985">
        <v>2025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  <c r="M7985" t="str">
        <f t="shared" si="496"/>
        <v>30-45</v>
      </c>
      <c r="N7985" t="str">
        <f t="shared" si="497"/>
        <v>High</v>
      </c>
      <c r="O7985" t="str">
        <f t="shared" si="498"/>
        <v>High Balance</v>
      </c>
      <c r="P7985" t="str">
        <f t="shared" si="499"/>
        <v>Long-term</v>
      </c>
    </row>
    <row r="7986" spans="1:16" x14ac:dyDescent="0.25">
      <c r="A7986">
        <v>2025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  <c r="M7986" t="str">
        <f t="shared" si="496"/>
        <v>46-60</v>
      </c>
      <c r="N7986" t="str">
        <f t="shared" si="497"/>
        <v>Low</v>
      </c>
      <c r="O7986" t="str">
        <f t="shared" si="498"/>
        <v>High Balance</v>
      </c>
      <c r="P7986" t="str">
        <f t="shared" si="499"/>
        <v>Mid-term</v>
      </c>
    </row>
    <row r="7987" spans="1:16" x14ac:dyDescent="0.25">
      <c r="A7987">
        <v>2025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  <c r="M7987" t="str">
        <f t="shared" si="496"/>
        <v>&lt;30</v>
      </c>
      <c r="N7987" t="str">
        <f t="shared" si="497"/>
        <v>Medium</v>
      </c>
      <c r="O7987" t="str">
        <f t="shared" si="498"/>
        <v>Low Balance</v>
      </c>
      <c r="P7987" t="str">
        <f t="shared" si="499"/>
        <v>New</v>
      </c>
    </row>
    <row r="7988" spans="1:16" x14ac:dyDescent="0.25">
      <c r="A7988">
        <v>2025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  <c r="M7988" t="str">
        <f t="shared" si="496"/>
        <v>30-45</v>
      </c>
      <c r="N7988" t="str">
        <f t="shared" si="497"/>
        <v>Medium</v>
      </c>
      <c r="O7988" t="str">
        <f t="shared" si="498"/>
        <v>Zero Balance</v>
      </c>
      <c r="P7988" t="str">
        <f t="shared" si="499"/>
        <v>New</v>
      </c>
    </row>
    <row r="7989" spans="1:16" x14ac:dyDescent="0.25">
      <c r="A7989">
        <v>2025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  <c r="M7989" t="str">
        <f t="shared" si="496"/>
        <v>30-45</v>
      </c>
      <c r="N7989" t="str">
        <f t="shared" si="497"/>
        <v>High</v>
      </c>
      <c r="O7989" t="str">
        <f t="shared" si="498"/>
        <v>High Balance</v>
      </c>
      <c r="P7989" t="str">
        <f t="shared" si="499"/>
        <v>Mid-term</v>
      </c>
    </row>
    <row r="7990" spans="1:16" x14ac:dyDescent="0.25">
      <c r="A7990">
        <v>2025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  <c r="M7990" t="str">
        <f t="shared" si="496"/>
        <v>46-60</v>
      </c>
      <c r="N7990" t="str">
        <f t="shared" si="497"/>
        <v>Medium</v>
      </c>
      <c r="O7990" t="str">
        <f t="shared" si="498"/>
        <v>High Balance</v>
      </c>
      <c r="P7990" t="str">
        <f t="shared" si="499"/>
        <v>Long-term</v>
      </c>
    </row>
    <row r="7991" spans="1:16" x14ac:dyDescent="0.25">
      <c r="A7991">
        <v>2025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  <c r="M7991" t="str">
        <f t="shared" si="496"/>
        <v>30-45</v>
      </c>
      <c r="N7991" t="str">
        <f t="shared" si="497"/>
        <v>Medium</v>
      </c>
      <c r="O7991" t="str">
        <f t="shared" si="498"/>
        <v>Zero Balance</v>
      </c>
      <c r="P7991" t="str">
        <f t="shared" si="499"/>
        <v>Long-term</v>
      </c>
    </row>
    <row r="7992" spans="1:16" x14ac:dyDescent="0.25">
      <c r="A7992">
        <v>2025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  <c r="M7992" t="str">
        <f t="shared" si="496"/>
        <v>30-45</v>
      </c>
      <c r="N7992" t="str">
        <f t="shared" si="497"/>
        <v>Medium</v>
      </c>
      <c r="O7992" t="str">
        <f t="shared" si="498"/>
        <v>High Balance</v>
      </c>
      <c r="P7992" t="str">
        <f t="shared" si="499"/>
        <v>Mid-term</v>
      </c>
    </row>
    <row r="7993" spans="1:16" x14ac:dyDescent="0.25">
      <c r="A7993">
        <v>2025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  <c r="M7993" t="str">
        <f t="shared" si="496"/>
        <v>30-45</v>
      </c>
      <c r="N7993" t="str">
        <f t="shared" si="497"/>
        <v>Low</v>
      </c>
      <c r="O7993" t="str">
        <f t="shared" si="498"/>
        <v>Zero Balance</v>
      </c>
      <c r="P7993" t="str">
        <f t="shared" si="499"/>
        <v>Long-term</v>
      </c>
    </row>
    <row r="7994" spans="1:16" x14ac:dyDescent="0.25">
      <c r="A7994">
        <v>2025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  <c r="M7994" t="str">
        <f t="shared" si="496"/>
        <v>30-45</v>
      </c>
      <c r="N7994" t="str">
        <f t="shared" si="497"/>
        <v>Medium</v>
      </c>
      <c r="O7994" t="str">
        <f t="shared" si="498"/>
        <v>Zero Balance</v>
      </c>
      <c r="P7994" t="str">
        <f t="shared" si="499"/>
        <v>Mid-term</v>
      </c>
    </row>
    <row r="7995" spans="1:16" x14ac:dyDescent="0.25">
      <c r="A7995">
        <v>2025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  <c r="M7995" t="str">
        <f t="shared" si="496"/>
        <v>30-45</v>
      </c>
      <c r="N7995" t="str">
        <f t="shared" si="497"/>
        <v>Medium</v>
      </c>
      <c r="O7995" t="str">
        <f t="shared" si="498"/>
        <v>High Balance</v>
      </c>
      <c r="P7995" t="str">
        <f t="shared" si="499"/>
        <v>Mid-term</v>
      </c>
    </row>
    <row r="7996" spans="1:16" x14ac:dyDescent="0.25">
      <c r="A7996">
        <v>2025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  <c r="M7996" t="str">
        <f t="shared" si="496"/>
        <v>&lt;30</v>
      </c>
      <c r="N7996" t="str">
        <f t="shared" si="497"/>
        <v>Medium</v>
      </c>
      <c r="O7996" t="str">
        <f t="shared" si="498"/>
        <v>High Balance</v>
      </c>
      <c r="P7996" t="str">
        <f t="shared" si="499"/>
        <v>New</v>
      </c>
    </row>
    <row r="7997" spans="1:16" x14ac:dyDescent="0.25">
      <c r="A7997">
        <v>2025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  <c r="M7997" t="str">
        <f t="shared" si="496"/>
        <v>60+</v>
      </c>
      <c r="N7997" t="str">
        <f t="shared" si="497"/>
        <v>High</v>
      </c>
      <c r="O7997" t="str">
        <f t="shared" si="498"/>
        <v>Zero Balance</v>
      </c>
      <c r="P7997" t="str">
        <f t="shared" si="499"/>
        <v>New</v>
      </c>
    </row>
    <row r="7998" spans="1:16" x14ac:dyDescent="0.25">
      <c r="A7998">
        <v>2025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  <c r="M7998" t="str">
        <f t="shared" si="496"/>
        <v>&lt;30</v>
      </c>
      <c r="N7998" t="str">
        <f t="shared" si="497"/>
        <v>High</v>
      </c>
      <c r="O7998" t="str">
        <f t="shared" si="498"/>
        <v>High Balance</v>
      </c>
      <c r="P7998" t="str">
        <f t="shared" si="499"/>
        <v>Mid-term</v>
      </c>
    </row>
    <row r="7999" spans="1:16" x14ac:dyDescent="0.25">
      <c r="A7999">
        <v>2025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  <c r="M7999" t="str">
        <f t="shared" si="496"/>
        <v>&lt;30</v>
      </c>
      <c r="N7999" t="str">
        <f t="shared" si="497"/>
        <v>Low</v>
      </c>
      <c r="O7999" t="str">
        <f t="shared" si="498"/>
        <v>High Balance</v>
      </c>
      <c r="P7999" t="str">
        <f t="shared" si="499"/>
        <v>Mid-term</v>
      </c>
    </row>
    <row r="8000" spans="1:16" x14ac:dyDescent="0.25">
      <c r="A8000">
        <v>2025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  <c r="M8000" t="str">
        <f t="shared" si="496"/>
        <v>&lt;30</v>
      </c>
      <c r="N8000" t="str">
        <f t="shared" si="497"/>
        <v>High</v>
      </c>
      <c r="O8000" t="str">
        <f t="shared" si="498"/>
        <v>High Balance</v>
      </c>
      <c r="P8000" t="str">
        <f t="shared" si="499"/>
        <v>New</v>
      </c>
    </row>
    <row r="8001" spans="1:16" x14ac:dyDescent="0.25">
      <c r="A8001">
        <v>2025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  <c r="M8001" t="str">
        <f t="shared" si="496"/>
        <v>&lt;30</v>
      </c>
      <c r="N8001" t="str">
        <f t="shared" si="497"/>
        <v>High</v>
      </c>
      <c r="O8001" t="str">
        <f t="shared" si="498"/>
        <v>High Balance</v>
      </c>
      <c r="P8001" t="str">
        <f t="shared" si="499"/>
        <v>Mid-term</v>
      </c>
    </row>
    <row r="8002" spans="1:16" x14ac:dyDescent="0.25">
      <c r="A8002">
        <v>2025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  <c r="M8002" t="str">
        <f t="shared" si="496"/>
        <v>30-45</v>
      </c>
      <c r="N8002" t="str">
        <f t="shared" si="497"/>
        <v>High</v>
      </c>
      <c r="O8002" t="str">
        <f t="shared" si="498"/>
        <v>High Balance</v>
      </c>
      <c r="P8002" t="str">
        <f t="shared" si="499"/>
        <v>Long-term</v>
      </c>
    </row>
    <row r="8003" spans="1:16" x14ac:dyDescent="0.25">
      <c r="A8003">
        <v>2025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  <c r="M8003" t="str">
        <f t="shared" ref="M8003:M8066" si="500">IF(E8003&lt;30,"&lt;30",IF(E8003&lt;=45,"30-45",IF(E8003&lt;=60,"46-60","60+")))</f>
        <v>30-45</v>
      </c>
      <c r="N8003" t="str">
        <f t="shared" ref="N8003:N8066" si="501">IF(B8003&lt;500,"Low",IF(B8003&lt;700,"Medium","High"))</f>
        <v>High</v>
      </c>
      <c r="O8003" t="str">
        <f t="shared" ref="O8003:O8066" si="502">IF(G8003=0,"Zero Balance",IF(G8003&lt;100000,"Low Balance","High Balance"))</f>
        <v>Zero Balance</v>
      </c>
      <c r="P8003" t="str">
        <f t="shared" ref="P8003:P8066" si="503">IF(F8003&lt;=3,"New",IF(F8003&lt;=7,"Mid-term","Long-term"))</f>
        <v>Long-term</v>
      </c>
    </row>
    <row r="8004" spans="1:16" x14ac:dyDescent="0.25">
      <c r="A8004">
        <v>2025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  <c r="M8004" t="str">
        <f t="shared" si="500"/>
        <v>30-45</v>
      </c>
      <c r="N8004" t="str">
        <f t="shared" si="501"/>
        <v>Medium</v>
      </c>
      <c r="O8004" t="str">
        <f t="shared" si="502"/>
        <v>Zero Balance</v>
      </c>
      <c r="P8004" t="str">
        <f t="shared" si="503"/>
        <v>New</v>
      </c>
    </row>
    <row r="8005" spans="1:16" x14ac:dyDescent="0.25">
      <c r="A8005">
        <v>2025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  <c r="M8005" t="str">
        <f t="shared" si="500"/>
        <v>46-60</v>
      </c>
      <c r="N8005" t="str">
        <f t="shared" si="501"/>
        <v>Medium</v>
      </c>
      <c r="O8005" t="str">
        <f t="shared" si="502"/>
        <v>High Balance</v>
      </c>
      <c r="P8005" t="str">
        <f t="shared" si="503"/>
        <v>Mid-term</v>
      </c>
    </row>
    <row r="8006" spans="1:16" x14ac:dyDescent="0.25">
      <c r="A8006">
        <v>2025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  <c r="M8006" t="str">
        <f t="shared" si="500"/>
        <v>30-45</v>
      </c>
      <c r="N8006" t="str">
        <f t="shared" si="501"/>
        <v>Medium</v>
      </c>
      <c r="O8006" t="str">
        <f t="shared" si="502"/>
        <v>Zero Balance</v>
      </c>
      <c r="P8006" t="str">
        <f t="shared" si="503"/>
        <v>Mid-term</v>
      </c>
    </row>
    <row r="8007" spans="1:16" x14ac:dyDescent="0.25">
      <c r="A8007">
        <v>2025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  <c r="M8007" t="str">
        <f t="shared" si="500"/>
        <v>30-45</v>
      </c>
      <c r="N8007" t="str">
        <f t="shared" si="501"/>
        <v>Medium</v>
      </c>
      <c r="O8007" t="str">
        <f t="shared" si="502"/>
        <v>Low Balance</v>
      </c>
      <c r="P8007" t="str">
        <f t="shared" si="503"/>
        <v>New</v>
      </c>
    </row>
    <row r="8008" spans="1:16" x14ac:dyDescent="0.25">
      <c r="A8008">
        <v>2025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  <c r="M8008" t="str">
        <f t="shared" si="500"/>
        <v>30-45</v>
      </c>
      <c r="N8008" t="str">
        <f t="shared" si="501"/>
        <v>High</v>
      </c>
      <c r="O8008" t="str">
        <f t="shared" si="502"/>
        <v>High Balance</v>
      </c>
      <c r="P8008" t="str">
        <f t="shared" si="503"/>
        <v>Long-term</v>
      </c>
    </row>
    <row r="8009" spans="1:16" x14ac:dyDescent="0.25">
      <c r="A8009">
        <v>2025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  <c r="M8009" t="str">
        <f t="shared" si="500"/>
        <v>30-45</v>
      </c>
      <c r="N8009" t="str">
        <f t="shared" si="501"/>
        <v>Medium</v>
      </c>
      <c r="O8009" t="str">
        <f t="shared" si="502"/>
        <v>High Balance</v>
      </c>
      <c r="P8009" t="str">
        <f t="shared" si="503"/>
        <v>Mid-term</v>
      </c>
    </row>
    <row r="8010" spans="1:16" x14ac:dyDescent="0.25">
      <c r="A8010">
        <v>2025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  <c r="M8010" t="str">
        <f t="shared" si="500"/>
        <v>30-45</v>
      </c>
      <c r="N8010" t="str">
        <f t="shared" si="501"/>
        <v>Medium</v>
      </c>
      <c r="O8010" t="str">
        <f t="shared" si="502"/>
        <v>High Balance</v>
      </c>
      <c r="P8010" t="str">
        <f t="shared" si="503"/>
        <v>Long-term</v>
      </c>
    </row>
    <row r="8011" spans="1:16" x14ac:dyDescent="0.25">
      <c r="A8011">
        <v>2025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  <c r="M8011" t="str">
        <f t="shared" si="500"/>
        <v>30-45</v>
      </c>
      <c r="N8011" t="str">
        <f t="shared" si="501"/>
        <v>Medium</v>
      </c>
      <c r="O8011" t="str">
        <f t="shared" si="502"/>
        <v>High Balance</v>
      </c>
      <c r="P8011" t="str">
        <f t="shared" si="503"/>
        <v>New</v>
      </c>
    </row>
    <row r="8012" spans="1:16" x14ac:dyDescent="0.25">
      <c r="A8012">
        <v>2025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  <c r="M8012" t="str">
        <f t="shared" si="500"/>
        <v>46-60</v>
      </c>
      <c r="N8012" t="str">
        <f t="shared" si="501"/>
        <v>Low</v>
      </c>
      <c r="O8012" t="str">
        <f t="shared" si="502"/>
        <v>High Balance</v>
      </c>
      <c r="P8012" t="str">
        <f t="shared" si="503"/>
        <v>Long-term</v>
      </c>
    </row>
    <row r="8013" spans="1:16" x14ac:dyDescent="0.25">
      <c r="A8013">
        <v>2025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  <c r="M8013" t="str">
        <f t="shared" si="500"/>
        <v>30-45</v>
      </c>
      <c r="N8013" t="str">
        <f t="shared" si="501"/>
        <v>High</v>
      </c>
      <c r="O8013" t="str">
        <f t="shared" si="502"/>
        <v>Zero Balance</v>
      </c>
      <c r="P8013" t="str">
        <f t="shared" si="503"/>
        <v>New</v>
      </c>
    </row>
    <row r="8014" spans="1:16" x14ac:dyDescent="0.25">
      <c r="A8014">
        <v>2025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  <c r="M8014" t="str">
        <f t="shared" si="500"/>
        <v>30-45</v>
      </c>
      <c r="N8014" t="str">
        <f t="shared" si="501"/>
        <v>High</v>
      </c>
      <c r="O8014" t="str">
        <f t="shared" si="502"/>
        <v>Zero Balance</v>
      </c>
      <c r="P8014" t="str">
        <f t="shared" si="503"/>
        <v>Long-term</v>
      </c>
    </row>
    <row r="8015" spans="1:16" x14ac:dyDescent="0.25">
      <c r="A8015">
        <v>2025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  <c r="M8015" t="str">
        <f t="shared" si="500"/>
        <v>30-45</v>
      </c>
      <c r="N8015" t="str">
        <f t="shared" si="501"/>
        <v>Medium</v>
      </c>
      <c r="O8015" t="str">
        <f t="shared" si="502"/>
        <v>Low Balance</v>
      </c>
      <c r="P8015" t="str">
        <f t="shared" si="503"/>
        <v>New</v>
      </c>
    </row>
    <row r="8016" spans="1:16" x14ac:dyDescent="0.25">
      <c r="A8016">
        <v>2025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  <c r="M8016" t="str">
        <f t="shared" si="500"/>
        <v>30-45</v>
      </c>
      <c r="N8016" t="str">
        <f t="shared" si="501"/>
        <v>High</v>
      </c>
      <c r="O8016" t="str">
        <f t="shared" si="502"/>
        <v>High Balance</v>
      </c>
      <c r="P8016" t="str">
        <f t="shared" si="503"/>
        <v>New</v>
      </c>
    </row>
    <row r="8017" spans="1:16" x14ac:dyDescent="0.25">
      <c r="A8017">
        <v>2025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  <c r="M8017" t="str">
        <f t="shared" si="500"/>
        <v>&lt;30</v>
      </c>
      <c r="N8017" t="str">
        <f t="shared" si="501"/>
        <v>Medium</v>
      </c>
      <c r="O8017" t="str">
        <f t="shared" si="502"/>
        <v>High Balance</v>
      </c>
      <c r="P8017" t="str">
        <f t="shared" si="503"/>
        <v>New</v>
      </c>
    </row>
    <row r="8018" spans="1:16" x14ac:dyDescent="0.25">
      <c r="A8018">
        <v>2025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  <c r="M8018" t="str">
        <f t="shared" si="500"/>
        <v>30-45</v>
      </c>
      <c r="N8018" t="str">
        <f t="shared" si="501"/>
        <v>Medium</v>
      </c>
      <c r="O8018" t="str">
        <f t="shared" si="502"/>
        <v>Zero Balance</v>
      </c>
      <c r="P8018" t="str">
        <f t="shared" si="503"/>
        <v>New</v>
      </c>
    </row>
    <row r="8019" spans="1:16" x14ac:dyDescent="0.25">
      <c r="A8019">
        <v>2025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  <c r="M8019" t="str">
        <f t="shared" si="500"/>
        <v>46-60</v>
      </c>
      <c r="N8019" t="str">
        <f t="shared" si="501"/>
        <v>Low</v>
      </c>
      <c r="O8019" t="str">
        <f t="shared" si="502"/>
        <v>High Balance</v>
      </c>
      <c r="P8019" t="str">
        <f t="shared" si="503"/>
        <v>Mid-term</v>
      </c>
    </row>
    <row r="8020" spans="1:16" x14ac:dyDescent="0.25">
      <c r="A8020">
        <v>2025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  <c r="M8020" t="str">
        <f t="shared" si="500"/>
        <v>&lt;30</v>
      </c>
      <c r="N8020" t="str">
        <f t="shared" si="501"/>
        <v>Medium</v>
      </c>
      <c r="O8020" t="str">
        <f t="shared" si="502"/>
        <v>High Balance</v>
      </c>
      <c r="P8020" t="str">
        <f t="shared" si="503"/>
        <v>New</v>
      </c>
    </row>
    <row r="8021" spans="1:16" x14ac:dyDescent="0.25">
      <c r="A8021">
        <v>2025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  <c r="M8021" t="str">
        <f t="shared" si="500"/>
        <v>60+</v>
      </c>
      <c r="N8021" t="str">
        <f t="shared" si="501"/>
        <v>Medium</v>
      </c>
      <c r="O8021" t="str">
        <f t="shared" si="502"/>
        <v>High Balance</v>
      </c>
      <c r="P8021" t="str">
        <f t="shared" si="503"/>
        <v>Long-term</v>
      </c>
    </row>
    <row r="8022" spans="1:16" x14ac:dyDescent="0.25">
      <c r="A8022">
        <v>2025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  <c r="M8022" t="str">
        <f t="shared" si="500"/>
        <v>46-60</v>
      </c>
      <c r="N8022" t="str">
        <f t="shared" si="501"/>
        <v>High</v>
      </c>
      <c r="O8022" t="str">
        <f t="shared" si="502"/>
        <v>High Balance</v>
      </c>
      <c r="P8022" t="str">
        <f t="shared" si="503"/>
        <v>New</v>
      </c>
    </row>
    <row r="8023" spans="1:16" x14ac:dyDescent="0.25">
      <c r="A8023">
        <v>2025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  <c r="M8023" t="str">
        <f t="shared" si="500"/>
        <v>30-45</v>
      </c>
      <c r="N8023" t="str">
        <f t="shared" si="501"/>
        <v>Medium</v>
      </c>
      <c r="O8023" t="str">
        <f t="shared" si="502"/>
        <v>Zero Balance</v>
      </c>
      <c r="P8023" t="str">
        <f t="shared" si="503"/>
        <v>Mid-term</v>
      </c>
    </row>
    <row r="8024" spans="1:16" x14ac:dyDescent="0.25">
      <c r="A8024">
        <v>2025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  <c r="M8024" t="str">
        <f t="shared" si="500"/>
        <v>30-45</v>
      </c>
      <c r="N8024" t="str">
        <f t="shared" si="501"/>
        <v>Medium</v>
      </c>
      <c r="O8024" t="str">
        <f t="shared" si="502"/>
        <v>High Balance</v>
      </c>
      <c r="P8024" t="str">
        <f t="shared" si="503"/>
        <v>New</v>
      </c>
    </row>
    <row r="8025" spans="1:16" x14ac:dyDescent="0.25">
      <c r="A8025">
        <v>2025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  <c r="M8025" t="str">
        <f t="shared" si="500"/>
        <v>30-45</v>
      </c>
      <c r="N8025" t="str">
        <f t="shared" si="501"/>
        <v>Medium</v>
      </c>
      <c r="O8025" t="str">
        <f t="shared" si="502"/>
        <v>Zero Balance</v>
      </c>
      <c r="P8025" t="str">
        <f t="shared" si="503"/>
        <v>New</v>
      </c>
    </row>
    <row r="8026" spans="1:16" x14ac:dyDescent="0.25">
      <c r="A8026">
        <v>2025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  <c r="M8026" t="str">
        <f t="shared" si="500"/>
        <v>30-45</v>
      </c>
      <c r="N8026" t="str">
        <f t="shared" si="501"/>
        <v>Medium</v>
      </c>
      <c r="O8026" t="str">
        <f t="shared" si="502"/>
        <v>High Balance</v>
      </c>
      <c r="P8026" t="str">
        <f t="shared" si="503"/>
        <v>Long-term</v>
      </c>
    </row>
    <row r="8027" spans="1:16" x14ac:dyDescent="0.25">
      <c r="A8027">
        <v>2025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  <c r="M8027" t="str">
        <f t="shared" si="500"/>
        <v>&lt;30</v>
      </c>
      <c r="N8027" t="str">
        <f t="shared" si="501"/>
        <v>Medium</v>
      </c>
      <c r="O8027" t="str">
        <f t="shared" si="502"/>
        <v>High Balance</v>
      </c>
      <c r="P8027" t="str">
        <f t="shared" si="503"/>
        <v>Long-term</v>
      </c>
    </row>
    <row r="8028" spans="1:16" x14ac:dyDescent="0.25">
      <c r="A8028">
        <v>2025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  <c r="M8028" t="str">
        <f t="shared" si="500"/>
        <v>30-45</v>
      </c>
      <c r="N8028" t="str">
        <f t="shared" si="501"/>
        <v>Medium</v>
      </c>
      <c r="O8028" t="str">
        <f t="shared" si="502"/>
        <v>Low Balance</v>
      </c>
      <c r="P8028" t="str">
        <f t="shared" si="503"/>
        <v>Long-term</v>
      </c>
    </row>
    <row r="8029" spans="1:16" x14ac:dyDescent="0.25">
      <c r="A8029">
        <v>2025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  <c r="M8029" t="str">
        <f t="shared" si="500"/>
        <v>30-45</v>
      </c>
      <c r="N8029" t="str">
        <f t="shared" si="501"/>
        <v>Medium</v>
      </c>
      <c r="O8029" t="str">
        <f t="shared" si="502"/>
        <v>High Balance</v>
      </c>
      <c r="P8029" t="str">
        <f t="shared" si="503"/>
        <v>Mid-term</v>
      </c>
    </row>
    <row r="8030" spans="1:16" x14ac:dyDescent="0.25">
      <c r="A8030">
        <v>2025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  <c r="M8030" t="str">
        <f t="shared" si="500"/>
        <v>30-45</v>
      </c>
      <c r="N8030" t="str">
        <f t="shared" si="501"/>
        <v>High</v>
      </c>
      <c r="O8030" t="str">
        <f t="shared" si="502"/>
        <v>Zero Balance</v>
      </c>
      <c r="P8030" t="str">
        <f t="shared" si="503"/>
        <v>Long-term</v>
      </c>
    </row>
    <row r="8031" spans="1:16" x14ac:dyDescent="0.25">
      <c r="A8031">
        <v>2025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  <c r="M8031" t="str">
        <f t="shared" si="500"/>
        <v>46-60</v>
      </c>
      <c r="N8031" t="str">
        <f t="shared" si="501"/>
        <v>Medium</v>
      </c>
      <c r="O8031" t="str">
        <f t="shared" si="502"/>
        <v>Zero Balance</v>
      </c>
      <c r="P8031" t="str">
        <f t="shared" si="503"/>
        <v>Long-term</v>
      </c>
    </row>
    <row r="8032" spans="1:16" x14ac:dyDescent="0.25">
      <c r="A8032">
        <v>2025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  <c r="M8032" t="str">
        <f t="shared" si="500"/>
        <v>30-45</v>
      </c>
      <c r="N8032" t="str">
        <f t="shared" si="501"/>
        <v>Medium</v>
      </c>
      <c r="O8032" t="str">
        <f t="shared" si="502"/>
        <v>Zero Balance</v>
      </c>
      <c r="P8032" t="str">
        <f t="shared" si="503"/>
        <v>New</v>
      </c>
    </row>
    <row r="8033" spans="1:16" x14ac:dyDescent="0.25">
      <c r="A8033">
        <v>2025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  <c r="M8033" t="str">
        <f t="shared" si="500"/>
        <v>30-45</v>
      </c>
      <c r="N8033" t="str">
        <f t="shared" si="501"/>
        <v>Medium</v>
      </c>
      <c r="O8033" t="str">
        <f t="shared" si="502"/>
        <v>Zero Balance</v>
      </c>
      <c r="P8033" t="str">
        <f t="shared" si="503"/>
        <v>Mid-term</v>
      </c>
    </row>
    <row r="8034" spans="1:16" x14ac:dyDescent="0.25">
      <c r="A8034">
        <v>2025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  <c r="M8034" t="str">
        <f t="shared" si="500"/>
        <v>30-45</v>
      </c>
      <c r="N8034" t="str">
        <f t="shared" si="501"/>
        <v>Medium</v>
      </c>
      <c r="O8034" t="str">
        <f t="shared" si="502"/>
        <v>Zero Balance</v>
      </c>
      <c r="P8034" t="str">
        <f t="shared" si="503"/>
        <v>Mid-term</v>
      </c>
    </row>
    <row r="8035" spans="1:16" x14ac:dyDescent="0.25">
      <c r="A8035">
        <v>2025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  <c r="M8035" t="str">
        <f t="shared" si="500"/>
        <v>30-45</v>
      </c>
      <c r="N8035" t="str">
        <f t="shared" si="501"/>
        <v>High</v>
      </c>
      <c r="O8035" t="str">
        <f t="shared" si="502"/>
        <v>Zero Balance</v>
      </c>
      <c r="P8035" t="str">
        <f t="shared" si="503"/>
        <v>Mid-term</v>
      </c>
    </row>
    <row r="8036" spans="1:16" x14ac:dyDescent="0.25">
      <c r="A8036">
        <v>2025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  <c r="M8036" t="str">
        <f t="shared" si="500"/>
        <v>30-45</v>
      </c>
      <c r="N8036" t="str">
        <f t="shared" si="501"/>
        <v>Medium</v>
      </c>
      <c r="O8036" t="str">
        <f t="shared" si="502"/>
        <v>Zero Balance</v>
      </c>
      <c r="P8036" t="str">
        <f t="shared" si="503"/>
        <v>Long-term</v>
      </c>
    </row>
    <row r="8037" spans="1:16" x14ac:dyDescent="0.25">
      <c r="A8037">
        <v>2025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  <c r="M8037" t="str">
        <f t="shared" si="500"/>
        <v>30-45</v>
      </c>
      <c r="N8037" t="str">
        <f t="shared" si="501"/>
        <v>Medium</v>
      </c>
      <c r="O8037" t="str">
        <f t="shared" si="502"/>
        <v>Low Balance</v>
      </c>
      <c r="P8037" t="str">
        <f t="shared" si="503"/>
        <v>Long-term</v>
      </c>
    </row>
    <row r="8038" spans="1:16" x14ac:dyDescent="0.25">
      <c r="A8038">
        <v>2025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  <c r="M8038" t="str">
        <f t="shared" si="500"/>
        <v>&lt;30</v>
      </c>
      <c r="N8038" t="str">
        <f t="shared" si="501"/>
        <v>Medium</v>
      </c>
      <c r="O8038" t="str">
        <f t="shared" si="502"/>
        <v>Zero Balance</v>
      </c>
      <c r="P8038" t="str">
        <f t="shared" si="503"/>
        <v>New</v>
      </c>
    </row>
    <row r="8039" spans="1:16" x14ac:dyDescent="0.25">
      <c r="A8039">
        <v>2025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  <c r="M8039" t="str">
        <f t="shared" si="500"/>
        <v>60+</v>
      </c>
      <c r="N8039" t="str">
        <f t="shared" si="501"/>
        <v>Medium</v>
      </c>
      <c r="O8039" t="str">
        <f t="shared" si="502"/>
        <v>High Balance</v>
      </c>
      <c r="P8039" t="str">
        <f t="shared" si="503"/>
        <v>Long-term</v>
      </c>
    </row>
    <row r="8040" spans="1:16" x14ac:dyDescent="0.25">
      <c r="A8040">
        <v>2025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  <c r="M8040" t="str">
        <f t="shared" si="500"/>
        <v>46-60</v>
      </c>
      <c r="N8040" t="str">
        <f t="shared" si="501"/>
        <v>Medium</v>
      </c>
      <c r="O8040" t="str">
        <f t="shared" si="502"/>
        <v>High Balance</v>
      </c>
      <c r="P8040" t="str">
        <f t="shared" si="503"/>
        <v>Mid-term</v>
      </c>
    </row>
    <row r="8041" spans="1:16" x14ac:dyDescent="0.25">
      <c r="A8041">
        <v>2025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  <c r="M8041" t="str">
        <f t="shared" si="500"/>
        <v>30-45</v>
      </c>
      <c r="N8041" t="str">
        <f t="shared" si="501"/>
        <v>Medium</v>
      </c>
      <c r="O8041" t="str">
        <f t="shared" si="502"/>
        <v>Low Balance</v>
      </c>
      <c r="P8041" t="str">
        <f t="shared" si="503"/>
        <v>Mid-term</v>
      </c>
    </row>
    <row r="8042" spans="1:16" x14ac:dyDescent="0.25">
      <c r="A8042">
        <v>2025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  <c r="M8042" t="str">
        <f t="shared" si="500"/>
        <v>30-45</v>
      </c>
      <c r="N8042" t="str">
        <f t="shared" si="501"/>
        <v>Medium</v>
      </c>
      <c r="O8042" t="str">
        <f t="shared" si="502"/>
        <v>Zero Balance</v>
      </c>
      <c r="P8042" t="str">
        <f t="shared" si="503"/>
        <v>Long-term</v>
      </c>
    </row>
    <row r="8043" spans="1:16" x14ac:dyDescent="0.25">
      <c r="A8043">
        <v>2025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  <c r="M8043" t="str">
        <f t="shared" si="500"/>
        <v>46-60</v>
      </c>
      <c r="N8043" t="str">
        <f t="shared" si="501"/>
        <v>Medium</v>
      </c>
      <c r="O8043" t="str">
        <f t="shared" si="502"/>
        <v>Zero Balance</v>
      </c>
      <c r="P8043" t="str">
        <f t="shared" si="503"/>
        <v>New</v>
      </c>
    </row>
    <row r="8044" spans="1:16" x14ac:dyDescent="0.25">
      <c r="A8044">
        <v>2025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  <c r="M8044" t="str">
        <f t="shared" si="500"/>
        <v>30-45</v>
      </c>
      <c r="N8044" t="str">
        <f t="shared" si="501"/>
        <v>Medium</v>
      </c>
      <c r="O8044" t="str">
        <f t="shared" si="502"/>
        <v>Low Balance</v>
      </c>
      <c r="P8044" t="str">
        <f t="shared" si="503"/>
        <v>Mid-term</v>
      </c>
    </row>
    <row r="8045" spans="1:16" x14ac:dyDescent="0.25">
      <c r="A8045">
        <v>2025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  <c r="M8045" t="str">
        <f t="shared" si="500"/>
        <v>30-45</v>
      </c>
      <c r="N8045" t="str">
        <f t="shared" si="501"/>
        <v>High</v>
      </c>
      <c r="O8045" t="str">
        <f t="shared" si="502"/>
        <v>High Balance</v>
      </c>
      <c r="P8045" t="str">
        <f t="shared" si="503"/>
        <v>Mid-term</v>
      </c>
    </row>
    <row r="8046" spans="1:16" x14ac:dyDescent="0.25">
      <c r="A8046">
        <v>2025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  <c r="M8046" t="str">
        <f t="shared" si="500"/>
        <v>&lt;30</v>
      </c>
      <c r="N8046" t="str">
        <f t="shared" si="501"/>
        <v>High</v>
      </c>
      <c r="O8046" t="str">
        <f t="shared" si="502"/>
        <v>Zero Balance</v>
      </c>
      <c r="P8046" t="str">
        <f t="shared" si="503"/>
        <v>Long-term</v>
      </c>
    </row>
    <row r="8047" spans="1:16" x14ac:dyDescent="0.25">
      <c r="A8047">
        <v>2025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  <c r="M8047" t="str">
        <f t="shared" si="500"/>
        <v>46-60</v>
      </c>
      <c r="N8047" t="str">
        <f t="shared" si="501"/>
        <v>High</v>
      </c>
      <c r="O8047" t="str">
        <f t="shared" si="502"/>
        <v>Low Balance</v>
      </c>
      <c r="P8047" t="str">
        <f t="shared" si="503"/>
        <v>New</v>
      </c>
    </row>
    <row r="8048" spans="1:16" x14ac:dyDescent="0.25">
      <c r="A8048">
        <v>2025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  <c r="M8048" t="str">
        <f t="shared" si="500"/>
        <v>46-60</v>
      </c>
      <c r="N8048" t="str">
        <f t="shared" si="501"/>
        <v>High</v>
      </c>
      <c r="O8048" t="str">
        <f t="shared" si="502"/>
        <v>High Balance</v>
      </c>
      <c r="P8048" t="str">
        <f t="shared" si="503"/>
        <v>New</v>
      </c>
    </row>
    <row r="8049" spans="1:16" x14ac:dyDescent="0.25">
      <c r="A8049">
        <v>2025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  <c r="M8049" t="str">
        <f t="shared" si="500"/>
        <v>30-45</v>
      </c>
      <c r="N8049" t="str">
        <f t="shared" si="501"/>
        <v>High</v>
      </c>
      <c r="O8049" t="str">
        <f t="shared" si="502"/>
        <v>High Balance</v>
      </c>
      <c r="P8049" t="str">
        <f t="shared" si="503"/>
        <v>Mid-term</v>
      </c>
    </row>
    <row r="8050" spans="1:16" x14ac:dyDescent="0.25">
      <c r="A8050">
        <v>2025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  <c r="M8050" t="str">
        <f t="shared" si="500"/>
        <v>30-45</v>
      </c>
      <c r="N8050" t="str">
        <f t="shared" si="501"/>
        <v>Medium</v>
      </c>
      <c r="O8050" t="str">
        <f t="shared" si="502"/>
        <v>Zero Balance</v>
      </c>
      <c r="P8050" t="str">
        <f t="shared" si="503"/>
        <v>Mid-term</v>
      </c>
    </row>
    <row r="8051" spans="1:16" x14ac:dyDescent="0.25">
      <c r="A8051">
        <v>2025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  <c r="M8051" t="str">
        <f t="shared" si="500"/>
        <v>30-45</v>
      </c>
      <c r="N8051" t="str">
        <f t="shared" si="501"/>
        <v>Medium</v>
      </c>
      <c r="O8051" t="str">
        <f t="shared" si="502"/>
        <v>High Balance</v>
      </c>
      <c r="P8051" t="str">
        <f t="shared" si="503"/>
        <v>New</v>
      </c>
    </row>
    <row r="8052" spans="1:16" x14ac:dyDescent="0.25">
      <c r="A8052">
        <v>2025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  <c r="M8052" t="str">
        <f t="shared" si="500"/>
        <v>30-45</v>
      </c>
      <c r="N8052" t="str">
        <f t="shared" si="501"/>
        <v>High</v>
      </c>
      <c r="O8052" t="str">
        <f t="shared" si="502"/>
        <v>Zero Balance</v>
      </c>
      <c r="P8052" t="str">
        <f t="shared" si="503"/>
        <v>New</v>
      </c>
    </row>
    <row r="8053" spans="1:16" x14ac:dyDescent="0.25">
      <c r="A8053">
        <v>2025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  <c r="M8053" t="str">
        <f t="shared" si="500"/>
        <v>46-60</v>
      </c>
      <c r="N8053" t="str">
        <f t="shared" si="501"/>
        <v>Medium</v>
      </c>
      <c r="O8053" t="str">
        <f t="shared" si="502"/>
        <v>Low Balance</v>
      </c>
      <c r="P8053" t="str">
        <f t="shared" si="503"/>
        <v>New</v>
      </c>
    </row>
    <row r="8054" spans="1:16" x14ac:dyDescent="0.25">
      <c r="A8054">
        <v>2025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  <c r="M8054" t="str">
        <f t="shared" si="500"/>
        <v>30-45</v>
      </c>
      <c r="N8054" t="str">
        <f t="shared" si="501"/>
        <v>Medium</v>
      </c>
      <c r="O8054" t="str">
        <f t="shared" si="502"/>
        <v>Zero Balance</v>
      </c>
      <c r="P8054" t="str">
        <f t="shared" si="503"/>
        <v>Long-term</v>
      </c>
    </row>
    <row r="8055" spans="1:16" x14ac:dyDescent="0.25">
      <c r="A8055">
        <v>2025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  <c r="M8055" t="str">
        <f t="shared" si="500"/>
        <v>&lt;30</v>
      </c>
      <c r="N8055" t="str">
        <f t="shared" si="501"/>
        <v>Medium</v>
      </c>
      <c r="O8055" t="str">
        <f t="shared" si="502"/>
        <v>High Balance</v>
      </c>
      <c r="P8055" t="str">
        <f t="shared" si="503"/>
        <v>New</v>
      </c>
    </row>
    <row r="8056" spans="1:16" x14ac:dyDescent="0.25">
      <c r="A8056">
        <v>2025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  <c r="M8056" t="str">
        <f t="shared" si="500"/>
        <v>46-60</v>
      </c>
      <c r="N8056" t="str">
        <f t="shared" si="501"/>
        <v>Medium</v>
      </c>
      <c r="O8056" t="str">
        <f t="shared" si="502"/>
        <v>High Balance</v>
      </c>
      <c r="P8056" t="str">
        <f t="shared" si="503"/>
        <v>New</v>
      </c>
    </row>
    <row r="8057" spans="1:16" x14ac:dyDescent="0.25">
      <c r="A8057">
        <v>2025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  <c r="M8057" t="str">
        <f t="shared" si="500"/>
        <v>30-45</v>
      </c>
      <c r="N8057" t="str">
        <f t="shared" si="501"/>
        <v>Medium</v>
      </c>
      <c r="O8057" t="str">
        <f t="shared" si="502"/>
        <v>High Balance</v>
      </c>
      <c r="P8057" t="str">
        <f t="shared" si="503"/>
        <v>Long-term</v>
      </c>
    </row>
    <row r="8058" spans="1:16" x14ac:dyDescent="0.25">
      <c r="A8058">
        <v>2025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  <c r="M8058" t="str">
        <f t="shared" si="500"/>
        <v>30-45</v>
      </c>
      <c r="N8058" t="str">
        <f t="shared" si="501"/>
        <v>High</v>
      </c>
      <c r="O8058" t="str">
        <f t="shared" si="502"/>
        <v>High Balance</v>
      </c>
      <c r="P8058" t="str">
        <f t="shared" si="503"/>
        <v>Mid-term</v>
      </c>
    </row>
    <row r="8059" spans="1:16" x14ac:dyDescent="0.25">
      <c r="A8059">
        <v>2025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  <c r="M8059" t="str">
        <f t="shared" si="500"/>
        <v>30-45</v>
      </c>
      <c r="N8059" t="str">
        <f t="shared" si="501"/>
        <v>High</v>
      </c>
      <c r="O8059" t="str">
        <f t="shared" si="502"/>
        <v>High Balance</v>
      </c>
      <c r="P8059" t="str">
        <f t="shared" si="503"/>
        <v>New</v>
      </c>
    </row>
    <row r="8060" spans="1:16" x14ac:dyDescent="0.25">
      <c r="A8060">
        <v>2025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  <c r="M8060" t="str">
        <f t="shared" si="500"/>
        <v>46-60</v>
      </c>
      <c r="N8060" t="str">
        <f t="shared" si="501"/>
        <v>Low</v>
      </c>
      <c r="O8060" t="str">
        <f t="shared" si="502"/>
        <v>Low Balance</v>
      </c>
      <c r="P8060" t="str">
        <f t="shared" si="503"/>
        <v>New</v>
      </c>
    </row>
    <row r="8061" spans="1:16" x14ac:dyDescent="0.25">
      <c r="A8061">
        <v>2025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  <c r="M8061" t="str">
        <f t="shared" si="500"/>
        <v>30-45</v>
      </c>
      <c r="N8061" t="str">
        <f t="shared" si="501"/>
        <v>High</v>
      </c>
      <c r="O8061" t="str">
        <f t="shared" si="502"/>
        <v>Low Balance</v>
      </c>
      <c r="P8061" t="str">
        <f t="shared" si="503"/>
        <v>Mid-term</v>
      </c>
    </row>
    <row r="8062" spans="1:16" x14ac:dyDescent="0.25">
      <c r="A8062">
        <v>2025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  <c r="M8062" t="str">
        <f t="shared" si="500"/>
        <v>30-45</v>
      </c>
      <c r="N8062" t="str">
        <f t="shared" si="501"/>
        <v>High</v>
      </c>
      <c r="O8062" t="str">
        <f t="shared" si="502"/>
        <v>High Balance</v>
      </c>
      <c r="P8062" t="str">
        <f t="shared" si="503"/>
        <v>Mid-term</v>
      </c>
    </row>
    <row r="8063" spans="1:16" x14ac:dyDescent="0.25">
      <c r="A8063">
        <v>2025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  <c r="M8063" t="str">
        <f t="shared" si="500"/>
        <v>30-45</v>
      </c>
      <c r="N8063" t="str">
        <f t="shared" si="501"/>
        <v>Low</v>
      </c>
      <c r="O8063" t="str">
        <f t="shared" si="502"/>
        <v>Zero Balance</v>
      </c>
      <c r="P8063" t="str">
        <f t="shared" si="503"/>
        <v>Long-term</v>
      </c>
    </row>
    <row r="8064" spans="1:16" x14ac:dyDescent="0.25">
      <c r="A8064">
        <v>2025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  <c r="M8064" t="str">
        <f t="shared" si="500"/>
        <v>46-60</v>
      </c>
      <c r="N8064" t="str">
        <f t="shared" si="501"/>
        <v>Medium</v>
      </c>
      <c r="O8064" t="str">
        <f t="shared" si="502"/>
        <v>Low Balance</v>
      </c>
      <c r="P8064" t="str">
        <f t="shared" si="503"/>
        <v>Mid-term</v>
      </c>
    </row>
    <row r="8065" spans="1:16" x14ac:dyDescent="0.25">
      <c r="A8065">
        <v>2025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  <c r="M8065" t="str">
        <f t="shared" si="500"/>
        <v>30-45</v>
      </c>
      <c r="N8065" t="str">
        <f t="shared" si="501"/>
        <v>Medium</v>
      </c>
      <c r="O8065" t="str">
        <f t="shared" si="502"/>
        <v>High Balance</v>
      </c>
      <c r="P8065" t="str">
        <f t="shared" si="503"/>
        <v>Mid-term</v>
      </c>
    </row>
    <row r="8066" spans="1:16" x14ac:dyDescent="0.25">
      <c r="A8066">
        <v>2025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  <c r="M8066" t="str">
        <f t="shared" si="500"/>
        <v>&lt;30</v>
      </c>
      <c r="N8066" t="str">
        <f t="shared" si="501"/>
        <v>High</v>
      </c>
      <c r="O8066" t="str">
        <f t="shared" si="502"/>
        <v>Zero Balance</v>
      </c>
      <c r="P8066" t="str">
        <f t="shared" si="503"/>
        <v>Long-term</v>
      </c>
    </row>
    <row r="8067" spans="1:16" x14ac:dyDescent="0.25">
      <c r="A8067">
        <v>2025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  <c r="M8067" t="str">
        <f t="shared" ref="M8067:M8130" si="504">IF(E8067&lt;30,"&lt;30",IF(E8067&lt;=45,"30-45",IF(E8067&lt;=60,"46-60","60+")))</f>
        <v>46-60</v>
      </c>
      <c r="N8067" t="str">
        <f t="shared" ref="N8067:N8130" si="505">IF(B8067&lt;500,"Low",IF(B8067&lt;700,"Medium","High"))</f>
        <v>Low</v>
      </c>
      <c r="O8067" t="str">
        <f t="shared" ref="O8067:O8130" si="506">IF(G8067=0,"Zero Balance",IF(G8067&lt;100000,"Low Balance","High Balance"))</f>
        <v>High Balance</v>
      </c>
      <c r="P8067" t="str">
        <f t="shared" ref="P8067:P8130" si="507">IF(F8067&lt;=3,"New",IF(F8067&lt;=7,"Mid-term","Long-term"))</f>
        <v>New</v>
      </c>
    </row>
    <row r="8068" spans="1:16" x14ac:dyDescent="0.25">
      <c r="A8068">
        <v>2025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  <c r="M8068" t="str">
        <f t="shared" si="504"/>
        <v>30-45</v>
      </c>
      <c r="N8068" t="str">
        <f t="shared" si="505"/>
        <v>Medium</v>
      </c>
      <c r="O8068" t="str">
        <f t="shared" si="506"/>
        <v>High Balance</v>
      </c>
      <c r="P8068" t="str">
        <f t="shared" si="507"/>
        <v>Mid-term</v>
      </c>
    </row>
    <row r="8069" spans="1:16" x14ac:dyDescent="0.25">
      <c r="A8069">
        <v>2025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  <c r="M8069" t="str">
        <f t="shared" si="504"/>
        <v>&lt;30</v>
      </c>
      <c r="N8069" t="str">
        <f t="shared" si="505"/>
        <v>Medium</v>
      </c>
      <c r="O8069" t="str">
        <f t="shared" si="506"/>
        <v>Zero Balance</v>
      </c>
      <c r="P8069" t="str">
        <f t="shared" si="507"/>
        <v>Mid-term</v>
      </c>
    </row>
    <row r="8070" spans="1:16" x14ac:dyDescent="0.25">
      <c r="A8070">
        <v>2025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  <c r="M8070" t="str">
        <f t="shared" si="504"/>
        <v>&lt;30</v>
      </c>
      <c r="N8070" t="str">
        <f t="shared" si="505"/>
        <v>Medium</v>
      </c>
      <c r="O8070" t="str">
        <f t="shared" si="506"/>
        <v>Low Balance</v>
      </c>
      <c r="P8070" t="str">
        <f t="shared" si="507"/>
        <v>Mid-term</v>
      </c>
    </row>
    <row r="8071" spans="1:16" x14ac:dyDescent="0.25">
      <c r="A8071">
        <v>2025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  <c r="M8071" t="str">
        <f t="shared" si="504"/>
        <v>30-45</v>
      </c>
      <c r="N8071" t="str">
        <f t="shared" si="505"/>
        <v>Medium</v>
      </c>
      <c r="O8071" t="str">
        <f t="shared" si="506"/>
        <v>Low Balance</v>
      </c>
      <c r="P8071" t="str">
        <f t="shared" si="507"/>
        <v>Long-term</v>
      </c>
    </row>
    <row r="8072" spans="1:16" x14ac:dyDescent="0.25">
      <c r="A8072">
        <v>2025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  <c r="M8072" t="str">
        <f t="shared" si="504"/>
        <v>30-45</v>
      </c>
      <c r="N8072" t="str">
        <f t="shared" si="505"/>
        <v>High</v>
      </c>
      <c r="O8072" t="str">
        <f t="shared" si="506"/>
        <v>High Balance</v>
      </c>
      <c r="P8072" t="str">
        <f t="shared" si="507"/>
        <v>New</v>
      </c>
    </row>
    <row r="8073" spans="1:16" x14ac:dyDescent="0.25">
      <c r="A8073">
        <v>2025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  <c r="M8073" t="str">
        <f t="shared" si="504"/>
        <v>46-60</v>
      </c>
      <c r="N8073" t="str">
        <f t="shared" si="505"/>
        <v>Medium</v>
      </c>
      <c r="O8073" t="str">
        <f t="shared" si="506"/>
        <v>High Balance</v>
      </c>
      <c r="P8073" t="str">
        <f t="shared" si="507"/>
        <v>New</v>
      </c>
    </row>
    <row r="8074" spans="1:16" x14ac:dyDescent="0.25">
      <c r="A8074">
        <v>2025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  <c r="M8074" t="str">
        <f t="shared" si="504"/>
        <v>46-60</v>
      </c>
      <c r="N8074" t="str">
        <f t="shared" si="505"/>
        <v>High</v>
      </c>
      <c r="O8074" t="str">
        <f t="shared" si="506"/>
        <v>High Balance</v>
      </c>
      <c r="P8074" t="str">
        <f t="shared" si="507"/>
        <v>Mid-term</v>
      </c>
    </row>
    <row r="8075" spans="1:16" x14ac:dyDescent="0.25">
      <c r="A8075">
        <v>2025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  <c r="M8075" t="str">
        <f t="shared" si="504"/>
        <v>30-45</v>
      </c>
      <c r="N8075" t="str">
        <f t="shared" si="505"/>
        <v>High</v>
      </c>
      <c r="O8075" t="str">
        <f t="shared" si="506"/>
        <v>Low Balance</v>
      </c>
      <c r="P8075" t="str">
        <f t="shared" si="507"/>
        <v>Mid-term</v>
      </c>
    </row>
    <row r="8076" spans="1:16" x14ac:dyDescent="0.25">
      <c r="A8076">
        <v>2025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  <c r="M8076" t="str">
        <f t="shared" si="504"/>
        <v>&lt;30</v>
      </c>
      <c r="N8076" t="str">
        <f t="shared" si="505"/>
        <v>High</v>
      </c>
      <c r="O8076" t="str">
        <f t="shared" si="506"/>
        <v>High Balance</v>
      </c>
      <c r="P8076" t="str">
        <f t="shared" si="507"/>
        <v>Mid-term</v>
      </c>
    </row>
    <row r="8077" spans="1:16" x14ac:dyDescent="0.25">
      <c r="A8077">
        <v>2025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  <c r="M8077" t="str">
        <f t="shared" si="504"/>
        <v>46-60</v>
      </c>
      <c r="N8077" t="str">
        <f t="shared" si="505"/>
        <v>High</v>
      </c>
      <c r="O8077" t="str">
        <f t="shared" si="506"/>
        <v>High Balance</v>
      </c>
      <c r="P8077" t="str">
        <f t="shared" si="507"/>
        <v>Long-term</v>
      </c>
    </row>
    <row r="8078" spans="1:16" x14ac:dyDescent="0.25">
      <c r="A8078">
        <v>2025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  <c r="M8078" t="str">
        <f t="shared" si="504"/>
        <v>30-45</v>
      </c>
      <c r="N8078" t="str">
        <f t="shared" si="505"/>
        <v>High</v>
      </c>
      <c r="O8078" t="str">
        <f t="shared" si="506"/>
        <v>Zero Balance</v>
      </c>
      <c r="P8078" t="str">
        <f t="shared" si="507"/>
        <v>Long-term</v>
      </c>
    </row>
    <row r="8079" spans="1:16" x14ac:dyDescent="0.25">
      <c r="A8079">
        <v>2025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  <c r="M8079" t="str">
        <f t="shared" si="504"/>
        <v>30-45</v>
      </c>
      <c r="N8079" t="str">
        <f t="shared" si="505"/>
        <v>Medium</v>
      </c>
      <c r="O8079" t="str">
        <f t="shared" si="506"/>
        <v>High Balance</v>
      </c>
      <c r="P8079" t="str">
        <f t="shared" si="507"/>
        <v>Mid-term</v>
      </c>
    </row>
    <row r="8080" spans="1:16" x14ac:dyDescent="0.25">
      <c r="A8080">
        <v>2025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  <c r="M8080" t="str">
        <f t="shared" si="504"/>
        <v>46-60</v>
      </c>
      <c r="N8080" t="str">
        <f t="shared" si="505"/>
        <v>Medium</v>
      </c>
      <c r="O8080" t="str">
        <f t="shared" si="506"/>
        <v>Zero Balance</v>
      </c>
      <c r="P8080" t="str">
        <f t="shared" si="507"/>
        <v>Long-term</v>
      </c>
    </row>
    <row r="8081" spans="1:16" x14ac:dyDescent="0.25">
      <c r="A8081">
        <v>2025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  <c r="M8081" t="str">
        <f t="shared" si="504"/>
        <v>30-45</v>
      </c>
      <c r="N8081" t="str">
        <f t="shared" si="505"/>
        <v>Medium</v>
      </c>
      <c r="O8081" t="str">
        <f t="shared" si="506"/>
        <v>Zero Balance</v>
      </c>
      <c r="P8081" t="str">
        <f t="shared" si="507"/>
        <v>Mid-term</v>
      </c>
    </row>
    <row r="8082" spans="1:16" x14ac:dyDescent="0.25">
      <c r="A8082">
        <v>2025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  <c r="M8082" t="str">
        <f t="shared" si="504"/>
        <v>46-60</v>
      </c>
      <c r="N8082" t="str">
        <f t="shared" si="505"/>
        <v>High</v>
      </c>
      <c r="O8082" t="str">
        <f t="shared" si="506"/>
        <v>High Balance</v>
      </c>
      <c r="P8082" t="str">
        <f t="shared" si="507"/>
        <v>New</v>
      </c>
    </row>
    <row r="8083" spans="1:16" x14ac:dyDescent="0.25">
      <c r="A8083">
        <v>2025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  <c r="M8083" t="str">
        <f t="shared" si="504"/>
        <v>30-45</v>
      </c>
      <c r="N8083" t="str">
        <f t="shared" si="505"/>
        <v>Medium</v>
      </c>
      <c r="O8083" t="str">
        <f t="shared" si="506"/>
        <v>High Balance</v>
      </c>
      <c r="P8083" t="str">
        <f t="shared" si="507"/>
        <v>Mid-term</v>
      </c>
    </row>
    <row r="8084" spans="1:16" x14ac:dyDescent="0.25">
      <c r="A8084">
        <v>2025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  <c r="M8084" t="str">
        <f t="shared" si="504"/>
        <v>30-45</v>
      </c>
      <c r="N8084" t="str">
        <f t="shared" si="505"/>
        <v>High</v>
      </c>
      <c r="O8084" t="str">
        <f t="shared" si="506"/>
        <v>High Balance</v>
      </c>
      <c r="P8084" t="str">
        <f t="shared" si="507"/>
        <v>New</v>
      </c>
    </row>
    <row r="8085" spans="1:16" x14ac:dyDescent="0.25">
      <c r="A8085">
        <v>2025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  <c r="M8085" t="str">
        <f t="shared" si="504"/>
        <v>&lt;30</v>
      </c>
      <c r="N8085" t="str">
        <f t="shared" si="505"/>
        <v>Medium</v>
      </c>
      <c r="O8085" t="str">
        <f t="shared" si="506"/>
        <v>High Balance</v>
      </c>
      <c r="P8085" t="str">
        <f t="shared" si="507"/>
        <v>Mid-term</v>
      </c>
    </row>
    <row r="8086" spans="1:16" x14ac:dyDescent="0.25">
      <c r="A8086">
        <v>2025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  <c r="M8086" t="str">
        <f t="shared" si="504"/>
        <v>&lt;30</v>
      </c>
      <c r="N8086" t="str">
        <f t="shared" si="505"/>
        <v>Medium</v>
      </c>
      <c r="O8086" t="str">
        <f t="shared" si="506"/>
        <v>Low Balance</v>
      </c>
      <c r="P8086" t="str">
        <f t="shared" si="507"/>
        <v>Mid-term</v>
      </c>
    </row>
    <row r="8087" spans="1:16" x14ac:dyDescent="0.25">
      <c r="A8087">
        <v>2025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  <c r="M8087" t="str">
        <f t="shared" si="504"/>
        <v>30-45</v>
      </c>
      <c r="N8087" t="str">
        <f t="shared" si="505"/>
        <v>High</v>
      </c>
      <c r="O8087" t="str">
        <f t="shared" si="506"/>
        <v>Zero Balance</v>
      </c>
      <c r="P8087" t="str">
        <f t="shared" si="507"/>
        <v>New</v>
      </c>
    </row>
    <row r="8088" spans="1:16" x14ac:dyDescent="0.25">
      <c r="A8088">
        <v>2025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  <c r="M8088" t="str">
        <f t="shared" si="504"/>
        <v>46-60</v>
      </c>
      <c r="N8088" t="str">
        <f t="shared" si="505"/>
        <v>Medium</v>
      </c>
      <c r="O8088" t="str">
        <f t="shared" si="506"/>
        <v>High Balance</v>
      </c>
      <c r="P8088" t="str">
        <f t="shared" si="507"/>
        <v>Mid-term</v>
      </c>
    </row>
    <row r="8089" spans="1:16" x14ac:dyDescent="0.25">
      <c r="A8089">
        <v>2025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  <c r="M8089" t="str">
        <f t="shared" si="504"/>
        <v>30-45</v>
      </c>
      <c r="N8089" t="str">
        <f t="shared" si="505"/>
        <v>Medium</v>
      </c>
      <c r="O8089" t="str">
        <f t="shared" si="506"/>
        <v>Zero Balance</v>
      </c>
      <c r="P8089" t="str">
        <f t="shared" si="507"/>
        <v>New</v>
      </c>
    </row>
    <row r="8090" spans="1:16" x14ac:dyDescent="0.25">
      <c r="A8090">
        <v>2025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  <c r="M8090" t="str">
        <f t="shared" si="504"/>
        <v>30-45</v>
      </c>
      <c r="N8090" t="str">
        <f t="shared" si="505"/>
        <v>Medium</v>
      </c>
      <c r="O8090" t="str">
        <f t="shared" si="506"/>
        <v>High Balance</v>
      </c>
      <c r="P8090" t="str">
        <f t="shared" si="507"/>
        <v>Long-term</v>
      </c>
    </row>
    <row r="8091" spans="1:16" x14ac:dyDescent="0.25">
      <c r="A8091">
        <v>2025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  <c r="M8091" t="str">
        <f t="shared" si="504"/>
        <v>&lt;30</v>
      </c>
      <c r="N8091" t="str">
        <f t="shared" si="505"/>
        <v>Medium</v>
      </c>
      <c r="O8091" t="str">
        <f t="shared" si="506"/>
        <v>High Balance</v>
      </c>
      <c r="P8091" t="str">
        <f t="shared" si="507"/>
        <v>New</v>
      </c>
    </row>
    <row r="8092" spans="1:16" x14ac:dyDescent="0.25">
      <c r="A8092">
        <v>2025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  <c r="M8092" t="str">
        <f t="shared" si="504"/>
        <v>46-60</v>
      </c>
      <c r="N8092" t="str">
        <f t="shared" si="505"/>
        <v>Medium</v>
      </c>
      <c r="O8092" t="str">
        <f t="shared" si="506"/>
        <v>Zero Balance</v>
      </c>
      <c r="P8092" t="str">
        <f t="shared" si="507"/>
        <v>New</v>
      </c>
    </row>
    <row r="8093" spans="1:16" x14ac:dyDescent="0.25">
      <c r="A8093">
        <v>2025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  <c r="M8093" t="str">
        <f t="shared" si="504"/>
        <v>&lt;30</v>
      </c>
      <c r="N8093" t="str">
        <f t="shared" si="505"/>
        <v>High</v>
      </c>
      <c r="O8093" t="str">
        <f t="shared" si="506"/>
        <v>Low Balance</v>
      </c>
      <c r="P8093" t="str">
        <f t="shared" si="507"/>
        <v>New</v>
      </c>
    </row>
    <row r="8094" spans="1:16" x14ac:dyDescent="0.25">
      <c r="A8094">
        <v>2025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  <c r="M8094" t="str">
        <f t="shared" si="504"/>
        <v>30-45</v>
      </c>
      <c r="N8094" t="str">
        <f t="shared" si="505"/>
        <v>High</v>
      </c>
      <c r="O8094" t="str">
        <f t="shared" si="506"/>
        <v>High Balance</v>
      </c>
      <c r="P8094" t="str">
        <f t="shared" si="507"/>
        <v>New</v>
      </c>
    </row>
    <row r="8095" spans="1:16" x14ac:dyDescent="0.25">
      <c r="A8095">
        <v>2025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  <c r="M8095" t="str">
        <f t="shared" si="504"/>
        <v>46-60</v>
      </c>
      <c r="N8095" t="str">
        <f t="shared" si="505"/>
        <v>Medium</v>
      </c>
      <c r="O8095" t="str">
        <f t="shared" si="506"/>
        <v>Zero Balance</v>
      </c>
      <c r="P8095" t="str">
        <f t="shared" si="507"/>
        <v>Mid-term</v>
      </c>
    </row>
    <row r="8096" spans="1:16" x14ac:dyDescent="0.25">
      <c r="A8096">
        <v>2025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  <c r="M8096" t="str">
        <f t="shared" si="504"/>
        <v>60+</v>
      </c>
      <c r="N8096" t="str">
        <f t="shared" si="505"/>
        <v>Medium</v>
      </c>
      <c r="O8096" t="str">
        <f t="shared" si="506"/>
        <v>Zero Balance</v>
      </c>
      <c r="P8096" t="str">
        <f t="shared" si="507"/>
        <v>New</v>
      </c>
    </row>
    <row r="8097" spans="1:16" x14ac:dyDescent="0.25">
      <c r="A8097">
        <v>2025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  <c r="M8097" t="str">
        <f t="shared" si="504"/>
        <v>30-45</v>
      </c>
      <c r="N8097" t="str">
        <f t="shared" si="505"/>
        <v>High</v>
      </c>
      <c r="O8097" t="str">
        <f t="shared" si="506"/>
        <v>High Balance</v>
      </c>
      <c r="P8097" t="str">
        <f t="shared" si="507"/>
        <v>Mid-term</v>
      </c>
    </row>
    <row r="8098" spans="1:16" x14ac:dyDescent="0.25">
      <c r="A8098">
        <v>2025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  <c r="M8098" t="str">
        <f t="shared" si="504"/>
        <v>30-45</v>
      </c>
      <c r="N8098" t="str">
        <f t="shared" si="505"/>
        <v>Medium</v>
      </c>
      <c r="O8098" t="str">
        <f t="shared" si="506"/>
        <v>High Balance</v>
      </c>
      <c r="P8098" t="str">
        <f t="shared" si="507"/>
        <v>Mid-term</v>
      </c>
    </row>
    <row r="8099" spans="1:16" x14ac:dyDescent="0.25">
      <c r="A8099">
        <v>2025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  <c r="M8099" t="str">
        <f t="shared" si="504"/>
        <v>46-60</v>
      </c>
      <c r="N8099" t="str">
        <f t="shared" si="505"/>
        <v>Medium</v>
      </c>
      <c r="O8099" t="str">
        <f t="shared" si="506"/>
        <v>Zero Balance</v>
      </c>
      <c r="P8099" t="str">
        <f t="shared" si="507"/>
        <v>New</v>
      </c>
    </row>
    <row r="8100" spans="1:16" x14ac:dyDescent="0.25">
      <c r="A8100">
        <v>2025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  <c r="M8100" t="str">
        <f t="shared" si="504"/>
        <v>60+</v>
      </c>
      <c r="N8100" t="str">
        <f t="shared" si="505"/>
        <v>High</v>
      </c>
      <c r="O8100" t="str">
        <f t="shared" si="506"/>
        <v>High Balance</v>
      </c>
      <c r="P8100" t="str">
        <f t="shared" si="507"/>
        <v>New</v>
      </c>
    </row>
    <row r="8101" spans="1:16" x14ac:dyDescent="0.25">
      <c r="A8101">
        <v>2025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  <c r="M8101" t="str">
        <f t="shared" si="504"/>
        <v>30-45</v>
      </c>
      <c r="N8101" t="str">
        <f t="shared" si="505"/>
        <v>Medium</v>
      </c>
      <c r="O8101" t="str">
        <f t="shared" si="506"/>
        <v>Low Balance</v>
      </c>
      <c r="P8101" t="str">
        <f t="shared" si="507"/>
        <v>New</v>
      </c>
    </row>
    <row r="8102" spans="1:16" x14ac:dyDescent="0.25">
      <c r="A8102">
        <v>2025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  <c r="M8102" t="str">
        <f t="shared" si="504"/>
        <v>30-45</v>
      </c>
      <c r="N8102" t="str">
        <f t="shared" si="505"/>
        <v>Medium</v>
      </c>
      <c r="O8102" t="str">
        <f t="shared" si="506"/>
        <v>High Balance</v>
      </c>
      <c r="P8102" t="str">
        <f t="shared" si="507"/>
        <v>Mid-term</v>
      </c>
    </row>
    <row r="8103" spans="1:16" x14ac:dyDescent="0.25">
      <c r="A8103">
        <v>2025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  <c r="M8103" t="str">
        <f t="shared" si="504"/>
        <v>30-45</v>
      </c>
      <c r="N8103" t="str">
        <f t="shared" si="505"/>
        <v>Medium</v>
      </c>
      <c r="O8103" t="str">
        <f t="shared" si="506"/>
        <v>Low Balance</v>
      </c>
      <c r="P8103" t="str">
        <f t="shared" si="507"/>
        <v>Mid-term</v>
      </c>
    </row>
    <row r="8104" spans="1:16" x14ac:dyDescent="0.25">
      <c r="A8104">
        <v>2025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  <c r="M8104" t="str">
        <f t="shared" si="504"/>
        <v>30-45</v>
      </c>
      <c r="N8104" t="str">
        <f t="shared" si="505"/>
        <v>Medium</v>
      </c>
      <c r="O8104" t="str">
        <f t="shared" si="506"/>
        <v>High Balance</v>
      </c>
      <c r="P8104" t="str">
        <f t="shared" si="507"/>
        <v>New</v>
      </c>
    </row>
    <row r="8105" spans="1:16" x14ac:dyDescent="0.25">
      <c r="A8105">
        <v>2025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  <c r="M8105" t="str">
        <f t="shared" si="504"/>
        <v>46-60</v>
      </c>
      <c r="N8105" t="str">
        <f t="shared" si="505"/>
        <v>Low</v>
      </c>
      <c r="O8105" t="str">
        <f t="shared" si="506"/>
        <v>High Balance</v>
      </c>
      <c r="P8105" t="str">
        <f t="shared" si="507"/>
        <v>New</v>
      </c>
    </row>
    <row r="8106" spans="1:16" x14ac:dyDescent="0.25">
      <c r="A8106">
        <v>2025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  <c r="M8106" t="str">
        <f t="shared" si="504"/>
        <v>30-45</v>
      </c>
      <c r="N8106" t="str">
        <f t="shared" si="505"/>
        <v>High</v>
      </c>
      <c r="O8106" t="str">
        <f t="shared" si="506"/>
        <v>High Balance</v>
      </c>
      <c r="P8106" t="str">
        <f t="shared" si="507"/>
        <v>Mid-term</v>
      </c>
    </row>
    <row r="8107" spans="1:16" x14ac:dyDescent="0.25">
      <c r="A8107">
        <v>2025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  <c r="M8107" t="str">
        <f t="shared" si="504"/>
        <v>46-60</v>
      </c>
      <c r="N8107" t="str">
        <f t="shared" si="505"/>
        <v>Medium</v>
      </c>
      <c r="O8107" t="str">
        <f t="shared" si="506"/>
        <v>Zero Balance</v>
      </c>
      <c r="P8107" t="str">
        <f t="shared" si="507"/>
        <v>New</v>
      </c>
    </row>
    <row r="8108" spans="1:16" x14ac:dyDescent="0.25">
      <c r="A8108">
        <v>2025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  <c r="M8108" t="str">
        <f t="shared" si="504"/>
        <v>46-60</v>
      </c>
      <c r="N8108" t="str">
        <f t="shared" si="505"/>
        <v>Medium</v>
      </c>
      <c r="O8108" t="str">
        <f t="shared" si="506"/>
        <v>Low Balance</v>
      </c>
      <c r="P8108" t="str">
        <f t="shared" si="507"/>
        <v>Long-term</v>
      </c>
    </row>
    <row r="8109" spans="1:16" x14ac:dyDescent="0.25">
      <c r="A8109">
        <v>2025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  <c r="M8109" t="str">
        <f t="shared" si="504"/>
        <v>46-60</v>
      </c>
      <c r="N8109" t="str">
        <f t="shared" si="505"/>
        <v>Medium</v>
      </c>
      <c r="O8109" t="str">
        <f t="shared" si="506"/>
        <v>Zero Balance</v>
      </c>
      <c r="P8109" t="str">
        <f t="shared" si="507"/>
        <v>New</v>
      </c>
    </row>
    <row r="8110" spans="1:16" x14ac:dyDescent="0.25">
      <c r="A8110">
        <v>2025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  <c r="M8110" t="str">
        <f t="shared" si="504"/>
        <v>30-45</v>
      </c>
      <c r="N8110" t="str">
        <f t="shared" si="505"/>
        <v>Low</v>
      </c>
      <c r="O8110" t="str">
        <f t="shared" si="506"/>
        <v>High Balance</v>
      </c>
      <c r="P8110" t="str">
        <f t="shared" si="507"/>
        <v>Mid-term</v>
      </c>
    </row>
    <row r="8111" spans="1:16" x14ac:dyDescent="0.25">
      <c r="A8111">
        <v>2025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  <c r="M8111" t="str">
        <f t="shared" si="504"/>
        <v>30-45</v>
      </c>
      <c r="N8111" t="str">
        <f t="shared" si="505"/>
        <v>Medium</v>
      </c>
      <c r="O8111" t="str">
        <f t="shared" si="506"/>
        <v>Zero Balance</v>
      </c>
      <c r="P8111" t="str">
        <f t="shared" si="507"/>
        <v>New</v>
      </c>
    </row>
    <row r="8112" spans="1:16" x14ac:dyDescent="0.25">
      <c r="A8112">
        <v>2025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  <c r="M8112" t="str">
        <f t="shared" si="504"/>
        <v>30-45</v>
      </c>
      <c r="N8112" t="str">
        <f t="shared" si="505"/>
        <v>Medium</v>
      </c>
      <c r="O8112" t="str">
        <f t="shared" si="506"/>
        <v>Low Balance</v>
      </c>
      <c r="P8112" t="str">
        <f t="shared" si="507"/>
        <v>Long-term</v>
      </c>
    </row>
    <row r="8113" spans="1:16" x14ac:dyDescent="0.25">
      <c r="A8113">
        <v>2025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  <c r="M8113" t="str">
        <f t="shared" si="504"/>
        <v>30-45</v>
      </c>
      <c r="N8113" t="str">
        <f t="shared" si="505"/>
        <v>Medium</v>
      </c>
      <c r="O8113" t="str">
        <f t="shared" si="506"/>
        <v>High Balance</v>
      </c>
      <c r="P8113" t="str">
        <f t="shared" si="507"/>
        <v>New</v>
      </c>
    </row>
    <row r="8114" spans="1:16" x14ac:dyDescent="0.25">
      <c r="A8114">
        <v>2025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  <c r="M8114" t="str">
        <f t="shared" si="504"/>
        <v>30-45</v>
      </c>
      <c r="N8114" t="str">
        <f t="shared" si="505"/>
        <v>Medium</v>
      </c>
      <c r="O8114" t="str">
        <f t="shared" si="506"/>
        <v>Zero Balance</v>
      </c>
      <c r="P8114" t="str">
        <f t="shared" si="507"/>
        <v>New</v>
      </c>
    </row>
    <row r="8115" spans="1:16" x14ac:dyDescent="0.25">
      <c r="A8115">
        <v>2025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  <c r="M8115" t="str">
        <f t="shared" si="504"/>
        <v>30-45</v>
      </c>
      <c r="N8115" t="str">
        <f t="shared" si="505"/>
        <v>Low</v>
      </c>
      <c r="O8115" t="str">
        <f t="shared" si="506"/>
        <v>Low Balance</v>
      </c>
      <c r="P8115" t="str">
        <f t="shared" si="507"/>
        <v>Mid-term</v>
      </c>
    </row>
    <row r="8116" spans="1:16" x14ac:dyDescent="0.25">
      <c r="A8116">
        <v>2025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  <c r="M8116" t="str">
        <f t="shared" si="504"/>
        <v>46-60</v>
      </c>
      <c r="N8116" t="str">
        <f t="shared" si="505"/>
        <v>Low</v>
      </c>
      <c r="O8116" t="str">
        <f t="shared" si="506"/>
        <v>High Balance</v>
      </c>
      <c r="P8116" t="str">
        <f t="shared" si="507"/>
        <v>New</v>
      </c>
    </row>
    <row r="8117" spans="1:16" x14ac:dyDescent="0.25">
      <c r="A8117">
        <v>2025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  <c r="M8117" t="str">
        <f t="shared" si="504"/>
        <v>30-45</v>
      </c>
      <c r="N8117" t="str">
        <f t="shared" si="505"/>
        <v>Medium</v>
      </c>
      <c r="O8117" t="str">
        <f t="shared" si="506"/>
        <v>Zero Balance</v>
      </c>
      <c r="P8117" t="str">
        <f t="shared" si="507"/>
        <v>Mid-term</v>
      </c>
    </row>
    <row r="8118" spans="1:16" x14ac:dyDescent="0.25">
      <c r="A8118">
        <v>2025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  <c r="M8118" t="str">
        <f t="shared" si="504"/>
        <v>30-45</v>
      </c>
      <c r="N8118" t="str">
        <f t="shared" si="505"/>
        <v>Medium</v>
      </c>
      <c r="O8118" t="str">
        <f t="shared" si="506"/>
        <v>Low Balance</v>
      </c>
      <c r="P8118" t="str">
        <f t="shared" si="507"/>
        <v>Long-term</v>
      </c>
    </row>
    <row r="8119" spans="1:16" x14ac:dyDescent="0.25">
      <c r="A8119">
        <v>2025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  <c r="M8119" t="str">
        <f t="shared" si="504"/>
        <v>30-45</v>
      </c>
      <c r="N8119" t="str">
        <f t="shared" si="505"/>
        <v>Medium</v>
      </c>
      <c r="O8119" t="str">
        <f t="shared" si="506"/>
        <v>Zero Balance</v>
      </c>
      <c r="P8119" t="str">
        <f t="shared" si="507"/>
        <v>Mid-term</v>
      </c>
    </row>
    <row r="8120" spans="1:16" x14ac:dyDescent="0.25">
      <c r="A8120">
        <v>2025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  <c r="M8120" t="str">
        <f t="shared" si="504"/>
        <v>&lt;30</v>
      </c>
      <c r="N8120" t="str">
        <f t="shared" si="505"/>
        <v>Medium</v>
      </c>
      <c r="O8120" t="str">
        <f t="shared" si="506"/>
        <v>Zero Balance</v>
      </c>
      <c r="P8120" t="str">
        <f t="shared" si="507"/>
        <v>Mid-term</v>
      </c>
    </row>
    <row r="8121" spans="1:16" x14ac:dyDescent="0.25">
      <c r="A8121">
        <v>2025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  <c r="M8121" t="str">
        <f t="shared" si="504"/>
        <v>30-45</v>
      </c>
      <c r="N8121" t="str">
        <f t="shared" si="505"/>
        <v>High</v>
      </c>
      <c r="O8121" t="str">
        <f t="shared" si="506"/>
        <v>High Balance</v>
      </c>
      <c r="P8121" t="str">
        <f t="shared" si="507"/>
        <v>Mid-term</v>
      </c>
    </row>
    <row r="8122" spans="1:16" x14ac:dyDescent="0.25">
      <c r="A8122">
        <v>2025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  <c r="M8122" t="str">
        <f t="shared" si="504"/>
        <v>30-45</v>
      </c>
      <c r="N8122" t="str">
        <f t="shared" si="505"/>
        <v>Medium</v>
      </c>
      <c r="O8122" t="str">
        <f t="shared" si="506"/>
        <v>Zero Balance</v>
      </c>
      <c r="P8122" t="str">
        <f t="shared" si="507"/>
        <v>Mid-term</v>
      </c>
    </row>
    <row r="8123" spans="1:16" x14ac:dyDescent="0.25">
      <c r="A8123">
        <v>2025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  <c r="M8123" t="str">
        <f t="shared" si="504"/>
        <v>30-45</v>
      </c>
      <c r="N8123" t="str">
        <f t="shared" si="505"/>
        <v>High</v>
      </c>
      <c r="O8123" t="str">
        <f t="shared" si="506"/>
        <v>Zero Balance</v>
      </c>
      <c r="P8123" t="str">
        <f t="shared" si="507"/>
        <v>New</v>
      </c>
    </row>
    <row r="8124" spans="1:16" x14ac:dyDescent="0.25">
      <c r="A8124">
        <v>2025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  <c r="M8124" t="str">
        <f t="shared" si="504"/>
        <v>46-60</v>
      </c>
      <c r="N8124" t="str">
        <f t="shared" si="505"/>
        <v>Medium</v>
      </c>
      <c r="O8124" t="str">
        <f t="shared" si="506"/>
        <v>Low Balance</v>
      </c>
      <c r="P8124" t="str">
        <f t="shared" si="507"/>
        <v>New</v>
      </c>
    </row>
    <row r="8125" spans="1:16" x14ac:dyDescent="0.25">
      <c r="A8125">
        <v>2025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  <c r="M8125" t="str">
        <f t="shared" si="504"/>
        <v>30-45</v>
      </c>
      <c r="N8125" t="str">
        <f t="shared" si="505"/>
        <v>High</v>
      </c>
      <c r="O8125" t="str">
        <f t="shared" si="506"/>
        <v>Zero Balance</v>
      </c>
      <c r="P8125" t="str">
        <f t="shared" si="507"/>
        <v>New</v>
      </c>
    </row>
    <row r="8126" spans="1:16" x14ac:dyDescent="0.25">
      <c r="A8126">
        <v>2025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  <c r="M8126" t="str">
        <f t="shared" si="504"/>
        <v>30-45</v>
      </c>
      <c r="N8126" t="str">
        <f t="shared" si="505"/>
        <v>High</v>
      </c>
      <c r="O8126" t="str">
        <f t="shared" si="506"/>
        <v>High Balance</v>
      </c>
      <c r="P8126" t="str">
        <f t="shared" si="507"/>
        <v>Long-term</v>
      </c>
    </row>
    <row r="8127" spans="1:16" x14ac:dyDescent="0.25">
      <c r="A8127">
        <v>2025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  <c r="M8127" t="str">
        <f t="shared" si="504"/>
        <v>30-45</v>
      </c>
      <c r="N8127" t="str">
        <f t="shared" si="505"/>
        <v>Medium</v>
      </c>
      <c r="O8127" t="str">
        <f t="shared" si="506"/>
        <v>High Balance</v>
      </c>
      <c r="P8127" t="str">
        <f t="shared" si="507"/>
        <v>Long-term</v>
      </c>
    </row>
    <row r="8128" spans="1:16" x14ac:dyDescent="0.25">
      <c r="A8128">
        <v>2025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  <c r="M8128" t="str">
        <f t="shared" si="504"/>
        <v>30-45</v>
      </c>
      <c r="N8128" t="str">
        <f t="shared" si="505"/>
        <v>High</v>
      </c>
      <c r="O8128" t="str">
        <f t="shared" si="506"/>
        <v>High Balance</v>
      </c>
      <c r="P8128" t="str">
        <f t="shared" si="507"/>
        <v>Mid-term</v>
      </c>
    </row>
    <row r="8129" spans="1:16" x14ac:dyDescent="0.25">
      <c r="A8129">
        <v>2025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  <c r="M8129" t="str">
        <f t="shared" si="504"/>
        <v>30-45</v>
      </c>
      <c r="N8129" t="str">
        <f t="shared" si="505"/>
        <v>Medium</v>
      </c>
      <c r="O8129" t="str">
        <f t="shared" si="506"/>
        <v>High Balance</v>
      </c>
      <c r="P8129" t="str">
        <f t="shared" si="507"/>
        <v>Long-term</v>
      </c>
    </row>
    <row r="8130" spans="1:16" x14ac:dyDescent="0.25">
      <c r="A8130">
        <v>2025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  <c r="M8130" t="str">
        <f t="shared" si="504"/>
        <v>30-45</v>
      </c>
      <c r="N8130" t="str">
        <f t="shared" si="505"/>
        <v>Medium</v>
      </c>
      <c r="O8130" t="str">
        <f t="shared" si="506"/>
        <v>Low Balance</v>
      </c>
      <c r="P8130" t="str">
        <f t="shared" si="507"/>
        <v>Mid-term</v>
      </c>
    </row>
    <row r="8131" spans="1:16" x14ac:dyDescent="0.25">
      <c r="A8131">
        <v>2025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  <c r="M8131" t="str">
        <f t="shared" ref="M8131:M8194" si="508">IF(E8131&lt;30,"&lt;30",IF(E8131&lt;=45,"30-45",IF(E8131&lt;=60,"46-60","60+")))</f>
        <v>30-45</v>
      </c>
      <c r="N8131" t="str">
        <f t="shared" ref="N8131:N8194" si="509">IF(B8131&lt;500,"Low",IF(B8131&lt;700,"Medium","High"))</f>
        <v>High</v>
      </c>
      <c r="O8131" t="str">
        <f t="shared" ref="O8131:O8194" si="510">IF(G8131=0,"Zero Balance",IF(G8131&lt;100000,"Low Balance","High Balance"))</f>
        <v>Zero Balance</v>
      </c>
      <c r="P8131" t="str">
        <f t="shared" ref="P8131:P8194" si="511">IF(F8131&lt;=3,"New",IF(F8131&lt;=7,"Mid-term","Long-term"))</f>
        <v>Mid-term</v>
      </c>
    </row>
    <row r="8132" spans="1:16" x14ac:dyDescent="0.25">
      <c r="A8132">
        <v>2025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  <c r="M8132" t="str">
        <f t="shared" si="508"/>
        <v>46-60</v>
      </c>
      <c r="N8132" t="str">
        <f t="shared" si="509"/>
        <v>High</v>
      </c>
      <c r="O8132" t="str">
        <f t="shared" si="510"/>
        <v>Zero Balance</v>
      </c>
      <c r="P8132" t="str">
        <f t="shared" si="511"/>
        <v>Mid-term</v>
      </c>
    </row>
    <row r="8133" spans="1:16" x14ac:dyDescent="0.25">
      <c r="A8133">
        <v>2025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  <c r="M8133" t="str">
        <f t="shared" si="508"/>
        <v>30-45</v>
      </c>
      <c r="N8133" t="str">
        <f t="shared" si="509"/>
        <v>Medium</v>
      </c>
      <c r="O8133" t="str">
        <f t="shared" si="510"/>
        <v>High Balance</v>
      </c>
      <c r="P8133" t="str">
        <f t="shared" si="511"/>
        <v>New</v>
      </c>
    </row>
    <row r="8134" spans="1:16" x14ac:dyDescent="0.25">
      <c r="A8134">
        <v>2025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  <c r="M8134" t="str">
        <f t="shared" si="508"/>
        <v>&lt;30</v>
      </c>
      <c r="N8134" t="str">
        <f t="shared" si="509"/>
        <v>Medium</v>
      </c>
      <c r="O8134" t="str">
        <f t="shared" si="510"/>
        <v>Zero Balance</v>
      </c>
      <c r="P8134" t="str">
        <f t="shared" si="511"/>
        <v>Mid-term</v>
      </c>
    </row>
    <row r="8135" spans="1:16" x14ac:dyDescent="0.25">
      <c r="A8135">
        <v>2025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  <c r="M8135" t="str">
        <f t="shared" si="508"/>
        <v>30-45</v>
      </c>
      <c r="N8135" t="str">
        <f t="shared" si="509"/>
        <v>High</v>
      </c>
      <c r="O8135" t="str">
        <f t="shared" si="510"/>
        <v>High Balance</v>
      </c>
      <c r="P8135" t="str">
        <f t="shared" si="511"/>
        <v>New</v>
      </c>
    </row>
    <row r="8136" spans="1:16" x14ac:dyDescent="0.25">
      <c r="A8136">
        <v>2025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  <c r="M8136" t="str">
        <f t="shared" si="508"/>
        <v>30-45</v>
      </c>
      <c r="N8136" t="str">
        <f t="shared" si="509"/>
        <v>Medium</v>
      </c>
      <c r="O8136" t="str">
        <f t="shared" si="510"/>
        <v>Zero Balance</v>
      </c>
      <c r="P8136" t="str">
        <f t="shared" si="511"/>
        <v>Mid-term</v>
      </c>
    </row>
    <row r="8137" spans="1:16" x14ac:dyDescent="0.25">
      <c r="A8137">
        <v>2025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  <c r="M8137" t="str">
        <f t="shared" si="508"/>
        <v>&lt;30</v>
      </c>
      <c r="N8137" t="str">
        <f t="shared" si="509"/>
        <v>High</v>
      </c>
      <c r="O8137" t="str">
        <f t="shared" si="510"/>
        <v>High Balance</v>
      </c>
      <c r="P8137" t="str">
        <f t="shared" si="511"/>
        <v>Mid-term</v>
      </c>
    </row>
    <row r="8138" spans="1:16" x14ac:dyDescent="0.25">
      <c r="A8138">
        <v>2025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  <c r="M8138" t="str">
        <f t="shared" si="508"/>
        <v>30-45</v>
      </c>
      <c r="N8138" t="str">
        <f t="shared" si="509"/>
        <v>High</v>
      </c>
      <c r="O8138" t="str">
        <f t="shared" si="510"/>
        <v>Zero Balance</v>
      </c>
      <c r="P8138" t="str">
        <f t="shared" si="511"/>
        <v>New</v>
      </c>
    </row>
    <row r="8139" spans="1:16" x14ac:dyDescent="0.25">
      <c r="A8139">
        <v>2025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  <c r="M8139" t="str">
        <f t="shared" si="508"/>
        <v>30-45</v>
      </c>
      <c r="N8139" t="str">
        <f t="shared" si="509"/>
        <v>Low</v>
      </c>
      <c r="O8139" t="str">
        <f t="shared" si="510"/>
        <v>High Balance</v>
      </c>
      <c r="P8139" t="str">
        <f t="shared" si="511"/>
        <v>Mid-term</v>
      </c>
    </row>
    <row r="8140" spans="1:16" x14ac:dyDescent="0.25">
      <c r="A8140">
        <v>2025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  <c r="M8140" t="str">
        <f t="shared" si="508"/>
        <v>30-45</v>
      </c>
      <c r="N8140" t="str">
        <f t="shared" si="509"/>
        <v>Medium</v>
      </c>
      <c r="O8140" t="str">
        <f t="shared" si="510"/>
        <v>High Balance</v>
      </c>
      <c r="P8140" t="str">
        <f t="shared" si="511"/>
        <v>Mid-term</v>
      </c>
    </row>
    <row r="8141" spans="1:16" x14ac:dyDescent="0.25">
      <c r="A8141">
        <v>2025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  <c r="M8141" t="str">
        <f t="shared" si="508"/>
        <v>30-45</v>
      </c>
      <c r="N8141" t="str">
        <f t="shared" si="509"/>
        <v>High</v>
      </c>
      <c r="O8141" t="str">
        <f t="shared" si="510"/>
        <v>High Balance</v>
      </c>
      <c r="P8141" t="str">
        <f t="shared" si="511"/>
        <v>New</v>
      </c>
    </row>
    <row r="8142" spans="1:16" x14ac:dyDescent="0.25">
      <c r="A8142">
        <v>2025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  <c r="M8142" t="str">
        <f t="shared" si="508"/>
        <v>30-45</v>
      </c>
      <c r="N8142" t="str">
        <f t="shared" si="509"/>
        <v>Medium</v>
      </c>
      <c r="O8142" t="str">
        <f t="shared" si="510"/>
        <v>Zero Balance</v>
      </c>
      <c r="P8142" t="str">
        <f t="shared" si="511"/>
        <v>Mid-term</v>
      </c>
    </row>
    <row r="8143" spans="1:16" x14ac:dyDescent="0.25">
      <c r="A8143">
        <v>2025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  <c r="M8143" t="str">
        <f t="shared" si="508"/>
        <v>&lt;30</v>
      </c>
      <c r="N8143" t="str">
        <f t="shared" si="509"/>
        <v>Low</v>
      </c>
      <c r="O8143" t="str">
        <f t="shared" si="510"/>
        <v>Zero Balance</v>
      </c>
      <c r="P8143" t="str">
        <f t="shared" si="511"/>
        <v>New</v>
      </c>
    </row>
    <row r="8144" spans="1:16" x14ac:dyDescent="0.25">
      <c r="A8144">
        <v>2025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  <c r="M8144" t="str">
        <f t="shared" si="508"/>
        <v>30-45</v>
      </c>
      <c r="N8144" t="str">
        <f t="shared" si="509"/>
        <v>Medium</v>
      </c>
      <c r="O8144" t="str">
        <f t="shared" si="510"/>
        <v>High Balance</v>
      </c>
      <c r="P8144" t="str">
        <f t="shared" si="511"/>
        <v>Mid-term</v>
      </c>
    </row>
    <row r="8145" spans="1:16" x14ac:dyDescent="0.25">
      <c r="A8145">
        <v>2025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  <c r="M8145" t="str">
        <f t="shared" si="508"/>
        <v>&lt;30</v>
      </c>
      <c r="N8145" t="str">
        <f t="shared" si="509"/>
        <v>Medium</v>
      </c>
      <c r="O8145" t="str">
        <f t="shared" si="510"/>
        <v>High Balance</v>
      </c>
      <c r="P8145" t="str">
        <f t="shared" si="511"/>
        <v>New</v>
      </c>
    </row>
    <row r="8146" spans="1:16" x14ac:dyDescent="0.25">
      <c r="A8146">
        <v>2025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  <c r="M8146" t="str">
        <f t="shared" si="508"/>
        <v>30-45</v>
      </c>
      <c r="N8146" t="str">
        <f t="shared" si="509"/>
        <v>Medium</v>
      </c>
      <c r="O8146" t="str">
        <f t="shared" si="510"/>
        <v>Low Balance</v>
      </c>
      <c r="P8146" t="str">
        <f t="shared" si="511"/>
        <v>New</v>
      </c>
    </row>
    <row r="8147" spans="1:16" x14ac:dyDescent="0.25">
      <c r="A8147">
        <v>2025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  <c r="M8147" t="str">
        <f t="shared" si="508"/>
        <v>30-45</v>
      </c>
      <c r="N8147" t="str">
        <f t="shared" si="509"/>
        <v>High</v>
      </c>
      <c r="O8147" t="str">
        <f t="shared" si="510"/>
        <v>Zero Balance</v>
      </c>
      <c r="P8147" t="str">
        <f t="shared" si="511"/>
        <v>Long-term</v>
      </c>
    </row>
    <row r="8148" spans="1:16" x14ac:dyDescent="0.25">
      <c r="A8148">
        <v>2025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  <c r="M8148" t="str">
        <f t="shared" si="508"/>
        <v>46-60</v>
      </c>
      <c r="N8148" t="str">
        <f t="shared" si="509"/>
        <v>High</v>
      </c>
      <c r="O8148" t="str">
        <f t="shared" si="510"/>
        <v>High Balance</v>
      </c>
      <c r="P8148" t="str">
        <f t="shared" si="511"/>
        <v>Mid-term</v>
      </c>
    </row>
    <row r="8149" spans="1:16" x14ac:dyDescent="0.25">
      <c r="A8149">
        <v>2025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  <c r="M8149" t="str">
        <f t="shared" si="508"/>
        <v>30-45</v>
      </c>
      <c r="N8149" t="str">
        <f t="shared" si="509"/>
        <v>Medium</v>
      </c>
      <c r="O8149" t="str">
        <f t="shared" si="510"/>
        <v>High Balance</v>
      </c>
      <c r="P8149" t="str">
        <f t="shared" si="511"/>
        <v>Long-term</v>
      </c>
    </row>
    <row r="8150" spans="1:16" x14ac:dyDescent="0.25">
      <c r="A8150">
        <v>2025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  <c r="M8150" t="str">
        <f t="shared" si="508"/>
        <v>46-60</v>
      </c>
      <c r="N8150" t="str">
        <f t="shared" si="509"/>
        <v>High</v>
      </c>
      <c r="O8150" t="str">
        <f t="shared" si="510"/>
        <v>Low Balance</v>
      </c>
      <c r="P8150" t="str">
        <f t="shared" si="511"/>
        <v>Mid-term</v>
      </c>
    </row>
    <row r="8151" spans="1:16" x14ac:dyDescent="0.25">
      <c r="A8151">
        <v>2025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  <c r="M8151" t="str">
        <f t="shared" si="508"/>
        <v>30-45</v>
      </c>
      <c r="N8151" t="str">
        <f t="shared" si="509"/>
        <v>Low</v>
      </c>
      <c r="O8151" t="str">
        <f t="shared" si="510"/>
        <v>Low Balance</v>
      </c>
      <c r="P8151" t="str">
        <f t="shared" si="511"/>
        <v>Long-term</v>
      </c>
    </row>
    <row r="8152" spans="1:16" x14ac:dyDescent="0.25">
      <c r="A8152">
        <v>2025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  <c r="M8152" t="str">
        <f t="shared" si="508"/>
        <v>&lt;30</v>
      </c>
      <c r="N8152" t="str">
        <f t="shared" si="509"/>
        <v>High</v>
      </c>
      <c r="O8152" t="str">
        <f t="shared" si="510"/>
        <v>High Balance</v>
      </c>
      <c r="P8152" t="str">
        <f t="shared" si="511"/>
        <v>Mid-term</v>
      </c>
    </row>
    <row r="8153" spans="1:16" x14ac:dyDescent="0.25">
      <c r="A8153">
        <v>2025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  <c r="M8153" t="str">
        <f t="shared" si="508"/>
        <v>30-45</v>
      </c>
      <c r="N8153" t="str">
        <f t="shared" si="509"/>
        <v>Medium</v>
      </c>
      <c r="O8153" t="str">
        <f t="shared" si="510"/>
        <v>Low Balance</v>
      </c>
      <c r="P8153" t="str">
        <f t="shared" si="511"/>
        <v>New</v>
      </c>
    </row>
    <row r="8154" spans="1:16" x14ac:dyDescent="0.25">
      <c r="A8154">
        <v>2025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  <c r="M8154" t="str">
        <f t="shared" si="508"/>
        <v>30-45</v>
      </c>
      <c r="N8154" t="str">
        <f t="shared" si="509"/>
        <v>Medium</v>
      </c>
      <c r="O8154" t="str">
        <f t="shared" si="510"/>
        <v>Zero Balance</v>
      </c>
      <c r="P8154" t="str">
        <f t="shared" si="511"/>
        <v>New</v>
      </c>
    </row>
    <row r="8155" spans="1:16" x14ac:dyDescent="0.25">
      <c r="A8155">
        <v>2025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  <c r="M8155" t="str">
        <f t="shared" si="508"/>
        <v>&lt;30</v>
      </c>
      <c r="N8155" t="str">
        <f t="shared" si="509"/>
        <v>Medium</v>
      </c>
      <c r="O8155" t="str">
        <f t="shared" si="510"/>
        <v>High Balance</v>
      </c>
      <c r="P8155" t="str">
        <f t="shared" si="511"/>
        <v>New</v>
      </c>
    </row>
    <row r="8156" spans="1:16" x14ac:dyDescent="0.25">
      <c r="A8156">
        <v>2025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  <c r="M8156" t="str">
        <f t="shared" si="508"/>
        <v>30-45</v>
      </c>
      <c r="N8156" t="str">
        <f t="shared" si="509"/>
        <v>Low</v>
      </c>
      <c r="O8156" t="str">
        <f t="shared" si="510"/>
        <v>Low Balance</v>
      </c>
      <c r="P8156" t="str">
        <f t="shared" si="511"/>
        <v>Mid-term</v>
      </c>
    </row>
    <row r="8157" spans="1:16" x14ac:dyDescent="0.25">
      <c r="A8157">
        <v>2025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  <c r="M8157" t="str">
        <f t="shared" si="508"/>
        <v>30-45</v>
      </c>
      <c r="N8157" t="str">
        <f t="shared" si="509"/>
        <v>High</v>
      </c>
      <c r="O8157" t="str">
        <f t="shared" si="510"/>
        <v>Zero Balance</v>
      </c>
      <c r="P8157" t="str">
        <f t="shared" si="511"/>
        <v>New</v>
      </c>
    </row>
    <row r="8158" spans="1:16" x14ac:dyDescent="0.25">
      <c r="A8158">
        <v>2025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  <c r="M8158" t="str">
        <f t="shared" si="508"/>
        <v>60+</v>
      </c>
      <c r="N8158" t="str">
        <f t="shared" si="509"/>
        <v>Low</v>
      </c>
      <c r="O8158" t="str">
        <f t="shared" si="510"/>
        <v>High Balance</v>
      </c>
      <c r="P8158" t="str">
        <f t="shared" si="511"/>
        <v>Long-term</v>
      </c>
    </row>
    <row r="8159" spans="1:16" x14ac:dyDescent="0.25">
      <c r="A8159">
        <v>2025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  <c r="M8159" t="str">
        <f t="shared" si="508"/>
        <v>30-45</v>
      </c>
      <c r="N8159" t="str">
        <f t="shared" si="509"/>
        <v>High</v>
      </c>
      <c r="O8159" t="str">
        <f t="shared" si="510"/>
        <v>Zero Balance</v>
      </c>
      <c r="P8159" t="str">
        <f t="shared" si="511"/>
        <v>Mid-term</v>
      </c>
    </row>
    <row r="8160" spans="1:16" x14ac:dyDescent="0.25">
      <c r="A8160">
        <v>2025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  <c r="M8160" t="str">
        <f t="shared" si="508"/>
        <v>30-45</v>
      </c>
      <c r="N8160" t="str">
        <f t="shared" si="509"/>
        <v>Medium</v>
      </c>
      <c r="O8160" t="str">
        <f t="shared" si="510"/>
        <v>Zero Balance</v>
      </c>
      <c r="P8160" t="str">
        <f t="shared" si="511"/>
        <v>New</v>
      </c>
    </row>
    <row r="8161" spans="1:16" x14ac:dyDescent="0.25">
      <c r="A8161">
        <v>2025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  <c r="M8161" t="str">
        <f t="shared" si="508"/>
        <v>&lt;30</v>
      </c>
      <c r="N8161" t="str">
        <f t="shared" si="509"/>
        <v>Low</v>
      </c>
      <c r="O8161" t="str">
        <f t="shared" si="510"/>
        <v>Zero Balance</v>
      </c>
      <c r="P8161" t="str">
        <f t="shared" si="511"/>
        <v>Mid-term</v>
      </c>
    </row>
    <row r="8162" spans="1:16" x14ac:dyDescent="0.25">
      <c r="A8162">
        <v>2025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  <c r="M8162" t="str">
        <f t="shared" si="508"/>
        <v>&lt;30</v>
      </c>
      <c r="N8162" t="str">
        <f t="shared" si="509"/>
        <v>High</v>
      </c>
      <c r="O8162" t="str">
        <f t="shared" si="510"/>
        <v>High Balance</v>
      </c>
      <c r="P8162" t="str">
        <f t="shared" si="511"/>
        <v>Mid-term</v>
      </c>
    </row>
    <row r="8163" spans="1:16" x14ac:dyDescent="0.25">
      <c r="A8163">
        <v>2025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  <c r="M8163" t="str">
        <f t="shared" si="508"/>
        <v>30-45</v>
      </c>
      <c r="N8163" t="str">
        <f t="shared" si="509"/>
        <v>Medium</v>
      </c>
      <c r="O8163" t="str">
        <f t="shared" si="510"/>
        <v>Low Balance</v>
      </c>
      <c r="P8163" t="str">
        <f t="shared" si="511"/>
        <v>Mid-term</v>
      </c>
    </row>
    <row r="8164" spans="1:16" x14ac:dyDescent="0.25">
      <c r="A8164">
        <v>2025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  <c r="M8164" t="str">
        <f t="shared" si="508"/>
        <v>&lt;30</v>
      </c>
      <c r="N8164" t="str">
        <f t="shared" si="509"/>
        <v>Medium</v>
      </c>
      <c r="O8164" t="str">
        <f t="shared" si="510"/>
        <v>High Balance</v>
      </c>
      <c r="P8164" t="str">
        <f t="shared" si="511"/>
        <v>Mid-term</v>
      </c>
    </row>
    <row r="8165" spans="1:16" x14ac:dyDescent="0.25">
      <c r="A8165">
        <v>2025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  <c r="M8165" t="str">
        <f t="shared" si="508"/>
        <v>46-60</v>
      </c>
      <c r="N8165" t="str">
        <f t="shared" si="509"/>
        <v>High</v>
      </c>
      <c r="O8165" t="str">
        <f t="shared" si="510"/>
        <v>High Balance</v>
      </c>
      <c r="P8165" t="str">
        <f t="shared" si="511"/>
        <v>New</v>
      </c>
    </row>
    <row r="8166" spans="1:16" x14ac:dyDescent="0.25">
      <c r="A8166">
        <v>2025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  <c r="M8166" t="str">
        <f t="shared" si="508"/>
        <v>30-45</v>
      </c>
      <c r="N8166" t="str">
        <f t="shared" si="509"/>
        <v>Medium</v>
      </c>
      <c r="O8166" t="str">
        <f t="shared" si="510"/>
        <v>Low Balance</v>
      </c>
      <c r="P8166" t="str">
        <f t="shared" si="511"/>
        <v>New</v>
      </c>
    </row>
    <row r="8167" spans="1:16" x14ac:dyDescent="0.25">
      <c r="A8167">
        <v>2025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  <c r="M8167" t="str">
        <f t="shared" si="508"/>
        <v>30-45</v>
      </c>
      <c r="N8167" t="str">
        <f t="shared" si="509"/>
        <v>Medium</v>
      </c>
      <c r="O8167" t="str">
        <f t="shared" si="510"/>
        <v>High Balance</v>
      </c>
      <c r="P8167" t="str">
        <f t="shared" si="511"/>
        <v>Long-term</v>
      </c>
    </row>
    <row r="8168" spans="1:16" x14ac:dyDescent="0.25">
      <c r="A8168">
        <v>2025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  <c r="M8168" t="str">
        <f t="shared" si="508"/>
        <v>30-45</v>
      </c>
      <c r="N8168" t="str">
        <f t="shared" si="509"/>
        <v>Medium</v>
      </c>
      <c r="O8168" t="str">
        <f t="shared" si="510"/>
        <v>Zero Balance</v>
      </c>
      <c r="P8168" t="str">
        <f t="shared" si="511"/>
        <v>Long-term</v>
      </c>
    </row>
    <row r="8169" spans="1:16" x14ac:dyDescent="0.25">
      <c r="A8169">
        <v>2025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  <c r="M8169" t="str">
        <f t="shared" si="508"/>
        <v>&lt;30</v>
      </c>
      <c r="N8169" t="str">
        <f t="shared" si="509"/>
        <v>High</v>
      </c>
      <c r="O8169" t="str">
        <f t="shared" si="510"/>
        <v>High Balance</v>
      </c>
      <c r="P8169" t="str">
        <f t="shared" si="511"/>
        <v>Mid-term</v>
      </c>
    </row>
    <row r="8170" spans="1:16" x14ac:dyDescent="0.25">
      <c r="A8170">
        <v>2025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  <c r="M8170" t="str">
        <f t="shared" si="508"/>
        <v>30-45</v>
      </c>
      <c r="N8170" t="str">
        <f t="shared" si="509"/>
        <v>Medium</v>
      </c>
      <c r="O8170" t="str">
        <f t="shared" si="510"/>
        <v>Zero Balance</v>
      </c>
      <c r="P8170" t="str">
        <f t="shared" si="511"/>
        <v>New</v>
      </c>
    </row>
    <row r="8171" spans="1:16" x14ac:dyDescent="0.25">
      <c r="A8171">
        <v>2025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  <c r="M8171" t="str">
        <f t="shared" si="508"/>
        <v>&lt;30</v>
      </c>
      <c r="N8171" t="str">
        <f t="shared" si="509"/>
        <v>Medium</v>
      </c>
      <c r="O8171" t="str">
        <f t="shared" si="510"/>
        <v>High Balance</v>
      </c>
      <c r="P8171" t="str">
        <f t="shared" si="511"/>
        <v>New</v>
      </c>
    </row>
    <row r="8172" spans="1:16" x14ac:dyDescent="0.25">
      <c r="A8172">
        <v>2025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  <c r="M8172" t="str">
        <f t="shared" si="508"/>
        <v>60+</v>
      </c>
      <c r="N8172" t="str">
        <f t="shared" si="509"/>
        <v>Medium</v>
      </c>
      <c r="O8172" t="str">
        <f t="shared" si="510"/>
        <v>High Balance</v>
      </c>
      <c r="P8172" t="str">
        <f t="shared" si="511"/>
        <v>New</v>
      </c>
    </row>
    <row r="8173" spans="1:16" x14ac:dyDescent="0.25">
      <c r="A8173">
        <v>2025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  <c r="M8173" t="str">
        <f t="shared" si="508"/>
        <v>30-45</v>
      </c>
      <c r="N8173" t="str">
        <f t="shared" si="509"/>
        <v>Low</v>
      </c>
      <c r="O8173" t="str">
        <f t="shared" si="510"/>
        <v>High Balance</v>
      </c>
      <c r="P8173" t="str">
        <f t="shared" si="511"/>
        <v>New</v>
      </c>
    </row>
    <row r="8174" spans="1:16" x14ac:dyDescent="0.25">
      <c r="A8174">
        <v>2025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  <c r="M8174" t="str">
        <f t="shared" si="508"/>
        <v>30-45</v>
      </c>
      <c r="N8174" t="str">
        <f t="shared" si="509"/>
        <v>High</v>
      </c>
      <c r="O8174" t="str">
        <f t="shared" si="510"/>
        <v>Zero Balance</v>
      </c>
      <c r="P8174" t="str">
        <f t="shared" si="511"/>
        <v>Long-term</v>
      </c>
    </row>
    <row r="8175" spans="1:16" x14ac:dyDescent="0.25">
      <c r="A8175">
        <v>2025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  <c r="M8175" t="str">
        <f t="shared" si="508"/>
        <v>30-45</v>
      </c>
      <c r="N8175" t="str">
        <f t="shared" si="509"/>
        <v>High</v>
      </c>
      <c r="O8175" t="str">
        <f t="shared" si="510"/>
        <v>High Balance</v>
      </c>
      <c r="P8175" t="str">
        <f t="shared" si="511"/>
        <v>New</v>
      </c>
    </row>
    <row r="8176" spans="1:16" x14ac:dyDescent="0.25">
      <c r="A8176">
        <v>2025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  <c r="M8176" t="str">
        <f t="shared" si="508"/>
        <v>30-45</v>
      </c>
      <c r="N8176" t="str">
        <f t="shared" si="509"/>
        <v>Medium</v>
      </c>
      <c r="O8176" t="str">
        <f t="shared" si="510"/>
        <v>High Balance</v>
      </c>
      <c r="P8176" t="str">
        <f t="shared" si="511"/>
        <v>New</v>
      </c>
    </row>
    <row r="8177" spans="1:16" x14ac:dyDescent="0.25">
      <c r="A8177">
        <v>2025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  <c r="M8177" t="str">
        <f t="shared" si="508"/>
        <v>&lt;30</v>
      </c>
      <c r="N8177" t="str">
        <f t="shared" si="509"/>
        <v>Medium</v>
      </c>
      <c r="O8177" t="str">
        <f t="shared" si="510"/>
        <v>High Balance</v>
      </c>
      <c r="P8177" t="str">
        <f t="shared" si="511"/>
        <v>Mid-term</v>
      </c>
    </row>
    <row r="8178" spans="1:16" x14ac:dyDescent="0.25">
      <c r="A8178">
        <v>2025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  <c r="M8178" t="str">
        <f t="shared" si="508"/>
        <v>30-45</v>
      </c>
      <c r="N8178" t="str">
        <f t="shared" si="509"/>
        <v>High</v>
      </c>
      <c r="O8178" t="str">
        <f t="shared" si="510"/>
        <v>High Balance</v>
      </c>
      <c r="P8178" t="str">
        <f t="shared" si="511"/>
        <v>New</v>
      </c>
    </row>
    <row r="8179" spans="1:16" x14ac:dyDescent="0.25">
      <c r="A8179">
        <v>2025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  <c r="M8179" t="str">
        <f t="shared" si="508"/>
        <v>30-45</v>
      </c>
      <c r="N8179" t="str">
        <f t="shared" si="509"/>
        <v>Medium</v>
      </c>
      <c r="O8179" t="str">
        <f t="shared" si="510"/>
        <v>High Balance</v>
      </c>
      <c r="P8179" t="str">
        <f t="shared" si="511"/>
        <v>Long-term</v>
      </c>
    </row>
    <row r="8180" spans="1:16" x14ac:dyDescent="0.25">
      <c r="A8180">
        <v>2025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  <c r="M8180" t="str">
        <f t="shared" si="508"/>
        <v>46-60</v>
      </c>
      <c r="N8180" t="str">
        <f t="shared" si="509"/>
        <v>High</v>
      </c>
      <c r="O8180" t="str">
        <f t="shared" si="510"/>
        <v>High Balance</v>
      </c>
      <c r="P8180" t="str">
        <f t="shared" si="511"/>
        <v>Mid-term</v>
      </c>
    </row>
    <row r="8181" spans="1:16" x14ac:dyDescent="0.25">
      <c r="A8181">
        <v>2025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  <c r="M8181" t="str">
        <f t="shared" si="508"/>
        <v>&lt;30</v>
      </c>
      <c r="N8181" t="str">
        <f t="shared" si="509"/>
        <v>Medium</v>
      </c>
      <c r="O8181" t="str">
        <f t="shared" si="510"/>
        <v>High Balance</v>
      </c>
      <c r="P8181" t="str">
        <f t="shared" si="511"/>
        <v>Long-term</v>
      </c>
    </row>
    <row r="8182" spans="1:16" x14ac:dyDescent="0.25">
      <c r="A8182">
        <v>2025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  <c r="M8182" t="str">
        <f t="shared" si="508"/>
        <v>30-45</v>
      </c>
      <c r="N8182" t="str">
        <f t="shared" si="509"/>
        <v>High</v>
      </c>
      <c r="O8182" t="str">
        <f t="shared" si="510"/>
        <v>High Balance</v>
      </c>
      <c r="P8182" t="str">
        <f t="shared" si="511"/>
        <v>New</v>
      </c>
    </row>
    <row r="8183" spans="1:16" x14ac:dyDescent="0.25">
      <c r="A8183">
        <v>2025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  <c r="M8183" t="str">
        <f t="shared" si="508"/>
        <v>&lt;30</v>
      </c>
      <c r="N8183" t="str">
        <f t="shared" si="509"/>
        <v>Medium</v>
      </c>
      <c r="O8183" t="str">
        <f t="shared" si="510"/>
        <v>High Balance</v>
      </c>
      <c r="P8183" t="str">
        <f t="shared" si="511"/>
        <v>Long-term</v>
      </c>
    </row>
    <row r="8184" spans="1:16" x14ac:dyDescent="0.25">
      <c r="A8184">
        <v>2025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  <c r="M8184" t="str">
        <f t="shared" si="508"/>
        <v>30-45</v>
      </c>
      <c r="N8184" t="str">
        <f t="shared" si="509"/>
        <v>Medium</v>
      </c>
      <c r="O8184" t="str">
        <f t="shared" si="510"/>
        <v>Zero Balance</v>
      </c>
      <c r="P8184" t="str">
        <f t="shared" si="511"/>
        <v>Mid-term</v>
      </c>
    </row>
    <row r="8185" spans="1:16" x14ac:dyDescent="0.25">
      <c r="A8185">
        <v>2025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  <c r="M8185" t="str">
        <f t="shared" si="508"/>
        <v>46-60</v>
      </c>
      <c r="N8185" t="str">
        <f t="shared" si="509"/>
        <v>Medium</v>
      </c>
      <c r="O8185" t="str">
        <f t="shared" si="510"/>
        <v>Zero Balance</v>
      </c>
      <c r="P8185" t="str">
        <f t="shared" si="511"/>
        <v>New</v>
      </c>
    </row>
    <row r="8186" spans="1:16" x14ac:dyDescent="0.25">
      <c r="A8186">
        <v>2025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  <c r="M8186" t="str">
        <f t="shared" si="508"/>
        <v>46-60</v>
      </c>
      <c r="N8186" t="str">
        <f t="shared" si="509"/>
        <v>Medium</v>
      </c>
      <c r="O8186" t="str">
        <f t="shared" si="510"/>
        <v>Zero Balance</v>
      </c>
      <c r="P8186" t="str">
        <f t="shared" si="511"/>
        <v>New</v>
      </c>
    </row>
    <row r="8187" spans="1:16" x14ac:dyDescent="0.25">
      <c r="A8187">
        <v>2025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  <c r="M8187" t="str">
        <f t="shared" si="508"/>
        <v>30-45</v>
      </c>
      <c r="N8187" t="str">
        <f t="shared" si="509"/>
        <v>High</v>
      </c>
      <c r="O8187" t="str">
        <f t="shared" si="510"/>
        <v>Low Balance</v>
      </c>
      <c r="P8187" t="str">
        <f t="shared" si="511"/>
        <v>Mid-term</v>
      </c>
    </row>
    <row r="8188" spans="1:16" x14ac:dyDescent="0.25">
      <c r="A8188">
        <v>2025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  <c r="M8188" t="str">
        <f t="shared" si="508"/>
        <v>30-45</v>
      </c>
      <c r="N8188" t="str">
        <f t="shared" si="509"/>
        <v>Medium</v>
      </c>
      <c r="O8188" t="str">
        <f t="shared" si="510"/>
        <v>Zero Balance</v>
      </c>
      <c r="P8188" t="str">
        <f t="shared" si="511"/>
        <v>New</v>
      </c>
    </row>
    <row r="8189" spans="1:16" x14ac:dyDescent="0.25">
      <c r="A8189">
        <v>2025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  <c r="M8189" t="str">
        <f t="shared" si="508"/>
        <v>30-45</v>
      </c>
      <c r="N8189" t="str">
        <f t="shared" si="509"/>
        <v>Medium</v>
      </c>
      <c r="O8189" t="str">
        <f t="shared" si="510"/>
        <v>High Balance</v>
      </c>
      <c r="P8189" t="str">
        <f t="shared" si="511"/>
        <v>Mid-term</v>
      </c>
    </row>
    <row r="8190" spans="1:16" x14ac:dyDescent="0.25">
      <c r="A8190">
        <v>2025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  <c r="M8190" t="str">
        <f t="shared" si="508"/>
        <v>46-60</v>
      </c>
      <c r="N8190" t="str">
        <f t="shared" si="509"/>
        <v>Medium</v>
      </c>
      <c r="O8190" t="str">
        <f t="shared" si="510"/>
        <v>High Balance</v>
      </c>
      <c r="P8190" t="str">
        <f t="shared" si="511"/>
        <v>New</v>
      </c>
    </row>
    <row r="8191" spans="1:16" x14ac:dyDescent="0.25">
      <c r="A8191">
        <v>2025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  <c r="M8191" t="str">
        <f t="shared" si="508"/>
        <v>&lt;30</v>
      </c>
      <c r="N8191" t="str">
        <f t="shared" si="509"/>
        <v>High</v>
      </c>
      <c r="O8191" t="str">
        <f t="shared" si="510"/>
        <v>Zero Balance</v>
      </c>
      <c r="P8191" t="str">
        <f t="shared" si="511"/>
        <v>Long-term</v>
      </c>
    </row>
    <row r="8192" spans="1:16" x14ac:dyDescent="0.25">
      <c r="A8192">
        <v>2025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  <c r="M8192" t="str">
        <f t="shared" si="508"/>
        <v>46-60</v>
      </c>
      <c r="N8192" t="str">
        <f t="shared" si="509"/>
        <v>Medium</v>
      </c>
      <c r="O8192" t="str">
        <f t="shared" si="510"/>
        <v>Zero Balance</v>
      </c>
      <c r="P8192" t="str">
        <f t="shared" si="511"/>
        <v>New</v>
      </c>
    </row>
    <row r="8193" spans="1:16" x14ac:dyDescent="0.25">
      <c r="A8193">
        <v>2025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  <c r="M8193" t="str">
        <f t="shared" si="508"/>
        <v>30-45</v>
      </c>
      <c r="N8193" t="str">
        <f t="shared" si="509"/>
        <v>Medium</v>
      </c>
      <c r="O8193" t="str">
        <f t="shared" si="510"/>
        <v>High Balance</v>
      </c>
      <c r="P8193" t="str">
        <f t="shared" si="511"/>
        <v>Long-term</v>
      </c>
    </row>
    <row r="8194" spans="1:16" x14ac:dyDescent="0.25">
      <c r="A8194">
        <v>2025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  <c r="M8194" t="str">
        <f t="shared" si="508"/>
        <v>30-45</v>
      </c>
      <c r="N8194" t="str">
        <f t="shared" si="509"/>
        <v>Medium</v>
      </c>
      <c r="O8194" t="str">
        <f t="shared" si="510"/>
        <v>High Balance</v>
      </c>
      <c r="P8194" t="str">
        <f t="shared" si="511"/>
        <v>Long-term</v>
      </c>
    </row>
    <row r="8195" spans="1:16" x14ac:dyDescent="0.25">
      <c r="A8195">
        <v>2025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  <c r="M8195" t="str">
        <f t="shared" ref="M8195:M8258" si="512">IF(E8195&lt;30,"&lt;30",IF(E8195&lt;=45,"30-45",IF(E8195&lt;=60,"46-60","60+")))</f>
        <v>60+</v>
      </c>
      <c r="N8195" t="str">
        <f t="shared" ref="N8195:N8258" si="513">IF(B8195&lt;500,"Low",IF(B8195&lt;700,"Medium","High"))</f>
        <v>Medium</v>
      </c>
      <c r="O8195" t="str">
        <f t="shared" ref="O8195:O8258" si="514">IF(G8195=0,"Zero Balance",IF(G8195&lt;100000,"Low Balance","High Balance"))</f>
        <v>High Balance</v>
      </c>
      <c r="P8195" t="str">
        <f t="shared" ref="P8195:P8258" si="515">IF(F8195&lt;=3,"New",IF(F8195&lt;=7,"Mid-term","Long-term"))</f>
        <v>Mid-term</v>
      </c>
    </row>
    <row r="8196" spans="1:16" x14ac:dyDescent="0.25">
      <c r="A8196">
        <v>2025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  <c r="M8196" t="str">
        <f t="shared" si="512"/>
        <v>30-45</v>
      </c>
      <c r="N8196" t="str">
        <f t="shared" si="513"/>
        <v>Medium</v>
      </c>
      <c r="O8196" t="str">
        <f t="shared" si="514"/>
        <v>High Balance</v>
      </c>
      <c r="P8196" t="str">
        <f t="shared" si="515"/>
        <v>Mid-term</v>
      </c>
    </row>
    <row r="8197" spans="1:16" x14ac:dyDescent="0.25">
      <c r="A8197">
        <v>2025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  <c r="M8197" t="str">
        <f t="shared" si="512"/>
        <v>46-60</v>
      </c>
      <c r="N8197" t="str">
        <f t="shared" si="513"/>
        <v>Medium</v>
      </c>
      <c r="O8197" t="str">
        <f t="shared" si="514"/>
        <v>High Balance</v>
      </c>
      <c r="P8197" t="str">
        <f t="shared" si="515"/>
        <v>Mid-term</v>
      </c>
    </row>
    <row r="8198" spans="1:16" x14ac:dyDescent="0.25">
      <c r="A8198">
        <v>2025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  <c r="M8198" t="str">
        <f t="shared" si="512"/>
        <v>30-45</v>
      </c>
      <c r="N8198" t="str">
        <f t="shared" si="513"/>
        <v>Medium</v>
      </c>
      <c r="O8198" t="str">
        <f t="shared" si="514"/>
        <v>High Balance</v>
      </c>
      <c r="P8198" t="str">
        <f t="shared" si="515"/>
        <v>New</v>
      </c>
    </row>
    <row r="8199" spans="1:16" x14ac:dyDescent="0.25">
      <c r="A8199">
        <v>2025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  <c r="M8199" t="str">
        <f t="shared" si="512"/>
        <v>46-60</v>
      </c>
      <c r="N8199" t="str">
        <f t="shared" si="513"/>
        <v>Medium</v>
      </c>
      <c r="O8199" t="str">
        <f t="shared" si="514"/>
        <v>High Balance</v>
      </c>
      <c r="P8199" t="str">
        <f t="shared" si="515"/>
        <v>Mid-term</v>
      </c>
    </row>
    <row r="8200" spans="1:16" x14ac:dyDescent="0.25">
      <c r="A8200">
        <v>2025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  <c r="M8200" t="str">
        <f t="shared" si="512"/>
        <v>30-45</v>
      </c>
      <c r="N8200" t="str">
        <f t="shared" si="513"/>
        <v>Medium</v>
      </c>
      <c r="O8200" t="str">
        <f t="shared" si="514"/>
        <v>High Balance</v>
      </c>
      <c r="P8200" t="str">
        <f t="shared" si="515"/>
        <v>New</v>
      </c>
    </row>
    <row r="8201" spans="1:16" x14ac:dyDescent="0.25">
      <c r="A8201">
        <v>2025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  <c r="M8201" t="str">
        <f t="shared" si="512"/>
        <v>30-45</v>
      </c>
      <c r="N8201" t="str">
        <f t="shared" si="513"/>
        <v>High</v>
      </c>
      <c r="O8201" t="str">
        <f t="shared" si="514"/>
        <v>High Balance</v>
      </c>
      <c r="P8201" t="str">
        <f t="shared" si="515"/>
        <v>Long-term</v>
      </c>
    </row>
    <row r="8202" spans="1:16" x14ac:dyDescent="0.25">
      <c r="A8202">
        <v>2025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  <c r="M8202" t="str">
        <f t="shared" si="512"/>
        <v>46-60</v>
      </c>
      <c r="N8202" t="str">
        <f t="shared" si="513"/>
        <v>High</v>
      </c>
      <c r="O8202" t="str">
        <f t="shared" si="514"/>
        <v>Zero Balance</v>
      </c>
      <c r="P8202" t="str">
        <f t="shared" si="515"/>
        <v>Mid-term</v>
      </c>
    </row>
    <row r="8203" spans="1:16" x14ac:dyDescent="0.25">
      <c r="A8203">
        <v>2025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  <c r="M8203" t="str">
        <f t="shared" si="512"/>
        <v>46-60</v>
      </c>
      <c r="N8203" t="str">
        <f t="shared" si="513"/>
        <v>High</v>
      </c>
      <c r="O8203" t="str">
        <f t="shared" si="514"/>
        <v>Low Balance</v>
      </c>
      <c r="P8203" t="str">
        <f t="shared" si="515"/>
        <v>Long-term</v>
      </c>
    </row>
    <row r="8204" spans="1:16" x14ac:dyDescent="0.25">
      <c r="A8204">
        <v>2025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  <c r="M8204" t="str">
        <f t="shared" si="512"/>
        <v>&lt;30</v>
      </c>
      <c r="N8204" t="str">
        <f t="shared" si="513"/>
        <v>Medium</v>
      </c>
      <c r="O8204" t="str">
        <f t="shared" si="514"/>
        <v>Zero Balance</v>
      </c>
      <c r="P8204" t="str">
        <f t="shared" si="515"/>
        <v>Mid-term</v>
      </c>
    </row>
    <row r="8205" spans="1:16" x14ac:dyDescent="0.25">
      <c r="A8205">
        <v>2025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  <c r="M8205" t="str">
        <f t="shared" si="512"/>
        <v>30-45</v>
      </c>
      <c r="N8205" t="str">
        <f t="shared" si="513"/>
        <v>High</v>
      </c>
      <c r="O8205" t="str">
        <f t="shared" si="514"/>
        <v>High Balance</v>
      </c>
      <c r="P8205" t="str">
        <f t="shared" si="515"/>
        <v>Mid-term</v>
      </c>
    </row>
    <row r="8206" spans="1:16" x14ac:dyDescent="0.25">
      <c r="A8206">
        <v>2025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  <c r="M8206" t="str">
        <f t="shared" si="512"/>
        <v>30-45</v>
      </c>
      <c r="N8206" t="str">
        <f t="shared" si="513"/>
        <v>High</v>
      </c>
      <c r="O8206" t="str">
        <f t="shared" si="514"/>
        <v>High Balance</v>
      </c>
      <c r="P8206" t="str">
        <f t="shared" si="515"/>
        <v>New</v>
      </c>
    </row>
    <row r="8207" spans="1:16" x14ac:dyDescent="0.25">
      <c r="A8207">
        <v>2025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  <c r="M8207" t="str">
        <f t="shared" si="512"/>
        <v>30-45</v>
      </c>
      <c r="N8207" t="str">
        <f t="shared" si="513"/>
        <v>Low</v>
      </c>
      <c r="O8207" t="str">
        <f t="shared" si="514"/>
        <v>High Balance</v>
      </c>
      <c r="P8207" t="str">
        <f t="shared" si="515"/>
        <v>Mid-term</v>
      </c>
    </row>
    <row r="8208" spans="1:16" x14ac:dyDescent="0.25">
      <c r="A8208">
        <v>2025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  <c r="M8208" t="str">
        <f t="shared" si="512"/>
        <v>30-45</v>
      </c>
      <c r="N8208" t="str">
        <f t="shared" si="513"/>
        <v>Medium</v>
      </c>
      <c r="O8208" t="str">
        <f t="shared" si="514"/>
        <v>Zero Balance</v>
      </c>
      <c r="P8208" t="str">
        <f t="shared" si="515"/>
        <v>Mid-term</v>
      </c>
    </row>
    <row r="8209" spans="1:16" x14ac:dyDescent="0.25">
      <c r="A8209">
        <v>2025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  <c r="M8209" t="str">
        <f t="shared" si="512"/>
        <v>60+</v>
      </c>
      <c r="N8209" t="str">
        <f t="shared" si="513"/>
        <v>Medium</v>
      </c>
      <c r="O8209" t="str">
        <f t="shared" si="514"/>
        <v>High Balance</v>
      </c>
      <c r="P8209" t="str">
        <f t="shared" si="515"/>
        <v>New</v>
      </c>
    </row>
    <row r="8210" spans="1:16" x14ac:dyDescent="0.25">
      <c r="A8210">
        <v>2025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  <c r="M8210" t="str">
        <f t="shared" si="512"/>
        <v>&lt;30</v>
      </c>
      <c r="N8210" t="str">
        <f t="shared" si="513"/>
        <v>High</v>
      </c>
      <c r="O8210" t="str">
        <f t="shared" si="514"/>
        <v>High Balance</v>
      </c>
      <c r="P8210" t="str">
        <f t="shared" si="515"/>
        <v>New</v>
      </c>
    </row>
    <row r="8211" spans="1:16" x14ac:dyDescent="0.25">
      <c r="A8211">
        <v>2025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  <c r="M8211" t="str">
        <f t="shared" si="512"/>
        <v>30-45</v>
      </c>
      <c r="N8211" t="str">
        <f t="shared" si="513"/>
        <v>High</v>
      </c>
      <c r="O8211" t="str">
        <f t="shared" si="514"/>
        <v>Low Balance</v>
      </c>
      <c r="P8211" t="str">
        <f t="shared" si="515"/>
        <v>Mid-term</v>
      </c>
    </row>
    <row r="8212" spans="1:16" x14ac:dyDescent="0.25">
      <c r="A8212">
        <v>2025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  <c r="M8212" t="str">
        <f t="shared" si="512"/>
        <v>30-45</v>
      </c>
      <c r="N8212" t="str">
        <f t="shared" si="513"/>
        <v>High</v>
      </c>
      <c r="O8212" t="str">
        <f t="shared" si="514"/>
        <v>Zero Balance</v>
      </c>
      <c r="P8212" t="str">
        <f t="shared" si="515"/>
        <v>Mid-term</v>
      </c>
    </row>
    <row r="8213" spans="1:16" x14ac:dyDescent="0.25">
      <c r="A8213">
        <v>2025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  <c r="M8213" t="str">
        <f t="shared" si="512"/>
        <v>30-45</v>
      </c>
      <c r="N8213" t="str">
        <f t="shared" si="513"/>
        <v>Medium</v>
      </c>
      <c r="O8213" t="str">
        <f t="shared" si="514"/>
        <v>High Balance</v>
      </c>
      <c r="P8213" t="str">
        <f t="shared" si="515"/>
        <v>New</v>
      </c>
    </row>
    <row r="8214" spans="1:16" x14ac:dyDescent="0.25">
      <c r="A8214">
        <v>2025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  <c r="M8214" t="str">
        <f t="shared" si="512"/>
        <v>30-45</v>
      </c>
      <c r="N8214" t="str">
        <f t="shared" si="513"/>
        <v>Medium</v>
      </c>
      <c r="O8214" t="str">
        <f t="shared" si="514"/>
        <v>Zero Balance</v>
      </c>
      <c r="P8214" t="str">
        <f t="shared" si="515"/>
        <v>Mid-term</v>
      </c>
    </row>
    <row r="8215" spans="1:16" x14ac:dyDescent="0.25">
      <c r="A8215">
        <v>2025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  <c r="M8215" t="str">
        <f t="shared" si="512"/>
        <v>30-45</v>
      </c>
      <c r="N8215" t="str">
        <f t="shared" si="513"/>
        <v>Medium</v>
      </c>
      <c r="O8215" t="str">
        <f t="shared" si="514"/>
        <v>High Balance</v>
      </c>
      <c r="P8215" t="str">
        <f t="shared" si="515"/>
        <v>New</v>
      </c>
    </row>
    <row r="8216" spans="1:16" x14ac:dyDescent="0.25">
      <c r="A8216">
        <v>2025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  <c r="M8216" t="str">
        <f t="shared" si="512"/>
        <v>30-45</v>
      </c>
      <c r="N8216" t="str">
        <f t="shared" si="513"/>
        <v>High</v>
      </c>
      <c r="O8216" t="str">
        <f t="shared" si="514"/>
        <v>High Balance</v>
      </c>
      <c r="P8216" t="str">
        <f t="shared" si="515"/>
        <v>Mid-term</v>
      </c>
    </row>
    <row r="8217" spans="1:16" x14ac:dyDescent="0.25">
      <c r="A8217">
        <v>2025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  <c r="M8217" t="str">
        <f t="shared" si="512"/>
        <v>60+</v>
      </c>
      <c r="N8217" t="str">
        <f t="shared" si="513"/>
        <v>Medium</v>
      </c>
      <c r="O8217" t="str">
        <f t="shared" si="514"/>
        <v>Low Balance</v>
      </c>
      <c r="P8217" t="str">
        <f t="shared" si="515"/>
        <v>Mid-term</v>
      </c>
    </row>
    <row r="8218" spans="1:16" x14ac:dyDescent="0.25">
      <c r="A8218">
        <v>2025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  <c r="M8218" t="str">
        <f t="shared" si="512"/>
        <v>30-45</v>
      </c>
      <c r="N8218" t="str">
        <f t="shared" si="513"/>
        <v>High</v>
      </c>
      <c r="O8218" t="str">
        <f t="shared" si="514"/>
        <v>High Balance</v>
      </c>
      <c r="P8218" t="str">
        <f t="shared" si="515"/>
        <v>Mid-term</v>
      </c>
    </row>
    <row r="8219" spans="1:16" x14ac:dyDescent="0.25">
      <c r="A8219">
        <v>2025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  <c r="M8219" t="str">
        <f t="shared" si="512"/>
        <v>60+</v>
      </c>
      <c r="N8219" t="str">
        <f t="shared" si="513"/>
        <v>Medium</v>
      </c>
      <c r="O8219" t="str">
        <f t="shared" si="514"/>
        <v>Low Balance</v>
      </c>
      <c r="P8219" t="str">
        <f t="shared" si="515"/>
        <v>New</v>
      </c>
    </row>
    <row r="8220" spans="1:16" x14ac:dyDescent="0.25">
      <c r="A8220">
        <v>2025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  <c r="M8220" t="str">
        <f t="shared" si="512"/>
        <v>30-45</v>
      </c>
      <c r="N8220" t="str">
        <f t="shared" si="513"/>
        <v>Medium</v>
      </c>
      <c r="O8220" t="str">
        <f t="shared" si="514"/>
        <v>Zero Balance</v>
      </c>
      <c r="P8220" t="str">
        <f t="shared" si="515"/>
        <v>Long-term</v>
      </c>
    </row>
    <row r="8221" spans="1:16" x14ac:dyDescent="0.25">
      <c r="A8221">
        <v>2025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  <c r="M8221" t="str">
        <f t="shared" si="512"/>
        <v>30-45</v>
      </c>
      <c r="N8221" t="str">
        <f t="shared" si="513"/>
        <v>Medium</v>
      </c>
      <c r="O8221" t="str">
        <f t="shared" si="514"/>
        <v>Zero Balance</v>
      </c>
      <c r="P8221" t="str">
        <f t="shared" si="515"/>
        <v>New</v>
      </c>
    </row>
    <row r="8222" spans="1:16" x14ac:dyDescent="0.25">
      <c r="A8222">
        <v>2025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  <c r="M8222" t="str">
        <f t="shared" si="512"/>
        <v>30-45</v>
      </c>
      <c r="N8222" t="str">
        <f t="shared" si="513"/>
        <v>Medium</v>
      </c>
      <c r="O8222" t="str">
        <f t="shared" si="514"/>
        <v>High Balance</v>
      </c>
      <c r="P8222" t="str">
        <f t="shared" si="515"/>
        <v>Mid-term</v>
      </c>
    </row>
    <row r="8223" spans="1:16" x14ac:dyDescent="0.25">
      <c r="A8223">
        <v>2025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  <c r="M8223" t="str">
        <f t="shared" si="512"/>
        <v>46-60</v>
      </c>
      <c r="N8223" t="str">
        <f t="shared" si="513"/>
        <v>Low</v>
      </c>
      <c r="O8223" t="str">
        <f t="shared" si="514"/>
        <v>High Balance</v>
      </c>
      <c r="P8223" t="str">
        <f t="shared" si="515"/>
        <v>Mid-term</v>
      </c>
    </row>
    <row r="8224" spans="1:16" x14ac:dyDescent="0.25">
      <c r="A8224">
        <v>2025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  <c r="M8224" t="str">
        <f t="shared" si="512"/>
        <v>&lt;30</v>
      </c>
      <c r="N8224" t="str">
        <f t="shared" si="513"/>
        <v>Medium</v>
      </c>
      <c r="O8224" t="str">
        <f t="shared" si="514"/>
        <v>High Balance</v>
      </c>
      <c r="P8224" t="str">
        <f t="shared" si="515"/>
        <v>Mid-term</v>
      </c>
    </row>
    <row r="8225" spans="1:16" x14ac:dyDescent="0.25">
      <c r="A8225">
        <v>2025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  <c r="M8225" t="str">
        <f t="shared" si="512"/>
        <v>&lt;30</v>
      </c>
      <c r="N8225" t="str">
        <f t="shared" si="513"/>
        <v>Low</v>
      </c>
      <c r="O8225" t="str">
        <f t="shared" si="514"/>
        <v>Low Balance</v>
      </c>
      <c r="P8225" t="str">
        <f t="shared" si="515"/>
        <v>New</v>
      </c>
    </row>
    <row r="8226" spans="1:16" x14ac:dyDescent="0.25">
      <c r="A8226">
        <v>2025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  <c r="M8226" t="str">
        <f t="shared" si="512"/>
        <v>46-60</v>
      </c>
      <c r="N8226" t="str">
        <f t="shared" si="513"/>
        <v>High</v>
      </c>
      <c r="O8226" t="str">
        <f t="shared" si="514"/>
        <v>Zero Balance</v>
      </c>
      <c r="P8226" t="str">
        <f t="shared" si="515"/>
        <v>New</v>
      </c>
    </row>
    <row r="8227" spans="1:16" x14ac:dyDescent="0.25">
      <c r="A8227">
        <v>2025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  <c r="M8227" t="str">
        <f t="shared" si="512"/>
        <v>46-60</v>
      </c>
      <c r="N8227" t="str">
        <f t="shared" si="513"/>
        <v>Medium</v>
      </c>
      <c r="O8227" t="str">
        <f t="shared" si="514"/>
        <v>High Balance</v>
      </c>
      <c r="P8227" t="str">
        <f t="shared" si="515"/>
        <v>New</v>
      </c>
    </row>
    <row r="8228" spans="1:16" x14ac:dyDescent="0.25">
      <c r="A8228">
        <v>2025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  <c r="M8228" t="str">
        <f t="shared" si="512"/>
        <v>30-45</v>
      </c>
      <c r="N8228" t="str">
        <f t="shared" si="513"/>
        <v>High</v>
      </c>
      <c r="O8228" t="str">
        <f t="shared" si="514"/>
        <v>High Balance</v>
      </c>
      <c r="P8228" t="str">
        <f t="shared" si="515"/>
        <v>New</v>
      </c>
    </row>
    <row r="8229" spans="1:16" x14ac:dyDescent="0.25">
      <c r="A8229">
        <v>2025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  <c r="M8229" t="str">
        <f t="shared" si="512"/>
        <v>30-45</v>
      </c>
      <c r="N8229" t="str">
        <f t="shared" si="513"/>
        <v>High</v>
      </c>
      <c r="O8229" t="str">
        <f t="shared" si="514"/>
        <v>Zero Balance</v>
      </c>
      <c r="P8229" t="str">
        <f t="shared" si="515"/>
        <v>New</v>
      </c>
    </row>
    <row r="8230" spans="1:16" x14ac:dyDescent="0.25">
      <c r="A8230">
        <v>2025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  <c r="M8230" t="str">
        <f t="shared" si="512"/>
        <v>30-45</v>
      </c>
      <c r="N8230" t="str">
        <f t="shared" si="513"/>
        <v>Medium</v>
      </c>
      <c r="O8230" t="str">
        <f t="shared" si="514"/>
        <v>High Balance</v>
      </c>
      <c r="P8230" t="str">
        <f t="shared" si="515"/>
        <v>Long-term</v>
      </c>
    </row>
    <row r="8231" spans="1:16" x14ac:dyDescent="0.25">
      <c r="A8231">
        <v>2025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  <c r="M8231" t="str">
        <f t="shared" si="512"/>
        <v>30-45</v>
      </c>
      <c r="N8231" t="str">
        <f t="shared" si="513"/>
        <v>Medium</v>
      </c>
      <c r="O8231" t="str">
        <f t="shared" si="514"/>
        <v>Low Balance</v>
      </c>
      <c r="P8231" t="str">
        <f t="shared" si="515"/>
        <v>Mid-term</v>
      </c>
    </row>
    <row r="8232" spans="1:16" x14ac:dyDescent="0.25">
      <c r="A8232">
        <v>2025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  <c r="M8232" t="str">
        <f t="shared" si="512"/>
        <v>30-45</v>
      </c>
      <c r="N8232" t="str">
        <f t="shared" si="513"/>
        <v>High</v>
      </c>
      <c r="O8232" t="str">
        <f t="shared" si="514"/>
        <v>High Balance</v>
      </c>
      <c r="P8232" t="str">
        <f t="shared" si="515"/>
        <v>Mid-term</v>
      </c>
    </row>
    <row r="8233" spans="1:16" x14ac:dyDescent="0.25">
      <c r="A8233">
        <v>2025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  <c r="M8233" t="str">
        <f t="shared" si="512"/>
        <v>30-45</v>
      </c>
      <c r="N8233" t="str">
        <f t="shared" si="513"/>
        <v>High</v>
      </c>
      <c r="O8233" t="str">
        <f t="shared" si="514"/>
        <v>High Balance</v>
      </c>
      <c r="P8233" t="str">
        <f t="shared" si="515"/>
        <v>New</v>
      </c>
    </row>
    <row r="8234" spans="1:16" x14ac:dyDescent="0.25">
      <c r="A8234">
        <v>2025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  <c r="M8234" t="str">
        <f t="shared" si="512"/>
        <v>&lt;30</v>
      </c>
      <c r="N8234" t="str">
        <f t="shared" si="513"/>
        <v>Medium</v>
      </c>
      <c r="O8234" t="str">
        <f t="shared" si="514"/>
        <v>High Balance</v>
      </c>
      <c r="P8234" t="str">
        <f t="shared" si="515"/>
        <v>Long-term</v>
      </c>
    </row>
    <row r="8235" spans="1:16" x14ac:dyDescent="0.25">
      <c r="A8235">
        <v>2025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  <c r="M8235" t="str">
        <f t="shared" si="512"/>
        <v>30-45</v>
      </c>
      <c r="N8235" t="str">
        <f t="shared" si="513"/>
        <v>Medium</v>
      </c>
      <c r="O8235" t="str">
        <f t="shared" si="514"/>
        <v>Low Balance</v>
      </c>
      <c r="P8235" t="str">
        <f t="shared" si="515"/>
        <v>Mid-term</v>
      </c>
    </row>
    <row r="8236" spans="1:16" x14ac:dyDescent="0.25">
      <c r="A8236">
        <v>2025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  <c r="M8236" t="str">
        <f t="shared" si="512"/>
        <v>46-60</v>
      </c>
      <c r="N8236" t="str">
        <f t="shared" si="513"/>
        <v>High</v>
      </c>
      <c r="O8236" t="str">
        <f t="shared" si="514"/>
        <v>High Balance</v>
      </c>
      <c r="P8236" t="str">
        <f t="shared" si="515"/>
        <v>Long-term</v>
      </c>
    </row>
    <row r="8237" spans="1:16" x14ac:dyDescent="0.25">
      <c r="A8237">
        <v>2025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  <c r="M8237" t="str">
        <f t="shared" si="512"/>
        <v>30-45</v>
      </c>
      <c r="N8237" t="str">
        <f t="shared" si="513"/>
        <v>Medium</v>
      </c>
      <c r="O8237" t="str">
        <f t="shared" si="514"/>
        <v>High Balance</v>
      </c>
      <c r="P8237" t="str">
        <f t="shared" si="515"/>
        <v>Long-term</v>
      </c>
    </row>
    <row r="8238" spans="1:16" x14ac:dyDescent="0.25">
      <c r="A8238">
        <v>2025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  <c r="M8238" t="str">
        <f t="shared" si="512"/>
        <v>30-45</v>
      </c>
      <c r="N8238" t="str">
        <f t="shared" si="513"/>
        <v>Medium</v>
      </c>
      <c r="O8238" t="str">
        <f t="shared" si="514"/>
        <v>High Balance</v>
      </c>
      <c r="P8238" t="str">
        <f t="shared" si="515"/>
        <v>New</v>
      </c>
    </row>
    <row r="8239" spans="1:16" x14ac:dyDescent="0.25">
      <c r="A8239">
        <v>2025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  <c r="M8239" t="str">
        <f t="shared" si="512"/>
        <v>30-45</v>
      </c>
      <c r="N8239" t="str">
        <f t="shared" si="513"/>
        <v>Medium</v>
      </c>
      <c r="O8239" t="str">
        <f t="shared" si="514"/>
        <v>High Balance</v>
      </c>
      <c r="P8239" t="str">
        <f t="shared" si="515"/>
        <v>New</v>
      </c>
    </row>
    <row r="8240" spans="1:16" x14ac:dyDescent="0.25">
      <c r="A8240">
        <v>2025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  <c r="M8240" t="str">
        <f t="shared" si="512"/>
        <v>30-45</v>
      </c>
      <c r="N8240" t="str">
        <f t="shared" si="513"/>
        <v>Medium</v>
      </c>
      <c r="O8240" t="str">
        <f t="shared" si="514"/>
        <v>Zero Balance</v>
      </c>
      <c r="P8240" t="str">
        <f t="shared" si="515"/>
        <v>Mid-term</v>
      </c>
    </row>
    <row r="8241" spans="1:16" x14ac:dyDescent="0.25">
      <c r="A8241">
        <v>2025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  <c r="M8241" t="str">
        <f t="shared" si="512"/>
        <v>30-45</v>
      </c>
      <c r="N8241" t="str">
        <f t="shared" si="513"/>
        <v>Medium</v>
      </c>
      <c r="O8241" t="str">
        <f t="shared" si="514"/>
        <v>High Balance</v>
      </c>
      <c r="P8241" t="str">
        <f t="shared" si="515"/>
        <v>Mid-term</v>
      </c>
    </row>
    <row r="8242" spans="1:16" x14ac:dyDescent="0.25">
      <c r="A8242">
        <v>2025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  <c r="M8242" t="str">
        <f t="shared" si="512"/>
        <v>46-60</v>
      </c>
      <c r="N8242" t="str">
        <f t="shared" si="513"/>
        <v>High</v>
      </c>
      <c r="O8242" t="str">
        <f t="shared" si="514"/>
        <v>High Balance</v>
      </c>
      <c r="P8242" t="str">
        <f t="shared" si="515"/>
        <v>Long-term</v>
      </c>
    </row>
    <row r="8243" spans="1:16" x14ac:dyDescent="0.25">
      <c r="A8243">
        <v>2025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  <c r="M8243" t="str">
        <f t="shared" si="512"/>
        <v>30-45</v>
      </c>
      <c r="N8243" t="str">
        <f t="shared" si="513"/>
        <v>Medium</v>
      </c>
      <c r="O8243" t="str">
        <f t="shared" si="514"/>
        <v>Zero Balance</v>
      </c>
      <c r="P8243" t="str">
        <f t="shared" si="515"/>
        <v>Long-term</v>
      </c>
    </row>
    <row r="8244" spans="1:16" x14ac:dyDescent="0.25">
      <c r="A8244">
        <v>2025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  <c r="M8244" t="str">
        <f t="shared" si="512"/>
        <v>46-60</v>
      </c>
      <c r="N8244" t="str">
        <f t="shared" si="513"/>
        <v>Low</v>
      </c>
      <c r="O8244" t="str">
        <f t="shared" si="514"/>
        <v>Zero Balance</v>
      </c>
      <c r="P8244" t="str">
        <f t="shared" si="515"/>
        <v>New</v>
      </c>
    </row>
    <row r="8245" spans="1:16" x14ac:dyDescent="0.25">
      <c r="A8245">
        <v>2025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  <c r="M8245" t="str">
        <f t="shared" si="512"/>
        <v>&lt;30</v>
      </c>
      <c r="N8245" t="str">
        <f t="shared" si="513"/>
        <v>High</v>
      </c>
      <c r="O8245" t="str">
        <f t="shared" si="514"/>
        <v>High Balance</v>
      </c>
      <c r="P8245" t="str">
        <f t="shared" si="515"/>
        <v>New</v>
      </c>
    </row>
    <row r="8246" spans="1:16" x14ac:dyDescent="0.25">
      <c r="A8246">
        <v>2025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  <c r="M8246" t="str">
        <f t="shared" si="512"/>
        <v>30-45</v>
      </c>
      <c r="N8246" t="str">
        <f t="shared" si="513"/>
        <v>Medium</v>
      </c>
      <c r="O8246" t="str">
        <f t="shared" si="514"/>
        <v>Low Balance</v>
      </c>
      <c r="P8246" t="str">
        <f t="shared" si="515"/>
        <v>New</v>
      </c>
    </row>
    <row r="8247" spans="1:16" x14ac:dyDescent="0.25">
      <c r="A8247">
        <v>2025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  <c r="M8247" t="str">
        <f t="shared" si="512"/>
        <v>30-45</v>
      </c>
      <c r="N8247" t="str">
        <f t="shared" si="513"/>
        <v>Medium</v>
      </c>
      <c r="O8247" t="str">
        <f t="shared" si="514"/>
        <v>High Balance</v>
      </c>
      <c r="P8247" t="str">
        <f t="shared" si="515"/>
        <v>Mid-term</v>
      </c>
    </row>
    <row r="8248" spans="1:16" x14ac:dyDescent="0.25">
      <c r="A8248">
        <v>2025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  <c r="M8248" t="str">
        <f t="shared" si="512"/>
        <v>&lt;30</v>
      </c>
      <c r="N8248" t="str">
        <f t="shared" si="513"/>
        <v>Medium</v>
      </c>
      <c r="O8248" t="str">
        <f t="shared" si="514"/>
        <v>Zero Balance</v>
      </c>
      <c r="P8248" t="str">
        <f t="shared" si="515"/>
        <v>Mid-term</v>
      </c>
    </row>
    <row r="8249" spans="1:16" x14ac:dyDescent="0.25">
      <c r="A8249">
        <v>2025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  <c r="M8249" t="str">
        <f t="shared" si="512"/>
        <v>&lt;30</v>
      </c>
      <c r="N8249" t="str">
        <f t="shared" si="513"/>
        <v>Medium</v>
      </c>
      <c r="O8249" t="str">
        <f t="shared" si="514"/>
        <v>High Balance</v>
      </c>
      <c r="P8249" t="str">
        <f t="shared" si="515"/>
        <v>Mid-term</v>
      </c>
    </row>
    <row r="8250" spans="1:16" x14ac:dyDescent="0.25">
      <c r="A8250">
        <v>2025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  <c r="M8250" t="str">
        <f t="shared" si="512"/>
        <v>&lt;30</v>
      </c>
      <c r="N8250" t="str">
        <f t="shared" si="513"/>
        <v>Medium</v>
      </c>
      <c r="O8250" t="str">
        <f t="shared" si="514"/>
        <v>High Balance</v>
      </c>
      <c r="P8250" t="str">
        <f t="shared" si="515"/>
        <v>Mid-term</v>
      </c>
    </row>
    <row r="8251" spans="1:16" x14ac:dyDescent="0.25">
      <c r="A8251">
        <v>2025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  <c r="M8251" t="str">
        <f t="shared" si="512"/>
        <v>30-45</v>
      </c>
      <c r="N8251" t="str">
        <f t="shared" si="513"/>
        <v>Medium</v>
      </c>
      <c r="O8251" t="str">
        <f t="shared" si="514"/>
        <v>Zero Balance</v>
      </c>
      <c r="P8251" t="str">
        <f t="shared" si="515"/>
        <v>Mid-term</v>
      </c>
    </row>
    <row r="8252" spans="1:16" x14ac:dyDescent="0.25">
      <c r="A8252">
        <v>2025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  <c r="M8252" t="str">
        <f t="shared" si="512"/>
        <v>30-45</v>
      </c>
      <c r="N8252" t="str">
        <f t="shared" si="513"/>
        <v>High</v>
      </c>
      <c r="O8252" t="str">
        <f t="shared" si="514"/>
        <v>Zero Balance</v>
      </c>
      <c r="P8252" t="str">
        <f t="shared" si="515"/>
        <v>Long-term</v>
      </c>
    </row>
    <row r="8253" spans="1:16" x14ac:dyDescent="0.25">
      <c r="A8253">
        <v>2025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  <c r="M8253" t="str">
        <f t="shared" si="512"/>
        <v>30-45</v>
      </c>
      <c r="N8253" t="str">
        <f t="shared" si="513"/>
        <v>Medium</v>
      </c>
      <c r="O8253" t="str">
        <f t="shared" si="514"/>
        <v>Low Balance</v>
      </c>
      <c r="P8253" t="str">
        <f t="shared" si="515"/>
        <v>New</v>
      </c>
    </row>
    <row r="8254" spans="1:16" x14ac:dyDescent="0.25">
      <c r="A8254">
        <v>2025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  <c r="M8254" t="str">
        <f t="shared" si="512"/>
        <v>46-60</v>
      </c>
      <c r="N8254" t="str">
        <f t="shared" si="513"/>
        <v>High</v>
      </c>
      <c r="O8254" t="str">
        <f t="shared" si="514"/>
        <v>Zero Balance</v>
      </c>
      <c r="P8254" t="str">
        <f t="shared" si="515"/>
        <v>Long-term</v>
      </c>
    </row>
    <row r="8255" spans="1:16" x14ac:dyDescent="0.25">
      <c r="A8255">
        <v>2025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  <c r="M8255" t="str">
        <f t="shared" si="512"/>
        <v>30-45</v>
      </c>
      <c r="N8255" t="str">
        <f t="shared" si="513"/>
        <v>High</v>
      </c>
      <c r="O8255" t="str">
        <f t="shared" si="514"/>
        <v>High Balance</v>
      </c>
      <c r="P8255" t="str">
        <f t="shared" si="515"/>
        <v>Mid-term</v>
      </c>
    </row>
    <row r="8256" spans="1:16" x14ac:dyDescent="0.25">
      <c r="A8256">
        <v>2025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  <c r="M8256" t="str">
        <f t="shared" si="512"/>
        <v>&lt;30</v>
      </c>
      <c r="N8256" t="str">
        <f t="shared" si="513"/>
        <v>Medium</v>
      </c>
      <c r="O8256" t="str">
        <f t="shared" si="514"/>
        <v>High Balance</v>
      </c>
      <c r="P8256" t="str">
        <f t="shared" si="515"/>
        <v>New</v>
      </c>
    </row>
    <row r="8257" spans="1:16" x14ac:dyDescent="0.25">
      <c r="A8257">
        <v>2025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  <c r="M8257" t="str">
        <f t="shared" si="512"/>
        <v>30-45</v>
      </c>
      <c r="N8257" t="str">
        <f t="shared" si="513"/>
        <v>Medium</v>
      </c>
      <c r="O8257" t="str">
        <f t="shared" si="514"/>
        <v>High Balance</v>
      </c>
      <c r="P8257" t="str">
        <f t="shared" si="515"/>
        <v>New</v>
      </c>
    </row>
    <row r="8258" spans="1:16" x14ac:dyDescent="0.25">
      <c r="A8258">
        <v>2025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  <c r="M8258" t="str">
        <f t="shared" si="512"/>
        <v>46-60</v>
      </c>
      <c r="N8258" t="str">
        <f t="shared" si="513"/>
        <v>Medium</v>
      </c>
      <c r="O8258" t="str">
        <f t="shared" si="514"/>
        <v>High Balance</v>
      </c>
      <c r="P8258" t="str">
        <f t="shared" si="515"/>
        <v>New</v>
      </c>
    </row>
    <row r="8259" spans="1:16" x14ac:dyDescent="0.25">
      <c r="A8259">
        <v>2025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  <c r="M8259" t="str">
        <f t="shared" ref="M8259:M8322" si="516">IF(E8259&lt;30,"&lt;30",IF(E8259&lt;=45,"30-45",IF(E8259&lt;=60,"46-60","60+")))</f>
        <v>30-45</v>
      </c>
      <c r="N8259" t="str">
        <f t="shared" ref="N8259:N8322" si="517">IF(B8259&lt;500,"Low",IF(B8259&lt;700,"Medium","High"))</f>
        <v>Medium</v>
      </c>
      <c r="O8259" t="str">
        <f t="shared" ref="O8259:O8322" si="518">IF(G8259=0,"Zero Balance",IF(G8259&lt;100000,"Low Balance","High Balance"))</f>
        <v>Zero Balance</v>
      </c>
      <c r="P8259" t="str">
        <f t="shared" ref="P8259:P8322" si="519">IF(F8259&lt;=3,"New",IF(F8259&lt;=7,"Mid-term","Long-term"))</f>
        <v>Mid-term</v>
      </c>
    </row>
    <row r="8260" spans="1:16" x14ac:dyDescent="0.25">
      <c r="A8260">
        <v>2025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  <c r="M8260" t="str">
        <f t="shared" si="516"/>
        <v>30-45</v>
      </c>
      <c r="N8260" t="str">
        <f t="shared" si="517"/>
        <v>Medium</v>
      </c>
      <c r="O8260" t="str">
        <f t="shared" si="518"/>
        <v>Low Balance</v>
      </c>
      <c r="P8260" t="str">
        <f t="shared" si="519"/>
        <v>New</v>
      </c>
    </row>
    <row r="8261" spans="1:16" x14ac:dyDescent="0.25">
      <c r="A8261">
        <v>2025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  <c r="M8261" t="str">
        <f t="shared" si="516"/>
        <v>30-45</v>
      </c>
      <c r="N8261" t="str">
        <f t="shared" si="517"/>
        <v>Medium</v>
      </c>
      <c r="O8261" t="str">
        <f t="shared" si="518"/>
        <v>Low Balance</v>
      </c>
      <c r="P8261" t="str">
        <f t="shared" si="519"/>
        <v>New</v>
      </c>
    </row>
    <row r="8262" spans="1:16" x14ac:dyDescent="0.25">
      <c r="A8262">
        <v>2025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  <c r="M8262" t="str">
        <f t="shared" si="516"/>
        <v>30-45</v>
      </c>
      <c r="N8262" t="str">
        <f t="shared" si="517"/>
        <v>Medium</v>
      </c>
      <c r="O8262" t="str">
        <f t="shared" si="518"/>
        <v>Low Balance</v>
      </c>
      <c r="P8262" t="str">
        <f t="shared" si="519"/>
        <v>Mid-term</v>
      </c>
    </row>
    <row r="8263" spans="1:16" x14ac:dyDescent="0.25">
      <c r="A8263">
        <v>2025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  <c r="M8263" t="str">
        <f t="shared" si="516"/>
        <v>30-45</v>
      </c>
      <c r="N8263" t="str">
        <f t="shared" si="517"/>
        <v>Medium</v>
      </c>
      <c r="O8263" t="str">
        <f t="shared" si="518"/>
        <v>Zero Balance</v>
      </c>
      <c r="P8263" t="str">
        <f t="shared" si="519"/>
        <v>Mid-term</v>
      </c>
    </row>
    <row r="8264" spans="1:16" x14ac:dyDescent="0.25">
      <c r="A8264">
        <v>2025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  <c r="M8264" t="str">
        <f t="shared" si="516"/>
        <v>30-45</v>
      </c>
      <c r="N8264" t="str">
        <f t="shared" si="517"/>
        <v>High</v>
      </c>
      <c r="O8264" t="str">
        <f t="shared" si="518"/>
        <v>Zero Balance</v>
      </c>
      <c r="P8264" t="str">
        <f t="shared" si="519"/>
        <v>Mid-term</v>
      </c>
    </row>
    <row r="8265" spans="1:16" x14ac:dyDescent="0.25">
      <c r="A8265">
        <v>2025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  <c r="M8265" t="str">
        <f t="shared" si="516"/>
        <v>30-45</v>
      </c>
      <c r="N8265" t="str">
        <f t="shared" si="517"/>
        <v>Medium</v>
      </c>
      <c r="O8265" t="str">
        <f t="shared" si="518"/>
        <v>Zero Balance</v>
      </c>
      <c r="P8265" t="str">
        <f t="shared" si="519"/>
        <v>Long-term</v>
      </c>
    </row>
    <row r="8266" spans="1:16" x14ac:dyDescent="0.25">
      <c r="A8266">
        <v>2025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  <c r="M8266" t="str">
        <f t="shared" si="516"/>
        <v>30-45</v>
      </c>
      <c r="N8266" t="str">
        <f t="shared" si="517"/>
        <v>High</v>
      </c>
      <c r="O8266" t="str">
        <f t="shared" si="518"/>
        <v>Zero Balance</v>
      </c>
      <c r="P8266" t="str">
        <f t="shared" si="519"/>
        <v>Mid-term</v>
      </c>
    </row>
    <row r="8267" spans="1:16" x14ac:dyDescent="0.25">
      <c r="A8267">
        <v>2025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  <c r="M8267" t="str">
        <f t="shared" si="516"/>
        <v>30-45</v>
      </c>
      <c r="N8267" t="str">
        <f t="shared" si="517"/>
        <v>Medium</v>
      </c>
      <c r="O8267" t="str">
        <f t="shared" si="518"/>
        <v>High Balance</v>
      </c>
      <c r="P8267" t="str">
        <f t="shared" si="519"/>
        <v>New</v>
      </c>
    </row>
    <row r="8268" spans="1:16" x14ac:dyDescent="0.25">
      <c r="A8268">
        <v>2025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  <c r="M8268" t="str">
        <f t="shared" si="516"/>
        <v>30-45</v>
      </c>
      <c r="N8268" t="str">
        <f t="shared" si="517"/>
        <v>Medium</v>
      </c>
      <c r="O8268" t="str">
        <f t="shared" si="518"/>
        <v>Zero Balance</v>
      </c>
      <c r="P8268" t="str">
        <f t="shared" si="519"/>
        <v>New</v>
      </c>
    </row>
    <row r="8269" spans="1:16" x14ac:dyDescent="0.25">
      <c r="A8269">
        <v>2025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  <c r="M8269" t="str">
        <f t="shared" si="516"/>
        <v>30-45</v>
      </c>
      <c r="N8269" t="str">
        <f t="shared" si="517"/>
        <v>Medium</v>
      </c>
      <c r="O8269" t="str">
        <f t="shared" si="518"/>
        <v>Zero Balance</v>
      </c>
      <c r="P8269" t="str">
        <f t="shared" si="519"/>
        <v>Long-term</v>
      </c>
    </row>
    <row r="8270" spans="1:16" x14ac:dyDescent="0.25">
      <c r="A8270">
        <v>2025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  <c r="M8270" t="str">
        <f t="shared" si="516"/>
        <v>30-45</v>
      </c>
      <c r="N8270" t="str">
        <f t="shared" si="517"/>
        <v>High</v>
      </c>
      <c r="O8270" t="str">
        <f t="shared" si="518"/>
        <v>Low Balance</v>
      </c>
      <c r="P8270" t="str">
        <f t="shared" si="519"/>
        <v>New</v>
      </c>
    </row>
    <row r="8271" spans="1:16" x14ac:dyDescent="0.25">
      <c r="A8271">
        <v>2025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  <c r="M8271" t="str">
        <f t="shared" si="516"/>
        <v>46-60</v>
      </c>
      <c r="N8271" t="str">
        <f t="shared" si="517"/>
        <v>Medium</v>
      </c>
      <c r="O8271" t="str">
        <f t="shared" si="518"/>
        <v>Zero Balance</v>
      </c>
      <c r="P8271" t="str">
        <f t="shared" si="519"/>
        <v>Mid-term</v>
      </c>
    </row>
    <row r="8272" spans="1:16" x14ac:dyDescent="0.25">
      <c r="A8272">
        <v>2025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  <c r="M8272" t="str">
        <f t="shared" si="516"/>
        <v>30-45</v>
      </c>
      <c r="N8272" t="str">
        <f t="shared" si="517"/>
        <v>Medium</v>
      </c>
      <c r="O8272" t="str">
        <f t="shared" si="518"/>
        <v>Zero Balance</v>
      </c>
      <c r="P8272" t="str">
        <f t="shared" si="519"/>
        <v>New</v>
      </c>
    </row>
    <row r="8273" spans="1:16" x14ac:dyDescent="0.25">
      <c r="A8273">
        <v>2025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  <c r="M8273" t="str">
        <f t="shared" si="516"/>
        <v>30-45</v>
      </c>
      <c r="N8273" t="str">
        <f t="shared" si="517"/>
        <v>Low</v>
      </c>
      <c r="O8273" t="str">
        <f t="shared" si="518"/>
        <v>High Balance</v>
      </c>
      <c r="P8273" t="str">
        <f t="shared" si="519"/>
        <v>Long-term</v>
      </c>
    </row>
    <row r="8274" spans="1:16" x14ac:dyDescent="0.25">
      <c r="A8274">
        <v>2025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  <c r="M8274" t="str">
        <f t="shared" si="516"/>
        <v>30-45</v>
      </c>
      <c r="N8274" t="str">
        <f t="shared" si="517"/>
        <v>High</v>
      </c>
      <c r="O8274" t="str">
        <f t="shared" si="518"/>
        <v>High Balance</v>
      </c>
      <c r="P8274" t="str">
        <f t="shared" si="519"/>
        <v>Mid-term</v>
      </c>
    </row>
    <row r="8275" spans="1:16" x14ac:dyDescent="0.25">
      <c r="A8275">
        <v>2025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  <c r="M8275" t="str">
        <f t="shared" si="516"/>
        <v>30-45</v>
      </c>
      <c r="N8275" t="str">
        <f t="shared" si="517"/>
        <v>Medium</v>
      </c>
      <c r="O8275" t="str">
        <f t="shared" si="518"/>
        <v>Zero Balance</v>
      </c>
      <c r="P8275" t="str">
        <f t="shared" si="519"/>
        <v>New</v>
      </c>
    </row>
    <row r="8276" spans="1:16" x14ac:dyDescent="0.25">
      <c r="A8276">
        <v>2025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  <c r="M8276" t="str">
        <f t="shared" si="516"/>
        <v>30-45</v>
      </c>
      <c r="N8276" t="str">
        <f t="shared" si="517"/>
        <v>High</v>
      </c>
      <c r="O8276" t="str">
        <f t="shared" si="518"/>
        <v>Low Balance</v>
      </c>
      <c r="P8276" t="str">
        <f t="shared" si="519"/>
        <v>New</v>
      </c>
    </row>
    <row r="8277" spans="1:16" x14ac:dyDescent="0.25">
      <c r="A8277">
        <v>2025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  <c r="M8277" t="str">
        <f t="shared" si="516"/>
        <v>46-60</v>
      </c>
      <c r="N8277" t="str">
        <f t="shared" si="517"/>
        <v>Medium</v>
      </c>
      <c r="O8277" t="str">
        <f t="shared" si="518"/>
        <v>High Balance</v>
      </c>
      <c r="P8277" t="str">
        <f t="shared" si="519"/>
        <v>Mid-term</v>
      </c>
    </row>
    <row r="8278" spans="1:16" x14ac:dyDescent="0.25">
      <c r="A8278">
        <v>2025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  <c r="M8278" t="str">
        <f t="shared" si="516"/>
        <v>30-45</v>
      </c>
      <c r="N8278" t="str">
        <f t="shared" si="517"/>
        <v>Medium</v>
      </c>
      <c r="O8278" t="str">
        <f t="shared" si="518"/>
        <v>High Balance</v>
      </c>
      <c r="P8278" t="str">
        <f t="shared" si="519"/>
        <v>Long-term</v>
      </c>
    </row>
    <row r="8279" spans="1:16" x14ac:dyDescent="0.25">
      <c r="A8279">
        <v>2025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  <c r="M8279" t="str">
        <f t="shared" si="516"/>
        <v>30-45</v>
      </c>
      <c r="N8279" t="str">
        <f t="shared" si="517"/>
        <v>Medium</v>
      </c>
      <c r="O8279" t="str">
        <f t="shared" si="518"/>
        <v>High Balance</v>
      </c>
      <c r="P8279" t="str">
        <f t="shared" si="519"/>
        <v>New</v>
      </c>
    </row>
    <row r="8280" spans="1:16" x14ac:dyDescent="0.25">
      <c r="A8280">
        <v>2025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  <c r="M8280" t="str">
        <f t="shared" si="516"/>
        <v>30-45</v>
      </c>
      <c r="N8280" t="str">
        <f t="shared" si="517"/>
        <v>High</v>
      </c>
      <c r="O8280" t="str">
        <f t="shared" si="518"/>
        <v>Zero Balance</v>
      </c>
      <c r="P8280" t="str">
        <f t="shared" si="519"/>
        <v>Long-term</v>
      </c>
    </row>
    <row r="8281" spans="1:16" x14ac:dyDescent="0.25">
      <c r="A8281">
        <v>2025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  <c r="M8281" t="str">
        <f t="shared" si="516"/>
        <v>30-45</v>
      </c>
      <c r="N8281" t="str">
        <f t="shared" si="517"/>
        <v>Medium</v>
      </c>
      <c r="O8281" t="str">
        <f t="shared" si="518"/>
        <v>Zero Balance</v>
      </c>
      <c r="P8281" t="str">
        <f t="shared" si="519"/>
        <v>New</v>
      </c>
    </row>
    <row r="8282" spans="1:16" x14ac:dyDescent="0.25">
      <c r="A8282">
        <v>2025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  <c r="M8282" t="str">
        <f t="shared" si="516"/>
        <v>46-60</v>
      </c>
      <c r="N8282" t="str">
        <f t="shared" si="517"/>
        <v>High</v>
      </c>
      <c r="O8282" t="str">
        <f t="shared" si="518"/>
        <v>Zero Balance</v>
      </c>
      <c r="P8282" t="str">
        <f t="shared" si="519"/>
        <v>Mid-term</v>
      </c>
    </row>
    <row r="8283" spans="1:16" x14ac:dyDescent="0.25">
      <c r="A8283">
        <v>2025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  <c r="M8283" t="str">
        <f t="shared" si="516"/>
        <v>30-45</v>
      </c>
      <c r="N8283" t="str">
        <f t="shared" si="517"/>
        <v>Medium</v>
      </c>
      <c r="O8283" t="str">
        <f t="shared" si="518"/>
        <v>Low Balance</v>
      </c>
      <c r="P8283" t="str">
        <f t="shared" si="519"/>
        <v>Long-term</v>
      </c>
    </row>
    <row r="8284" spans="1:16" x14ac:dyDescent="0.25">
      <c r="A8284">
        <v>2025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  <c r="M8284" t="str">
        <f t="shared" si="516"/>
        <v>&lt;30</v>
      </c>
      <c r="N8284" t="str">
        <f t="shared" si="517"/>
        <v>High</v>
      </c>
      <c r="O8284" t="str">
        <f t="shared" si="518"/>
        <v>Low Balance</v>
      </c>
      <c r="P8284" t="str">
        <f t="shared" si="519"/>
        <v>Mid-term</v>
      </c>
    </row>
    <row r="8285" spans="1:16" x14ac:dyDescent="0.25">
      <c r="A8285">
        <v>2025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  <c r="M8285" t="str">
        <f t="shared" si="516"/>
        <v>46-60</v>
      </c>
      <c r="N8285" t="str">
        <f t="shared" si="517"/>
        <v>Medium</v>
      </c>
      <c r="O8285" t="str">
        <f t="shared" si="518"/>
        <v>Zero Balance</v>
      </c>
      <c r="P8285" t="str">
        <f t="shared" si="519"/>
        <v>New</v>
      </c>
    </row>
    <row r="8286" spans="1:16" x14ac:dyDescent="0.25">
      <c r="A8286">
        <v>2025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  <c r="M8286" t="str">
        <f t="shared" si="516"/>
        <v>30-45</v>
      </c>
      <c r="N8286" t="str">
        <f t="shared" si="517"/>
        <v>High</v>
      </c>
      <c r="O8286" t="str">
        <f t="shared" si="518"/>
        <v>High Balance</v>
      </c>
      <c r="P8286" t="str">
        <f t="shared" si="519"/>
        <v>New</v>
      </c>
    </row>
    <row r="8287" spans="1:16" x14ac:dyDescent="0.25">
      <c r="A8287">
        <v>2025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  <c r="M8287" t="str">
        <f t="shared" si="516"/>
        <v>&lt;30</v>
      </c>
      <c r="N8287" t="str">
        <f t="shared" si="517"/>
        <v>Medium</v>
      </c>
      <c r="O8287" t="str">
        <f t="shared" si="518"/>
        <v>Zero Balance</v>
      </c>
      <c r="P8287" t="str">
        <f t="shared" si="519"/>
        <v>Long-term</v>
      </c>
    </row>
    <row r="8288" spans="1:16" x14ac:dyDescent="0.25">
      <c r="A8288">
        <v>2025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  <c r="M8288" t="str">
        <f t="shared" si="516"/>
        <v>&lt;30</v>
      </c>
      <c r="N8288" t="str">
        <f t="shared" si="517"/>
        <v>Medium</v>
      </c>
      <c r="O8288" t="str">
        <f t="shared" si="518"/>
        <v>High Balance</v>
      </c>
      <c r="P8288" t="str">
        <f t="shared" si="519"/>
        <v>Mid-term</v>
      </c>
    </row>
    <row r="8289" spans="1:16" x14ac:dyDescent="0.25">
      <c r="A8289">
        <v>2025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  <c r="M8289" t="str">
        <f t="shared" si="516"/>
        <v>30-45</v>
      </c>
      <c r="N8289" t="str">
        <f t="shared" si="517"/>
        <v>High</v>
      </c>
      <c r="O8289" t="str">
        <f t="shared" si="518"/>
        <v>High Balance</v>
      </c>
      <c r="P8289" t="str">
        <f t="shared" si="519"/>
        <v>New</v>
      </c>
    </row>
    <row r="8290" spans="1:16" x14ac:dyDescent="0.25">
      <c r="A8290">
        <v>2025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  <c r="M8290" t="str">
        <f t="shared" si="516"/>
        <v>30-45</v>
      </c>
      <c r="N8290" t="str">
        <f t="shared" si="517"/>
        <v>High</v>
      </c>
      <c r="O8290" t="str">
        <f t="shared" si="518"/>
        <v>Low Balance</v>
      </c>
      <c r="P8290" t="str">
        <f t="shared" si="519"/>
        <v>Long-term</v>
      </c>
    </row>
    <row r="8291" spans="1:16" x14ac:dyDescent="0.25">
      <c r="A8291">
        <v>2025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  <c r="M8291" t="str">
        <f t="shared" si="516"/>
        <v>30-45</v>
      </c>
      <c r="N8291" t="str">
        <f t="shared" si="517"/>
        <v>Medium</v>
      </c>
      <c r="O8291" t="str">
        <f t="shared" si="518"/>
        <v>Zero Balance</v>
      </c>
      <c r="P8291" t="str">
        <f t="shared" si="519"/>
        <v>Mid-term</v>
      </c>
    </row>
    <row r="8292" spans="1:16" x14ac:dyDescent="0.25">
      <c r="A8292">
        <v>2025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  <c r="M8292" t="str">
        <f t="shared" si="516"/>
        <v>30-45</v>
      </c>
      <c r="N8292" t="str">
        <f t="shared" si="517"/>
        <v>High</v>
      </c>
      <c r="O8292" t="str">
        <f t="shared" si="518"/>
        <v>Low Balance</v>
      </c>
      <c r="P8292" t="str">
        <f t="shared" si="519"/>
        <v>Mid-term</v>
      </c>
    </row>
    <row r="8293" spans="1:16" x14ac:dyDescent="0.25">
      <c r="A8293">
        <v>2025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  <c r="M8293" t="str">
        <f t="shared" si="516"/>
        <v>30-45</v>
      </c>
      <c r="N8293" t="str">
        <f t="shared" si="517"/>
        <v>Medium</v>
      </c>
      <c r="O8293" t="str">
        <f t="shared" si="518"/>
        <v>High Balance</v>
      </c>
      <c r="P8293" t="str">
        <f t="shared" si="519"/>
        <v>New</v>
      </c>
    </row>
    <row r="8294" spans="1:16" x14ac:dyDescent="0.25">
      <c r="A8294">
        <v>2025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  <c r="M8294" t="str">
        <f t="shared" si="516"/>
        <v>30-45</v>
      </c>
      <c r="N8294" t="str">
        <f t="shared" si="517"/>
        <v>High</v>
      </c>
      <c r="O8294" t="str">
        <f t="shared" si="518"/>
        <v>High Balance</v>
      </c>
      <c r="P8294" t="str">
        <f t="shared" si="519"/>
        <v>Mid-term</v>
      </c>
    </row>
    <row r="8295" spans="1:16" x14ac:dyDescent="0.25">
      <c r="A8295">
        <v>2025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  <c r="M8295" t="str">
        <f t="shared" si="516"/>
        <v>&lt;30</v>
      </c>
      <c r="N8295" t="str">
        <f t="shared" si="517"/>
        <v>High</v>
      </c>
      <c r="O8295" t="str">
        <f t="shared" si="518"/>
        <v>Low Balance</v>
      </c>
      <c r="P8295" t="str">
        <f t="shared" si="519"/>
        <v>Mid-term</v>
      </c>
    </row>
    <row r="8296" spans="1:16" x14ac:dyDescent="0.25">
      <c r="A8296">
        <v>2025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  <c r="M8296" t="str">
        <f t="shared" si="516"/>
        <v>30-45</v>
      </c>
      <c r="N8296" t="str">
        <f t="shared" si="517"/>
        <v>High</v>
      </c>
      <c r="O8296" t="str">
        <f t="shared" si="518"/>
        <v>High Balance</v>
      </c>
      <c r="P8296" t="str">
        <f t="shared" si="519"/>
        <v>New</v>
      </c>
    </row>
    <row r="8297" spans="1:16" x14ac:dyDescent="0.25">
      <c r="A8297">
        <v>2025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  <c r="M8297" t="str">
        <f t="shared" si="516"/>
        <v>30-45</v>
      </c>
      <c r="N8297" t="str">
        <f t="shared" si="517"/>
        <v>High</v>
      </c>
      <c r="O8297" t="str">
        <f t="shared" si="518"/>
        <v>Zero Balance</v>
      </c>
      <c r="P8297" t="str">
        <f t="shared" si="519"/>
        <v>Mid-term</v>
      </c>
    </row>
    <row r="8298" spans="1:16" x14ac:dyDescent="0.25">
      <c r="A8298">
        <v>2025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  <c r="M8298" t="str">
        <f t="shared" si="516"/>
        <v>30-45</v>
      </c>
      <c r="N8298" t="str">
        <f t="shared" si="517"/>
        <v>Medium</v>
      </c>
      <c r="O8298" t="str">
        <f t="shared" si="518"/>
        <v>Zero Balance</v>
      </c>
      <c r="P8298" t="str">
        <f t="shared" si="519"/>
        <v>Mid-term</v>
      </c>
    </row>
    <row r="8299" spans="1:16" x14ac:dyDescent="0.25">
      <c r="A8299">
        <v>2025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  <c r="M8299" t="str">
        <f t="shared" si="516"/>
        <v>30-45</v>
      </c>
      <c r="N8299" t="str">
        <f t="shared" si="517"/>
        <v>Medium</v>
      </c>
      <c r="O8299" t="str">
        <f t="shared" si="518"/>
        <v>High Balance</v>
      </c>
      <c r="P8299" t="str">
        <f t="shared" si="519"/>
        <v>New</v>
      </c>
    </row>
    <row r="8300" spans="1:16" x14ac:dyDescent="0.25">
      <c r="A8300">
        <v>2025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  <c r="M8300" t="str">
        <f t="shared" si="516"/>
        <v>46-60</v>
      </c>
      <c r="N8300" t="str">
        <f t="shared" si="517"/>
        <v>Medium</v>
      </c>
      <c r="O8300" t="str">
        <f t="shared" si="518"/>
        <v>Low Balance</v>
      </c>
      <c r="P8300" t="str">
        <f t="shared" si="519"/>
        <v>Mid-term</v>
      </c>
    </row>
    <row r="8301" spans="1:16" x14ac:dyDescent="0.25">
      <c r="A8301">
        <v>2025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  <c r="M8301" t="str">
        <f t="shared" si="516"/>
        <v>46-60</v>
      </c>
      <c r="N8301" t="str">
        <f t="shared" si="517"/>
        <v>Medium</v>
      </c>
      <c r="O8301" t="str">
        <f t="shared" si="518"/>
        <v>Low Balance</v>
      </c>
      <c r="P8301" t="str">
        <f t="shared" si="519"/>
        <v>Mid-term</v>
      </c>
    </row>
    <row r="8302" spans="1:16" x14ac:dyDescent="0.25">
      <c r="A8302">
        <v>2025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  <c r="M8302" t="str">
        <f t="shared" si="516"/>
        <v>46-60</v>
      </c>
      <c r="N8302" t="str">
        <f t="shared" si="517"/>
        <v>High</v>
      </c>
      <c r="O8302" t="str">
        <f t="shared" si="518"/>
        <v>Low Balance</v>
      </c>
      <c r="P8302" t="str">
        <f t="shared" si="519"/>
        <v>Mid-term</v>
      </c>
    </row>
    <row r="8303" spans="1:16" x14ac:dyDescent="0.25">
      <c r="A8303">
        <v>2025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  <c r="M8303" t="str">
        <f t="shared" si="516"/>
        <v>46-60</v>
      </c>
      <c r="N8303" t="str">
        <f t="shared" si="517"/>
        <v>Medium</v>
      </c>
      <c r="O8303" t="str">
        <f t="shared" si="518"/>
        <v>Low Balance</v>
      </c>
      <c r="P8303" t="str">
        <f t="shared" si="519"/>
        <v>New</v>
      </c>
    </row>
    <row r="8304" spans="1:16" x14ac:dyDescent="0.25">
      <c r="A8304">
        <v>2025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  <c r="M8304" t="str">
        <f t="shared" si="516"/>
        <v>30-45</v>
      </c>
      <c r="N8304" t="str">
        <f t="shared" si="517"/>
        <v>High</v>
      </c>
      <c r="O8304" t="str">
        <f t="shared" si="518"/>
        <v>Zero Balance</v>
      </c>
      <c r="P8304" t="str">
        <f t="shared" si="519"/>
        <v>New</v>
      </c>
    </row>
    <row r="8305" spans="1:16" x14ac:dyDescent="0.25">
      <c r="A8305">
        <v>2025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  <c r="M8305" t="str">
        <f t="shared" si="516"/>
        <v>30-45</v>
      </c>
      <c r="N8305" t="str">
        <f t="shared" si="517"/>
        <v>Medium</v>
      </c>
      <c r="O8305" t="str">
        <f t="shared" si="518"/>
        <v>Zero Balance</v>
      </c>
      <c r="P8305" t="str">
        <f t="shared" si="519"/>
        <v>Long-term</v>
      </c>
    </row>
    <row r="8306" spans="1:16" x14ac:dyDescent="0.25">
      <c r="A8306">
        <v>2025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  <c r="M8306" t="str">
        <f t="shared" si="516"/>
        <v>60+</v>
      </c>
      <c r="N8306" t="str">
        <f t="shared" si="517"/>
        <v>Medium</v>
      </c>
      <c r="O8306" t="str">
        <f t="shared" si="518"/>
        <v>Zero Balance</v>
      </c>
      <c r="P8306" t="str">
        <f t="shared" si="519"/>
        <v>New</v>
      </c>
    </row>
    <row r="8307" spans="1:16" x14ac:dyDescent="0.25">
      <c r="A8307">
        <v>2025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  <c r="M8307" t="str">
        <f t="shared" si="516"/>
        <v>46-60</v>
      </c>
      <c r="N8307" t="str">
        <f t="shared" si="517"/>
        <v>High</v>
      </c>
      <c r="O8307" t="str">
        <f t="shared" si="518"/>
        <v>Zero Balance</v>
      </c>
      <c r="P8307" t="str">
        <f t="shared" si="519"/>
        <v>New</v>
      </c>
    </row>
    <row r="8308" spans="1:16" x14ac:dyDescent="0.25">
      <c r="A8308">
        <v>2025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  <c r="M8308" t="str">
        <f t="shared" si="516"/>
        <v>30-45</v>
      </c>
      <c r="N8308" t="str">
        <f t="shared" si="517"/>
        <v>High</v>
      </c>
      <c r="O8308" t="str">
        <f t="shared" si="518"/>
        <v>Zero Balance</v>
      </c>
      <c r="P8308" t="str">
        <f t="shared" si="519"/>
        <v>Mid-term</v>
      </c>
    </row>
    <row r="8309" spans="1:16" x14ac:dyDescent="0.25">
      <c r="A8309">
        <v>2025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  <c r="M8309" t="str">
        <f t="shared" si="516"/>
        <v>30-45</v>
      </c>
      <c r="N8309" t="str">
        <f t="shared" si="517"/>
        <v>Medium</v>
      </c>
      <c r="O8309" t="str">
        <f t="shared" si="518"/>
        <v>High Balance</v>
      </c>
      <c r="P8309" t="str">
        <f t="shared" si="519"/>
        <v>New</v>
      </c>
    </row>
    <row r="8310" spans="1:16" x14ac:dyDescent="0.25">
      <c r="A8310">
        <v>2025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  <c r="M8310" t="str">
        <f t="shared" si="516"/>
        <v>30-45</v>
      </c>
      <c r="N8310" t="str">
        <f t="shared" si="517"/>
        <v>Medium</v>
      </c>
      <c r="O8310" t="str">
        <f t="shared" si="518"/>
        <v>High Balance</v>
      </c>
      <c r="P8310" t="str">
        <f t="shared" si="519"/>
        <v>Mid-term</v>
      </c>
    </row>
    <row r="8311" spans="1:16" x14ac:dyDescent="0.25">
      <c r="A8311">
        <v>2025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  <c r="M8311" t="str">
        <f t="shared" si="516"/>
        <v>&lt;30</v>
      </c>
      <c r="N8311" t="str">
        <f t="shared" si="517"/>
        <v>High</v>
      </c>
      <c r="O8311" t="str">
        <f t="shared" si="518"/>
        <v>Zero Balance</v>
      </c>
      <c r="P8311" t="str">
        <f t="shared" si="519"/>
        <v>Long-term</v>
      </c>
    </row>
    <row r="8312" spans="1:16" x14ac:dyDescent="0.25">
      <c r="A8312">
        <v>2025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  <c r="M8312" t="str">
        <f t="shared" si="516"/>
        <v>30-45</v>
      </c>
      <c r="N8312" t="str">
        <f t="shared" si="517"/>
        <v>High</v>
      </c>
      <c r="O8312" t="str">
        <f t="shared" si="518"/>
        <v>High Balance</v>
      </c>
      <c r="P8312" t="str">
        <f t="shared" si="519"/>
        <v>Mid-term</v>
      </c>
    </row>
    <row r="8313" spans="1:16" x14ac:dyDescent="0.25">
      <c r="A8313">
        <v>2025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  <c r="M8313" t="str">
        <f t="shared" si="516"/>
        <v>30-45</v>
      </c>
      <c r="N8313" t="str">
        <f t="shared" si="517"/>
        <v>Medium</v>
      </c>
      <c r="O8313" t="str">
        <f t="shared" si="518"/>
        <v>High Balance</v>
      </c>
      <c r="P8313" t="str">
        <f t="shared" si="519"/>
        <v>Mid-term</v>
      </c>
    </row>
    <row r="8314" spans="1:16" x14ac:dyDescent="0.25">
      <c r="A8314">
        <v>2025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  <c r="M8314" t="str">
        <f t="shared" si="516"/>
        <v>46-60</v>
      </c>
      <c r="N8314" t="str">
        <f t="shared" si="517"/>
        <v>Medium</v>
      </c>
      <c r="O8314" t="str">
        <f t="shared" si="518"/>
        <v>Low Balance</v>
      </c>
      <c r="P8314" t="str">
        <f t="shared" si="519"/>
        <v>Mid-term</v>
      </c>
    </row>
    <row r="8315" spans="1:16" x14ac:dyDescent="0.25">
      <c r="A8315">
        <v>2025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  <c r="M8315" t="str">
        <f t="shared" si="516"/>
        <v>30-45</v>
      </c>
      <c r="N8315" t="str">
        <f t="shared" si="517"/>
        <v>Medium</v>
      </c>
      <c r="O8315" t="str">
        <f t="shared" si="518"/>
        <v>Zero Balance</v>
      </c>
      <c r="P8315" t="str">
        <f t="shared" si="519"/>
        <v>New</v>
      </c>
    </row>
    <row r="8316" spans="1:16" x14ac:dyDescent="0.25">
      <c r="A8316">
        <v>2025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  <c r="M8316" t="str">
        <f t="shared" si="516"/>
        <v>30-45</v>
      </c>
      <c r="N8316" t="str">
        <f t="shared" si="517"/>
        <v>Medium</v>
      </c>
      <c r="O8316" t="str">
        <f t="shared" si="518"/>
        <v>Zero Balance</v>
      </c>
      <c r="P8316" t="str">
        <f t="shared" si="519"/>
        <v>Mid-term</v>
      </c>
    </row>
    <row r="8317" spans="1:16" x14ac:dyDescent="0.25">
      <c r="A8317">
        <v>2025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  <c r="M8317" t="str">
        <f t="shared" si="516"/>
        <v>30-45</v>
      </c>
      <c r="N8317" t="str">
        <f t="shared" si="517"/>
        <v>Medium</v>
      </c>
      <c r="O8317" t="str">
        <f t="shared" si="518"/>
        <v>Zero Balance</v>
      </c>
      <c r="P8317" t="str">
        <f t="shared" si="519"/>
        <v>New</v>
      </c>
    </row>
    <row r="8318" spans="1:16" x14ac:dyDescent="0.25">
      <c r="A8318">
        <v>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  <c r="M8318" t="str">
        <f t="shared" si="516"/>
        <v>46-60</v>
      </c>
      <c r="N8318" t="str">
        <f t="shared" si="517"/>
        <v>Medium</v>
      </c>
      <c r="O8318" t="str">
        <f t="shared" si="518"/>
        <v>Zero Balance</v>
      </c>
      <c r="P8318" t="str">
        <f t="shared" si="519"/>
        <v>Mid-term</v>
      </c>
    </row>
    <row r="8319" spans="1:16" x14ac:dyDescent="0.25">
      <c r="A8319">
        <v>2025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  <c r="M8319" t="str">
        <f t="shared" si="516"/>
        <v>&lt;30</v>
      </c>
      <c r="N8319" t="str">
        <f t="shared" si="517"/>
        <v>Medium</v>
      </c>
      <c r="O8319" t="str">
        <f t="shared" si="518"/>
        <v>Zero Balance</v>
      </c>
      <c r="P8319" t="str">
        <f t="shared" si="519"/>
        <v>Mid-term</v>
      </c>
    </row>
    <row r="8320" spans="1:16" x14ac:dyDescent="0.25">
      <c r="A8320">
        <v>2025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  <c r="M8320" t="str">
        <f t="shared" si="516"/>
        <v>30-45</v>
      </c>
      <c r="N8320" t="str">
        <f t="shared" si="517"/>
        <v>Medium</v>
      </c>
      <c r="O8320" t="str">
        <f t="shared" si="518"/>
        <v>High Balance</v>
      </c>
      <c r="P8320" t="str">
        <f t="shared" si="519"/>
        <v>Mid-term</v>
      </c>
    </row>
    <row r="8321" spans="1:16" x14ac:dyDescent="0.25">
      <c r="A8321">
        <v>2025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  <c r="M8321" t="str">
        <f t="shared" si="516"/>
        <v>46-60</v>
      </c>
      <c r="N8321" t="str">
        <f t="shared" si="517"/>
        <v>Medium</v>
      </c>
      <c r="O8321" t="str">
        <f t="shared" si="518"/>
        <v>High Balance</v>
      </c>
      <c r="P8321" t="str">
        <f t="shared" si="519"/>
        <v>Mid-term</v>
      </c>
    </row>
    <row r="8322" spans="1:16" x14ac:dyDescent="0.25">
      <c r="A8322">
        <v>2025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  <c r="M8322" t="str">
        <f t="shared" si="516"/>
        <v>30-45</v>
      </c>
      <c r="N8322" t="str">
        <f t="shared" si="517"/>
        <v>Medium</v>
      </c>
      <c r="O8322" t="str">
        <f t="shared" si="518"/>
        <v>High Balance</v>
      </c>
      <c r="P8322" t="str">
        <f t="shared" si="519"/>
        <v>New</v>
      </c>
    </row>
    <row r="8323" spans="1:16" x14ac:dyDescent="0.25">
      <c r="A8323">
        <v>2025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  <c r="M8323" t="str">
        <f t="shared" ref="M8323:M8386" si="520">IF(E8323&lt;30,"&lt;30",IF(E8323&lt;=45,"30-45",IF(E8323&lt;=60,"46-60","60+")))</f>
        <v>60+</v>
      </c>
      <c r="N8323" t="str">
        <f t="shared" ref="N8323:N8386" si="521">IF(B8323&lt;500,"Low",IF(B8323&lt;700,"Medium","High"))</f>
        <v>Medium</v>
      </c>
      <c r="O8323" t="str">
        <f t="shared" ref="O8323:O8386" si="522">IF(G8323=0,"Zero Balance",IF(G8323&lt;100000,"Low Balance","High Balance"))</f>
        <v>Zero Balance</v>
      </c>
      <c r="P8323" t="str">
        <f t="shared" ref="P8323:P8386" si="523">IF(F8323&lt;=3,"New",IF(F8323&lt;=7,"Mid-term","Long-term"))</f>
        <v>New</v>
      </c>
    </row>
    <row r="8324" spans="1:16" x14ac:dyDescent="0.25">
      <c r="A8324">
        <v>2025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  <c r="M8324" t="str">
        <f t="shared" si="520"/>
        <v>30-45</v>
      </c>
      <c r="N8324" t="str">
        <f t="shared" si="521"/>
        <v>Medium</v>
      </c>
      <c r="O8324" t="str">
        <f t="shared" si="522"/>
        <v>Zero Balance</v>
      </c>
      <c r="P8324" t="str">
        <f t="shared" si="523"/>
        <v>Mid-term</v>
      </c>
    </row>
    <row r="8325" spans="1:16" x14ac:dyDescent="0.25">
      <c r="A8325">
        <v>2025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  <c r="M8325" t="str">
        <f t="shared" si="520"/>
        <v>30-45</v>
      </c>
      <c r="N8325" t="str">
        <f t="shared" si="521"/>
        <v>High</v>
      </c>
      <c r="O8325" t="str">
        <f t="shared" si="522"/>
        <v>Zero Balance</v>
      </c>
      <c r="P8325" t="str">
        <f t="shared" si="523"/>
        <v>Mid-term</v>
      </c>
    </row>
    <row r="8326" spans="1:16" x14ac:dyDescent="0.25">
      <c r="A8326">
        <v>2025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  <c r="M8326" t="str">
        <f t="shared" si="520"/>
        <v>46-60</v>
      </c>
      <c r="N8326" t="str">
        <f t="shared" si="521"/>
        <v>Medium</v>
      </c>
      <c r="O8326" t="str">
        <f t="shared" si="522"/>
        <v>Low Balance</v>
      </c>
      <c r="P8326" t="str">
        <f t="shared" si="523"/>
        <v>New</v>
      </c>
    </row>
    <row r="8327" spans="1:16" x14ac:dyDescent="0.25">
      <c r="A8327">
        <v>2025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  <c r="M8327" t="str">
        <f t="shared" si="520"/>
        <v>&lt;30</v>
      </c>
      <c r="N8327" t="str">
        <f t="shared" si="521"/>
        <v>Medium</v>
      </c>
      <c r="O8327" t="str">
        <f t="shared" si="522"/>
        <v>Zero Balance</v>
      </c>
      <c r="P8327" t="str">
        <f t="shared" si="523"/>
        <v>Long-term</v>
      </c>
    </row>
    <row r="8328" spans="1:16" x14ac:dyDescent="0.25">
      <c r="A8328">
        <v>2025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  <c r="M8328" t="str">
        <f t="shared" si="520"/>
        <v>30-45</v>
      </c>
      <c r="N8328" t="str">
        <f t="shared" si="521"/>
        <v>Low</v>
      </c>
      <c r="O8328" t="str">
        <f t="shared" si="522"/>
        <v>Low Balance</v>
      </c>
      <c r="P8328" t="str">
        <f t="shared" si="523"/>
        <v>New</v>
      </c>
    </row>
    <row r="8329" spans="1:16" x14ac:dyDescent="0.25">
      <c r="A8329">
        <v>2025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  <c r="M8329" t="str">
        <f t="shared" si="520"/>
        <v>30-45</v>
      </c>
      <c r="N8329" t="str">
        <f t="shared" si="521"/>
        <v>High</v>
      </c>
      <c r="O8329" t="str">
        <f t="shared" si="522"/>
        <v>Zero Balance</v>
      </c>
      <c r="P8329" t="str">
        <f t="shared" si="523"/>
        <v>Long-term</v>
      </c>
    </row>
    <row r="8330" spans="1:16" x14ac:dyDescent="0.25">
      <c r="A8330">
        <v>2025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  <c r="M8330" t="str">
        <f t="shared" si="520"/>
        <v>30-45</v>
      </c>
      <c r="N8330" t="str">
        <f t="shared" si="521"/>
        <v>Medium</v>
      </c>
      <c r="O8330" t="str">
        <f t="shared" si="522"/>
        <v>High Balance</v>
      </c>
      <c r="P8330" t="str">
        <f t="shared" si="523"/>
        <v>Mid-term</v>
      </c>
    </row>
    <row r="8331" spans="1:16" x14ac:dyDescent="0.25">
      <c r="A8331">
        <v>2025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  <c r="M8331" t="str">
        <f t="shared" si="520"/>
        <v>30-45</v>
      </c>
      <c r="N8331" t="str">
        <f t="shared" si="521"/>
        <v>Medium</v>
      </c>
      <c r="O8331" t="str">
        <f t="shared" si="522"/>
        <v>High Balance</v>
      </c>
      <c r="P8331" t="str">
        <f t="shared" si="523"/>
        <v>New</v>
      </c>
    </row>
    <row r="8332" spans="1:16" x14ac:dyDescent="0.25">
      <c r="A8332">
        <v>2025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  <c r="M8332" t="str">
        <f t="shared" si="520"/>
        <v>30-45</v>
      </c>
      <c r="N8332" t="str">
        <f t="shared" si="521"/>
        <v>High</v>
      </c>
      <c r="O8332" t="str">
        <f t="shared" si="522"/>
        <v>Low Balance</v>
      </c>
      <c r="P8332" t="str">
        <f t="shared" si="523"/>
        <v>New</v>
      </c>
    </row>
    <row r="8333" spans="1:16" x14ac:dyDescent="0.25">
      <c r="A8333">
        <v>2025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  <c r="M8333" t="str">
        <f t="shared" si="520"/>
        <v>30-45</v>
      </c>
      <c r="N8333" t="str">
        <f t="shared" si="521"/>
        <v>Medium</v>
      </c>
      <c r="O8333" t="str">
        <f t="shared" si="522"/>
        <v>Low Balance</v>
      </c>
      <c r="P8333" t="str">
        <f t="shared" si="523"/>
        <v>New</v>
      </c>
    </row>
    <row r="8334" spans="1:16" x14ac:dyDescent="0.25">
      <c r="A8334">
        <v>2025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  <c r="M8334" t="str">
        <f t="shared" si="520"/>
        <v>46-60</v>
      </c>
      <c r="N8334" t="str">
        <f t="shared" si="521"/>
        <v>Medium</v>
      </c>
      <c r="O8334" t="str">
        <f t="shared" si="522"/>
        <v>High Balance</v>
      </c>
      <c r="P8334" t="str">
        <f t="shared" si="523"/>
        <v>Mid-term</v>
      </c>
    </row>
    <row r="8335" spans="1:16" x14ac:dyDescent="0.25">
      <c r="A8335">
        <v>2025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  <c r="M8335" t="str">
        <f t="shared" si="520"/>
        <v>30-45</v>
      </c>
      <c r="N8335" t="str">
        <f t="shared" si="521"/>
        <v>Medium</v>
      </c>
      <c r="O8335" t="str">
        <f t="shared" si="522"/>
        <v>Low Balance</v>
      </c>
      <c r="P8335" t="str">
        <f t="shared" si="523"/>
        <v>Mid-term</v>
      </c>
    </row>
    <row r="8336" spans="1:16" x14ac:dyDescent="0.25">
      <c r="A8336">
        <v>2025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  <c r="M8336" t="str">
        <f t="shared" si="520"/>
        <v>30-45</v>
      </c>
      <c r="N8336" t="str">
        <f t="shared" si="521"/>
        <v>High</v>
      </c>
      <c r="O8336" t="str">
        <f t="shared" si="522"/>
        <v>Zero Balance</v>
      </c>
      <c r="P8336" t="str">
        <f t="shared" si="523"/>
        <v>Long-term</v>
      </c>
    </row>
    <row r="8337" spans="1:16" x14ac:dyDescent="0.25">
      <c r="A8337">
        <v>2025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  <c r="M8337" t="str">
        <f t="shared" si="520"/>
        <v>30-45</v>
      </c>
      <c r="N8337" t="str">
        <f t="shared" si="521"/>
        <v>Medium</v>
      </c>
      <c r="O8337" t="str">
        <f t="shared" si="522"/>
        <v>High Balance</v>
      </c>
      <c r="P8337" t="str">
        <f t="shared" si="523"/>
        <v>Mid-term</v>
      </c>
    </row>
    <row r="8338" spans="1:16" x14ac:dyDescent="0.25">
      <c r="A8338">
        <v>2025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  <c r="M8338" t="str">
        <f t="shared" si="520"/>
        <v>30-45</v>
      </c>
      <c r="N8338" t="str">
        <f t="shared" si="521"/>
        <v>High</v>
      </c>
      <c r="O8338" t="str">
        <f t="shared" si="522"/>
        <v>High Balance</v>
      </c>
      <c r="P8338" t="str">
        <f t="shared" si="523"/>
        <v>New</v>
      </c>
    </row>
    <row r="8339" spans="1:16" x14ac:dyDescent="0.25">
      <c r="A8339">
        <v>2025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  <c r="M8339" t="str">
        <f t="shared" si="520"/>
        <v>30-45</v>
      </c>
      <c r="N8339" t="str">
        <f t="shared" si="521"/>
        <v>Medium</v>
      </c>
      <c r="O8339" t="str">
        <f t="shared" si="522"/>
        <v>Zero Balance</v>
      </c>
      <c r="P8339" t="str">
        <f t="shared" si="523"/>
        <v>Long-term</v>
      </c>
    </row>
    <row r="8340" spans="1:16" x14ac:dyDescent="0.25">
      <c r="A8340">
        <v>2025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  <c r="M8340" t="str">
        <f t="shared" si="520"/>
        <v>30-45</v>
      </c>
      <c r="N8340" t="str">
        <f t="shared" si="521"/>
        <v>Medium</v>
      </c>
      <c r="O8340" t="str">
        <f t="shared" si="522"/>
        <v>High Balance</v>
      </c>
      <c r="P8340" t="str">
        <f t="shared" si="523"/>
        <v>New</v>
      </c>
    </row>
    <row r="8341" spans="1:16" x14ac:dyDescent="0.25">
      <c r="A8341">
        <v>2025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  <c r="M8341" t="str">
        <f t="shared" si="520"/>
        <v>30-45</v>
      </c>
      <c r="N8341" t="str">
        <f t="shared" si="521"/>
        <v>Medium</v>
      </c>
      <c r="O8341" t="str">
        <f t="shared" si="522"/>
        <v>Zero Balance</v>
      </c>
      <c r="P8341" t="str">
        <f t="shared" si="523"/>
        <v>New</v>
      </c>
    </row>
    <row r="8342" spans="1:16" x14ac:dyDescent="0.25">
      <c r="A8342">
        <v>2025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  <c r="M8342" t="str">
        <f t="shared" si="520"/>
        <v>&lt;30</v>
      </c>
      <c r="N8342" t="str">
        <f t="shared" si="521"/>
        <v>Medium</v>
      </c>
      <c r="O8342" t="str">
        <f t="shared" si="522"/>
        <v>High Balance</v>
      </c>
      <c r="P8342" t="str">
        <f t="shared" si="523"/>
        <v>Mid-term</v>
      </c>
    </row>
    <row r="8343" spans="1:16" x14ac:dyDescent="0.25">
      <c r="A8343">
        <v>2025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  <c r="M8343" t="str">
        <f t="shared" si="520"/>
        <v>30-45</v>
      </c>
      <c r="N8343" t="str">
        <f t="shared" si="521"/>
        <v>Medium</v>
      </c>
      <c r="O8343" t="str">
        <f t="shared" si="522"/>
        <v>Zero Balance</v>
      </c>
      <c r="P8343" t="str">
        <f t="shared" si="523"/>
        <v>New</v>
      </c>
    </row>
    <row r="8344" spans="1:16" x14ac:dyDescent="0.25">
      <c r="A8344">
        <v>2025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  <c r="M8344" t="str">
        <f t="shared" si="520"/>
        <v>30-45</v>
      </c>
      <c r="N8344" t="str">
        <f t="shared" si="521"/>
        <v>Medium</v>
      </c>
      <c r="O8344" t="str">
        <f t="shared" si="522"/>
        <v>Zero Balance</v>
      </c>
      <c r="P8344" t="str">
        <f t="shared" si="523"/>
        <v>New</v>
      </c>
    </row>
    <row r="8345" spans="1:16" x14ac:dyDescent="0.25">
      <c r="A8345">
        <v>2025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  <c r="M8345" t="str">
        <f t="shared" si="520"/>
        <v>46-60</v>
      </c>
      <c r="N8345" t="str">
        <f t="shared" si="521"/>
        <v>High</v>
      </c>
      <c r="O8345" t="str">
        <f t="shared" si="522"/>
        <v>High Balance</v>
      </c>
      <c r="P8345" t="str">
        <f t="shared" si="523"/>
        <v>Long-term</v>
      </c>
    </row>
    <row r="8346" spans="1:16" x14ac:dyDescent="0.25">
      <c r="A8346">
        <v>2025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  <c r="M8346" t="str">
        <f t="shared" si="520"/>
        <v>30-45</v>
      </c>
      <c r="N8346" t="str">
        <f t="shared" si="521"/>
        <v>Medium</v>
      </c>
      <c r="O8346" t="str">
        <f t="shared" si="522"/>
        <v>High Balance</v>
      </c>
      <c r="P8346" t="str">
        <f t="shared" si="523"/>
        <v>New</v>
      </c>
    </row>
    <row r="8347" spans="1:16" x14ac:dyDescent="0.25">
      <c r="A8347">
        <v>2025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  <c r="M8347" t="str">
        <f t="shared" si="520"/>
        <v>46-60</v>
      </c>
      <c r="N8347" t="str">
        <f t="shared" si="521"/>
        <v>Medium</v>
      </c>
      <c r="O8347" t="str">
        <f t="shared" si="522"/>
        <v>Zero Balance</v>
      </c>
      <c r="P8347" t="str">
        <f t="shared" si="523"/>
        <v>New</v>
      </c>
    </row>
    <row r="8348" spans="1:16" x14ac:dyDescent="0.25">
      <c r="A8348">
        <v>2025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  <c r="M8348" t="str">
        <f t="shared" si="520"/>
        <v>30-45</v>
      </c>
      <c r="N8348" t="str">
        <f t="shared" si="521"/>
        <v>Medium</v>
      </c>
      <c r="O8348" t="str">
        <f t="shared" si="522"/>
        <v>Zero Balance</v>
      </c>
      <c r="P8348" t="str">
        <f t="shared" si="523"/>
        <v>Long-term</v>
      </c>
    </row>
    <row r="8349" spans="1:16" x14ac:dyDescent="0.25">
      <c r="A8349">
        <v>2025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  <c r="M8349" t="str">
        <f t="shared" si="520"/>
        <v>&lt;30</v>
      </c>
      <c r="N8349" t="str">
        <f t="shared" si="521"/>
        <v>High</v>
      </c>
      <c r="O8349" t="str">
        <f t="shared" si="522"/>
        <v>High Balance</v>
      </c>
      <c r="P8349" t="str">
        <f t="shared" si="523"/>
        <v>Mid-term</v>
      </c>
    </row>
    <row r="8350" spans="1:16" x14ac:dyDescent="0.25">
      <c r="A8350">
        <v>2025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  <c r="M8350" t="str">
        <f t="shared" si="520"/>
        <v>30-45</v>
      </c>
      <c r="N8350" t="str">
        <f t="shared" si="521"/>
        <v>Medium</v>
      </c>
      <c r="O8350" t="str">
        <f t="shared" si="522"/>
        <v>High Balance</v>
      </c>
      <c r="P8350" t="str">
        <f t="shared" si="523"/>
        <v>New</v>
      </c>
    </row>
    <row r="8351" spans="1:16" x14ac:dyDescent="0.25">
      <c r="A8351">
        <v>2025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  <c r="M8351" t="str">
        <f t="shared" si="520"/>
        <v>30-45</v>
      </c>
      <c r="N8351" t="str">
        <f t="shared" si="521"/>
        <v>High</v>
      </c>
      <c r="O8351" t="str">
        <f t="shared" si="522"/>
        <v>High Balance</v>
      </c>
      <c r="P8351" t="str">
        <f t="shared" si="523"/>
        <v>New</v>
      </c>
    </row>
    <row r="8352" spans="1:16" x14ac:dyDescent="0.25">
      <c r="A8352">
        <v>2025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  <c r="M8352" t="str">
        <f t="shared" si="520"/>
        <v>30-45</v>
      </c>
      <c r="N8352" t="str">
        <f t="shared" si="521"/>
        <v>Medium</v>
      </c>
      <c r="O8352" t="str">
        <f t="shared" si="522"/>
        <v>High Balance</v>
      </c>
      <c r="P8352" t="str">
        <f t="shared" si="523"/>
        <v>New</v>
      </c>
    </row>
    <row r="8353" spans="1:16" x14ac:dyDescent="0.25">
      <c r="A8353">
        <v>2025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  <c r="M8353" t="str">
        <f t="shared" si="520"/>
        <v>30-45</v>
      </c>
      <c r="N8353" t="str">
        <f t="shared" si="521"/>
        <v>Medium</v>
      </c>
      <c r="O8353" t="str">
        <f t="shared" si="522"/>
        <v>Zero Balance</v>
      </c>
      <c r="P8353" t="str">
        <f t="shared" si="523"/>
        <v>Mid-term</v>
      </c>
    </row>
    <row r="8354" spans="1:16" x14ac:dyDescent="0.25">
      <c r="A8354">
        <v>2025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  <c r="M8354" t="str">
        <f t="shared" si="520"/>
        <v>46-60</v>
      </c>
      <c r="N8354" t="str">
        <f t="shared" si="521"/>
        <v>Medium</v>
      </c>
      <c r="O8354" t="str">
        <f t="shared" si="522"/>
        <v>High Balance</v>
      </c>
      <c r="P8354" t="str">
        <f t="shared" si="523"/>
        <v>Mid-term</v>
      </c>
    </row>
    <row r="8355" spans="1:16" x14ac:dyDescent="0.25">
      <c r="A8355">
        <v>2025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  <c r="M8355" t="str">
        <f t="shared" si="520"/>
        <v>30-45</v>
      </c>
      <c r="N8355" t="str">
        <f t="shared" si="521"/>
        <v>Medium</v>
      </c>
      <c r="O8355" t="str">
        <f t="shared" si="522"/>
        <v>Zero Balance</v>
      </c>
      <c r="P8355" t="str">
        <f t="shared" si="523"/>
        <v>Mid-term</v>
      </c>
    </row>
    <row r="8356" spans="1:16" x14ac:dyDescent="0.25">
      <c r="A8356">
        <v>2025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  <c r="M8356" t="str">
        <f t="shared" si="520"/>
        <v>30-45</v>
      </c>
      <c r="N8356" t="str">
        <f t="shared" si="521"/>
        <v>Medium</v>
      </c>
      <c r="O8356" t="str">
        <f t="shared" si="522"/>
        <v>High Balance</v>
      </c>
      <c r="P8356" t="str">
        <f t="shared" si="523"/>
        <v>New</v>
      </c>
    </row>
    <row r="8357" spans="1:16" x14ac:dyDescent="0.25">
      <c r="A8357">
        <v>2025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  <c r="M8357" t="str">
        <f t="shared" si="520"/>
        <v>30-45</v>
      </c>
      <c r="N8357" t="str">
        <f t="shared" si="521"/>
        <v>Medium</v>
      </c>
      <c r="O8357" t="str">
        <f t="shared" si="522"/>
        <v>High Balance</v>
      </c>
      <c r="P8357" t="str">
        <f t="shared" si="523"/>
        <v>Mid-term</v>
      </c>
    </row>
    <row r="8358" spans="1:16" x14ac:dyDescent="0.25">
      <c r="A8358">
        <v>2025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  <c r="M8358" t="str">
        <f t="shared" si="520"/>
        <v>&lt;30</v>
      </c>
      <c r="N8358" t="str">
        <f t="shared" si="521"/>
        <v>High</v>
      </c>
      <c r="O8358" t="str">
        <f t="shared" si="522"/>
        <v>Zero Balance</v>
      </c>
      <c r="P8358" t="str">
        <f t="shared" si="523"/>
        <v>New</v>
      </c>
    </row>
    <row r="8359" spans="1:16" x14ac:dyDescent="0.25">
      <c r="A8359">
        <v>2025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  <c r="M8359" t="str">
        <f t="shared" si="520"/>
        <v>30-45</v>
      </c>
      <c r="N8359" t="str">
        <f t="shared" si="521"/>
        <v>Medium</v>
      </c>
      <c r="O8359" t="str">
        <f t="shared" si="522"/>
        <v>Zero Balance</v>
      </c>
      <c r="P8359" t="str">
        <f t="shared" si="523"/>
        <v>New</v>
      </c>
    </row>
    <row r="8360" spans="1:16" x14ac:dyDescent="0.25">
      <c r="A8360">
        <v>2025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  <c r="M8360" t="str">
        <f t="shared" si="520"/>
        <v>30-45</v>
      </c>
      <c r="N8360" t="str">
        <f t="shared" si="521"/>
        <v>Medium</v>
      </c>
      <c r="O8360" t="str">
        <f t="shared" si="522"/>
        <v>Low Balance</v>
      </c>
      <c r="P8360" t="str">
        <f t="shared" si="523"/>
        <v>Long-term</v>
      </c>
    </row>
    <row r="8361" spans="1:16" x14ac:dyDescent="0.25">
      <c r="A8361">
        <v>2025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  <c r="M8361" t="str">
        <f t="shared" si="520"/>
        <v>&lt;30</v>
      </c>
      <c r="N8361" t="str">
        <f t="shared" si="521"/>
        <v>Medium</v>
      </c>
      <c r="O8361" t="str">
        <f t="shared" si="522"/>
        <v>Zero Balance</v>
      </c>
      <c r="P8361" t="str">
        <f t="shared" si="523"/>
        <v>Mid-term</v>
      </c>
    </row>
    <row r="8362" spans="1:16" x14ac:dyDescent="0.25">
      <c r="A8362">
        <v>2025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  <c r="M8362" t="str">
        <f t="shared" si="520"/>
        <v>30-45</v>
      </c>
      <c r="N8362" t="str">
        <f t="shared" si="521"/>
        <v>Medium</v>
      </c>
      <c r="O8362" t="str">
        <f t="shared" si="522"/>
        <v>High Balance</v>
      </c>
      <c r="P8362" t="str">
        <f t="shared" si="523"/>
        <v>Long-term</v>
      </c>
    </row>
    <row r="8363" spans="1:16" x14ac:dyDescent="0.25">
      <c r="A8363">
        <v>2025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  <c r="M8363" t="str">
        <f t="shared" si="520"/>
        <v>30-45</v>
      </c>
      <c r="N8363" t="str">
        <f t="shared" si="521"/>
        <v>Medium</v>
      </c>
      <c r="O8363" t="str">
        <f t="shared" si="522"/>
        <v>High Balance</v>
      </c>
      <c r="P8363" t="str">
        <f t="shared" si="523"/>
        <v>Long-term</v>
      </c>
    </row>
    <row r="8364" spans="1:16" x14ac:dyDescent="0.25">
      <c r="A8364">
        <v>2025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  <c r="M8364" t="str">
        <f t="shared" si="520"/>
        <v>30-45</v>
      </c>
      <c r="N8364" t="str">
        <f t="shared" si="521"/>
        <v>Medium</v>
      </c>
      <c r="O8364" t="str">
        <f t="shared" si="522"/>
        <v>Zero Balance</v>
      </c>
      <c r="P8364" t="str">
        <f t="shared" si="523"/>
        <v>Mid-term</v>
      </c>
    </row>
    <row r="8365" spans="1:16" x14ac:dyDescent="0.25">
      <c r="A8365">
        <v>2025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  <c r="M8365" t="str">
        <f t="shared" si="520"/>
        <v>46-60</v>
      </c>
      <c r="N8365" t="str">
        <f t="shared" si="521"/>
        <v>Medium</v>
      </c>
      <c r="O8365" t="str">
        <f t="shared" si="522"/>
        <v>High Balance</v>
      </c>
      <c r="P8365" t="str">
        <f t="shared" si="523"/>
        <v>New</v>
      </c>
    </row>
    <row r="8366" spans="1:16" x14ac:dyDescent="0.25">
      <c r="A8366">
        <v>2025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  <c r="M8366" t="str">
        <f t="shared" si="520"/>
        <v>30-45</v>
      </c>
      <c r="N8366" t="str">
        <f t="shared" si="521"/>
        <v>Low</v>
      </c>
      <c r="O8366" t="str">
        <f t="shared" si="522"/>
        <v>High Balance</v>
      </c>
      <c r="P8366" t="str">
        <f t="shared" si="523"/>
        <v>Long-term</v>
      </c>
    </row>
    <row r="8367" spans="1:16" x14ac:dyDescent="0.25">
      <c r="A8367">
        <v>2025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  <c r="M8367" t="str">
        <f t="shared" si="520"/>
        <v>30-45</v>
      </c>
      <c r="N8367" t="str">
        <f t="shared" si="521"/>
        <v>High</v>
      </c>
      <c r="O8367" t="str">
        <f t="shared" si="522"/>
        <v>Low Balance</v>
      </c>
      <c r="P8367" t="str">
        <f t="shared" si="523"/>
        <v>New</v>
      </c>
    </row>
    <row r="8368" spans="1:16" x14ac:dyDescent="0.25">
      <c r="A8368">
        <v>2025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  <c r="M8368" t="str">
        <f t="shared" si="520"/>
        <v>30-45</v>
      </c>
      <c r="N8368" t="str">
        <f t="shared" si="521"/>
        <v>Medium</v>
      </c>
      <c r="O8368" t="str">
        <f t="shared" si="522"/>
        <v>Zero Balance</v>
      </c>
      <c r="P8368" t="str">
        <f t="shared" si="523"/>
        <v>New</v>
      </c>
    </row>
    <row r="8369" spans="1:16" x14ac:dyDescent="0.25">
      <c r="A8369">
        <v>2025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  <c r="M8369" t="str">
        <f t="shared" si="520"/>
        <v>46-60</v>
      </c>
      <c r="N8369" t="str">
        <f t="shared" si="521"/>
        <v>Low</v>
      </c>
      <c r="O8369" t="str">
        <f t="shared" si="522"/>
        <v>Low Balance</v>
      </c>
      <c r="P8369" t="str">
        <f t="shared" si="523"/>
        <v>Mid-term</v>
      </c>
    </row>
    <row r="8370" spans="1:16" x14ac:dyDescent="0.25">
      <c r="A8370">
        <v>2025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  <c r="M8370" t="str">
        <f t="shared" si="520"/>
        <v>30-45</v>
      </c>
      <c r="N8370" t="str">
        <f t="shared" si="521"/>
        <v>Medium</v>
      </c>
      <c r="O8370" t="str">
        <f t="shared" si="522"/>
        <v>Low Balance</v>
      </c>
      <c r="P8370" t="str">
        <f t="shared" si="523"/>
        <v>Mid-term</v>
      </c>
    </row>
    <row r="8371" spans="1:16" x14ac:dyDescent="0.25">
      <c r="A8371">
        <v>2025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  <c r="M8371" t="str">
        <f t="shared" si="520"/>
        <v>30-45</v>
      </c>
      <c r="N8371" t="str">
        <f t="shared" si="521"/>
        <v>Medium</v>
      </c>
      <c r="O8371" t="str">
        <f t="shared" si="522"/>
        <v>High Balance</v>
      </c>
      <c r="P8371" t="str">
        <f t="shared" si="523"/>
        <v>New</v>
      </c>
    </row>
    <row r="8372" spans="1:16" x14ac:dyDescent="0.25">
      <c r="A8372">
        <v>2025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  <c r="M8372" t="str">
        <f t="shared" si="520"/>
        <v>30-45</v>
      </c>
      <c r="N8372" t="str">
        <f t="shared" si="521"/>
        <v>Medium</v>
      </c>
      <c r="O8372" t="str">
        <f t="shared" si="522"/>
        <v>High Balance</v>
      </c>
      <c r="P8372" t="str">
        <f t="shared" si="523"/>
        <v>New</v>
      </c>
    </row>
    <row r="8373" spans="1:16" x14ac:dyDescent="0.25">
      <c r="A8373">
        <v>2025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  <c r="M8373" t="str">
        <f t="shared" si="520"/>
        <v>&lt;30</v>
      </c>
      <c r="N8373" t="str">
        <f t="shared" si="521"/>
        <v>High</v>
      </c>
      <c r="O8373" t="str">
        <f t="shared" si="522"/>
        <v>High Balance</v>
      </c>
      <c r="P8373" t="str">
        <f t="shared" si="523"/>
        <v>Mid-term</v>
      </c>
    </row>
    <row r="8374" spans="1:16" x14ac:dyDescent="0.25">
      <c r="A8374">
        <v>2025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  <c r="M8374" t="str">
        <f t="shared" si="520"/>
        <v>30-45</v>
      </c>
      <c r="N8374" t="str">
        <f t="shared" si="521"/>
        <v>High</v>
      </c>
      <c r="O8374" t="str">
        <f t="shared" si="522"/>
        <v>High Balance</v>
      </c>
      <c r="P8374" t="str">
        <f t="shared" si="523"/>
        <v>New</v>
      </c>
    </row>
    <row r="8375" spans="1:16" x14ac:dyDescent="0.25">
      <c r="A8375">
        <v>2025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  <c r="M8375" t="str">
        <f t="shared" si="520"/>
        <v>&lt;30</v>
      </c>
      <c r="N8375" t="str">
        <f t="shared" si="521"/>
        <v>High</v>
      </c>
      <c r="O8375" t="str">
        <f t="shared" si="522"/>
        <v>Zero Balance</v>
      </c>
      <c r="P8375" t="str">
        <f t="shared" si="523"/>
        <v>Mid-term</v>
      </c>
    </row>
    <row r="8376" spans="1:16" x14ac:dyDescent="0.25">
      <c r="A8376">
        <v>2025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  <c r="M8376" t="str">
        <f t="shared" si="520"/>
        <v>46-60</v>
      </c>
      <c r="N8376" t="str">
        <f t="shared" si="521"/>
        <v>Medium</v>
      </c>
      <c r="O8376" t="str">
        <f t="shared" si="522"/>
        <v>Zero Balance</v>
      </c>
      <c r="P8376" t="str">
        <f t="shared" si="523"/>
        <v>Mid-term</v>
      </c>
    </row>
    <row r="8377" spans="1:16" x14ac:dyDescent="0.25">
      <c r="A8377">
        <v>2025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  <c r="M8377" t="str">
        <f t="shared" si="520"/>
        <v>30-45</v>
      </c>
      <c r="N8377" t="str">
        <f t="shared" si="521"/>
        <v>Medium</v>
      </c>
      <c r="O8377" t="str">
        <f t="shared" si="522"/>
        <v>High Balance</v>
      </c>
      <c r="P8377" t="str">
        <f t="shared" si="523"/>
        <v>Mid-term</v>
      </c>
    </row>
    <row r="8378" spans="1:16" x14ac:dyDescent="0.25">
      <c r="A8378">
        <v>2025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  <c r="M8378" t="str">
        <f t="shared" si="520"/>
        <v>30-45</v>
      </c>
      <c r="N8378" t="str">
        <f t="shared" si="521"/>
        <v>Medium</v>
      </c>
      <c r="O8378" t="str">
        <f t="shared" si="522"/>
        <v>Low Balance</v>
      </c>
      <c r="P8378" t="str">
        <f t="shared" si="523"/>
        <v>New</v>
      </c>
    </row>
    <row r="8379" spans="1:16" x14ac:dyDescent="0.25">
      <c r="A8379">
        <v>2025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  <c r="M8379" t="str">
        <f t="shared" si="520"/>
        <v>30-45</v>
      </c>
      <c r="N8379" t="str">
        <f t="shared" si="521"/>
        <v>High</v>
      </c>
      <c r="O8379" t="str">
        <f t="shared" si="522"/>
        <v>Zero Balance</v>
      </c>
      <c r="P8379" t="str">
        <f t="shared" si="523"/>
        <v>Mid-term</v>
      </c>
    </row>
    <row r="8380" spans="1:16" x14ac:dyDescent="0.25">
      <c r="A8380">
        <v>2025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  <c r="M8380" t="str">
        <f t="shared" si="520"/>
        <v>30-45</v>
      </c>
      <c r="N8380" t="str">
        <f t="shared" si="521"/>
        <v>Medium</v>
      </c>
      <c r="O8380" t="str">
        <f t="shared" si="522"/>
        <v>Low Balance</v>
      </c>
      <c r="P8380" t="str">
        <f t="shared" si="523"/>
        <v>Mid-term</v>
      </c>
    </row>
    <row r="8381" spans="1:16" x14ac:dyDescent="0.25">
      <c r="A8381">
        <v>2025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  <c r="M8381" t="str">
        <f t="shared" si="520"/>
        <v>46-60</v>
      </c>
      <c r="N8381" t="str">
        <f t="shared" si="521"/>
        <v>Low</v>
      </c>
      <c r="O8381" t="str">
        <f t="shared" si="522"/>
        <v>Zero Balance</v>
      </c>
      <c r="P8381" t="str">
        <f t="shared" si="523"/>
        <v>Mid-term</v>
      </c>
    </row>
    <row r="8382" spans="1:16" x14ac:dyDescent="0.25">
      <c r="A8382">
        <v>2025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  <c r="M8382" t="str">
        <f t="shared" si="520"/>
        <v>30-45</v>
      </c>
      <c r="N8382" t="str">
        <f t="shared" si="521"/>
        <v>Medium</v>
      </c>
      <c r="O8382" t="str">
        <f t="shared" si="522"/>
        <v>High Balance</v>
      </c>
      <c r="P8382" t="str">
        <f t="shared" si="523"/>
        <v>Long-term</v>
      </c>
    </row>
    <row r="8383" spans="1:16" x14ac:dyDescent="0.25">
      <c r="A8383">
        <v>2025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  <c r="M8383" t="str">
        <f t="shared" si="520"/>
        <v>30-45</v>
      </c>
      <c r="N8383" t="str">
        <f t="shared" si="521"/>
        <v>Medium</v>
      </c>
      <c r="O8383" t="str">
        <f t="shared" si="522"/>
        <v>High Balance</v>
      </c>
      <c r="P8383" t="str">
        <f t="shared" si="523"/>
        <v>New</v>
      </c>
    </row>
    <row r="8384" spans="1:16" x14ac:dyDescent="0.25">
      <c r="A8384">
        <v>2025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  <c r="M8384" t="str">
        <f t="shared" si="520"/>
        <v>&lt;30</v>
      </c>
      <c r="N8384" t="str">
        <f t="shared" si="521"/>
        <v>Medium</v>
      </c>
      <c r="O8384" t="str">
        <f t="shared" si="522"/>
        <v>Zero Balance</v>
      </c>
      <c r="P8384" t="str">
        <f t="shared" si="523"/>
        <v>New</v>
      </c>
    </row>
    <row r="8385" spans="1:16" x14ac:dyDescent="0.25">
      <c r="A8385">
        <v>2025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  <c r="M8385" t="str">
        <f t="shared" si="520"/>
        <v>30-45</v>
      </c>
      <c r="N8385" t="str">
        <f t="shared" si="521"/>
        <v>Low</v>
      </c>
      <c r="O8385" t="str">
        <f t="shared" si="522"/>
        <v>High Balance</v>
      </c>
      <c r="P8385" t="str">
        <f t="shared" si="523"/>
        <v>Mid-term</v>
      </c>
    </row>
    <row r="8386" spans="1:16" x14ac:dyDescent="0.25">
      <c r="A8386">
        <v>2025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  <c r="M8386" t="str">
        <f t="shared" si="520"/>
        <v>30-45</v>
      </c>
      <c r="N8386" t="str">
        <f t="shared" si="521"/>
        <v>High</v>
      </c>
      <c r="O8386" t="str">
        <f t="shared" si="522"/>
        <v>Zero Balance</v>
      </c>
      <c r="P8386" t="str">
        <f t="shared" si="523"/>
        <v>New</v>
      </c>
    </row>
    <row r="8387" spans="1:16" x14ac:dyDescent="0.25">
      <c r="A8387">
        <v>2025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  <c r="M8387" t="str">
        <f t="shared" ref="M8387:M8450" si="524">IF(E8387&lt;30,"&lt;30",IF(E8387&lt;=45,"30-45",IF(E8387&lt;=60,"46-60","60+")))</f>
        <v>60+</v>
      </c>
      <c r="N8387" t="str">
        <f t="shared" ref="N8387:N8450" si="525">IF(B8387&lt;500,"Low",IF(B8387&lt;700,"Medium","High"))</f>
        <v>Medium</v>
      </c>
      <c r="O8387" t="str">
        <f t="shared" ref="O8387:O8450" si="526">IF(G8387=0,"Zero Balance",IF(G8387&lt;100000,"Low Balance","High Balance"))</f>
        <v>High Balance</v>
      </c>
      <c r="P8387" t="str">
        <f t="shared" ref="P8387:P8450" si="527">IF(F8387&lt;=3,"New",IF(F8387&lt;=7,"Mid-term","Long-term"))</f>
        <v>Mid-term</v>
      </c>
    </row>
    <row r="8388" spans="1:16" x14ac:dyDescent="0.25">
      <c r="A8388">
        <v>2025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  <c r="M8388" t="str">
        <f t="shared" si="524"/>
        <v>30-45</v>
      </c>
      <c r="N8388" t="str">
        <f t="shared" si="525"/>
        <v>High</v>
      </c>
      <c r="O8388" t="str">
        <f t="shared" si="526"/>
        <v>Zero Balance</v>
      </c>
      <c r="P8388" t="str">
        <f t="shared" si="527"/>
        <v>New</v>
      </c>
    </row>
    <row r="8389" spans="1:16" x14ac:dyDescent="0.25">
      <c r="A8389">
        <v>2025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  <c r="M8389" t="str">
        <f t="shared" si="524"/>
        <v>30-45</v>
      </c>
      <c r="N8389" t="str">
        <f t="shared" si="525"/>
        <v>Medium</v>
      </c>
      <c r="O8389" t="str">
        <f t="shared" si="526"/>
        <v>High Balance</v>
      </c>
      <c r="P8389" t="str">
        <f t="shared" si="527"/>
        <v>Long-term</v>
      </c>
    </row>
    <row r="8390" spans="1:16" x14ac:dyDescent="0.25">
      <c r="A8390">
        <v>2025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  <c r="M8390" t="str">
        <f t="shared" si="524"/>
        <v>46-60</v>
      </c>
      <c r="N8390" t="str">
        <f t="shared" si="525"/>
        <v>High</v>
      </c>
      <c r="O8390" t="str">
        <f t="shared" si="526"/>
        <v>Zero Balance</v>
      </c>
      <c r="P8390" t="str">
        <f t="shared" si="527"/>
        <v>Mid-term</v>
      </c>
    </row>
    <row r="8391" spans="1:16" x14ac:dyDescent="0.25">
      <c r="A8391">
        <v>2025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  <c r="M8391" t="str">
        <f t="shared" si="524"/>
        <v>&lt;30</v>
      </c>
      <c r="N8391" t="str">
        <f t="shared" si="525"/>
        <v>High</v>
      </c>
      <c r="O8391" t="str">
        <f t="shared" si="526"/>
        <v>Zero Balance</v>
      </c>
      <c r="P8391" t="str">
        <f t="shared" si="527"/>
        <v>Mid-term</v>
      </c>
    </row>
    <row r="8392" spans="1:16" x14ac:dyDescent="0.25">
      <c r="A8392">
        <v>2025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  <c r="M8392" t="str">
        <f t="shared" si="524"/>
        <v>46-60</v>
      </c>
      <c r="N8392" t="str">
        <f t="shared" si="525"/>
        <v>Medium</v>
      </c>
      <c r="O8392" t="str">
        <f t="shared" si="526"/>
        <v>Low Balance</v>
      </c>
      <c r="P8392" t="str">
        <f t="shared" si="527"/>
        <v>New</v>
      </c>
    </row>
    <row r="8393" spans="1:16" x14ac:dyDescent="0.25">
      <c r="A8393">
        <v>2025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  <c r="M8393" t="str">
        <f t="shared" si="524"/>
        <v>30-45</v>
      </c>
      <c r="N8393" t="str">
        <f t="shared" si="525"/>
        <v>Medium</v>
      </c>
      <c r="O8393" t="str">
        <f t="shared" si="526"/>
        <v>Low Balance</v>
      </c>
      <c r="P8393" t="str">
        <f t="shared" si="527"/>
        <v>Long-term</v>
      </c>
    </row>
    <row r="8394" spans="1:16" x14ac:dyDescent="0.25">
      <c r="A8394">
        <v>2025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  <c r="M8394" t="str">
        <f t="shared" si="524"/>
        <v>30-45</v>
      </c>
      <c r="N8394" t="str">
        <f t="shared" si="525"/>
        <v>High</v>
      </c>
      <c r="O8394" t="str">
        <f t="shared" si="526"/>
        <v>High Balance</v>
      </c>
      <c r="P8394" t="str">
        <f t="shared" si="527"/>
        <v>New</v>
      </c>
    </row>
    <row r="8395" spans="1:16" x14ac:dyDescent="0.25">
      <c r="A8395">
        <v>2025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  <c r="M8395" t="str">
        <f t="shared" si="524"/>
        <v>46-60</v>
      </c>
      <c r="N8395" t="str">
        <f t="shared" si="525"/>
        <v>High</v>
      </c>
      <c r="O8395" t="str">
        <f t="shared" si="526"/>
        <v>High Balance</v>
      </c>
      <c r="P8395" t="str">
        <f t="shared" si="527"/>
        <v>Long-term</v>
      </c>
    </row>
    <row r="8396" spans="1:16" x14ac:dyDescent="0.25">
      <c r="A8396">
        <v>2025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  <c r="M8396" t="str">
        <f t="shared" si="524"/>
        <v>60+</v>
      </c>
      <c r="N8396" t="str">
        <f t="shared" si="525"/>
        <v>Medium</v>
      </c>
      <c r="O8396" t="str">
        <f t="shared" si="526"/>
        <v>High Balance</v>
      </c>
      <c r="P8396" t="str">
        <f t="shared" si="527"/>
        <v>Long-term</v>
      </c>
    </row>
    <row r="8397" spans="1:16" x14ac:dyDescent="0.25">
      <c r="A8397">
        <v>2025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  <c r="M8397" t="str">
        <f t="shared" si="524"/>
        <v>30-45</v>
      </c>
      <c r="N8397" t="str">
        <f t="shared" si="525"/>
        <v>Medium</v>
      </c>
      <c r="O8397" t="str">
        <f t="shared" si="526"/>
        <v>High Balance</v>
      </c>
      <c r="P8397" t="str">
        <f t="shared" si="527"/>
        <v>New</v>
      </c>
    </row>
    <row r="8398" spans="1:16" x14ac:dyDescent="0.25">
      <c r="A8398">
        <v>2025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  <c r="M8398" t="str">
        <f t="shared" si="524"/>
        <v>46-60</v>
      </c>
      <c r="N8398" t="str">
        <f t="shared" si="525"/>
        <v>Medium</v>
      </c>
      <c r="O8398" t="str">
        <f t="shared" si="526"/>
        <v>High Balance</v>
      </c>
      <c r="P8398" t="str">
        <f t="shared" si="527"/>
        <v>Mid-term</v>
      </c>
    </row>
    <row r="8399" spans="1:16" x14ac:dyDescent="0.25">
      <c r="A8399">
        <v>2025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  <c r="M8399" t="str">
        <f t="shared" si="524"/>
        <v>&lt;30</v>
      </c>
      <c r="N8399" t="str">
        <f t="shared" si="525"/>
        <v>Medium</v>
      </c>
      <c r="O8399" t="str">
        <f t="shared" si="526"/>
        <v>High Balance</v>
      </c>
      <c r="P8399" t="str">
        <f t="shared" si="527"/>
        <v>Mid-term</v>
      </c>
    </row>
    <row r="8400" spans="1:16" x14ac:dyDescent="0.25">
      <c r="A8400">
        <v>2025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  <c r="M8400" t="str">
        <f t="shared" si="524"/>
        <v>30-45</v>
      </c>
      <c r="N8400" t="str">
        <f t="shared" si="525"/>
        <v>High</v>
      </c>
      <c r="O8400" t="str">
        <f t="shared" si="526"/>
        <v>High Balance</v>
      </c>
      <c r="P8400" t="str">
        <f t="shared" si="527"/>
        <v>Mid-term</v>
      </c>
    </row>
    <row r="8401" spans="1:16" x14ac:dyDescent="0.25">
      <c r="A8401">
        <v>2025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  <c r="M8401" t="str">
        <f t="shared" si="524"/>
        <v>30-45</v>
      </c>
      <c r="N8401" t="str">
        <f t="shared" si="525"/>
        <v>Medium</v>
      </c>
      <c r="O8401" t="str">
        <f t="shared" si="526"/>
        <v>Zero Balance</v>
      </c>
      <c r="P8401" t="str">
        <f t="shared" si="527"/>
        <v>Long-term</v>
      </c>
    </row>
    <row r="8402" spans="1:16" x14ac:dyDescent="0.25">
      <c r="A8402">
        <v>2025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  <c r="M8402" t="str">
        <f t="shared" si="524"/>
        <v>30-45</v>
      </c>
      <c r="N8402" t="str">
        <f t="shared" si="525"/>
        <v>High</v>
      </c>
      <c r="O8402" t="str">
        <f t="shared" si="526"/>
        <v>High Balance</v>
      </c>
      <c r="P8402" t="str">
        <f t="shared" si="527"/>
        <v>Long-term</v>
      </c>
    </row>
    <row r="8403" spans="1:16" x14ac:dyDescent="0.25">
      <c r="A8403">
        <v>2025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  <c r="M8403" t="str">
        <f t="shared" si="524"/>
        <v>46-60</v>
      </c>
      <c r="N8403" t="str">
        <f t="shared" si="525"/>
        <v>Medium</v>
      </c>
      <c r="O8403" t="str">
        <f t="shared" si="526"/>
        <v>Zero Balance</v>
      </c>
      <c r="P8403" t="str">
        <f t="shared" si="527"/>
        <v>New</v>
      </c>
    </row>
    <row r="8404" spans="1:16" x14ac:dyDescent="0.25">
      <c r="A8404">
        <v>2025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  <c r="M8404" t="str">
        <f t="shared" si="524"/>
        <v>30-45</v>
      </c>
      <c r="N8404" t="str">
        <f t="shared" si="525"/>
        <v>Medium</v>
      </c>
      <c r="O8404" t="str">
        <f t="shared" si="526"/>
        <v>High Balance</v>
      </c>
      <c r="P8404" t="str">
        <f t="shared" si="527"/>
        <v>Mid-term</v>
      </c>
    </row>
    <row r="8405" spans="1:16" x14ac:dyDescent="0.25">
      <c r="A8405">
        <v>2025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  <c r="M8405" t="str">
        <f t="shared" si="524"/>
        <v>&lt;30</v>
      </c>
      <c r="N8405" t="str">
        <f t="shared" si="525"/>
        <v>High</v>
      </c>
      <c r="O8405" t="str">
        <f t="shared" si="526"/>
        <v>Zero Balance</v>
      </c>
      <c r="P8405" t="str">
        <f t="shared" si="527"/>
        <v>Mid-term</v>
      </c>
    </row>
    <row r="8406" spans="1:16" x14ac:dyDescent="0.25">
      <c r="A8406">
        <v>2025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  <c r="M8406" t="str">
        <f t="shared" si="524"/>
        <v>46-60</v>
      </c>
      <c r="N8406" t="str">
        <f t="shared" si="525"/>
        <v>Medium</v>
      </c>
      <c r="O8406" t="str">
        <f t="shared" si="526"/>
        <v>High Balance</v>
      </c>
      <c r="P8406" t="str">
        <f t="shared" si="527"/>
        <v>Mid-term</v>
      </c>
    </row>
    <row r="8407" spans="1:16" x14ac:dyDescent="0.25">
      <c r="A8407">
        <v>2025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  <c r="M8407" t="str">
        <f t="shared" si="524"/>
        <v>30-45</v>
      </c>
      <c r="N8407" t="str">
        <f t="shared" si="525"/>
        <v>Medium</v>
      </c>
      <c r="O8407" t="str">
        <f t="shared" si="526"/>
        <v>Zero Balance</v>
      </c>
      <c r="P8407" t="str">
        <f t="shared" si="527"/>
        <v>New</v>
      </c>
    </row>
    <row r="8408" spans="1:16" x14ac:dyDescent="0.25">
      <c r="A8408">
        <v>2025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  <c r="M8408" t="str">
        <f t="shared" si="524"/>
        <v>&lt;30</v>
      </c>
      <c r="N8408" t="str">
        <f t="shared" si="525"/>
        <v>High</v>
      </c>
      <c r="O8408" t="str">
        <f t="shared" si="526"/>
        <v>Low Balance</v>
      </c>
      <c r="P8408" t="str">
        <f t="shared" si="527"/>
        <v>Mid-term</v>
      </c>
    </row>
    <row r="8409" spans="1:16" x14ac:dyDescent="0.25">
      <c r="A8409">
        <v>2025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  <c r="M8409" t="str">
        <f t="shared" si="524"/>
        <v>&lt;30</v>
      </c>
      <c r="N8409" t="str">
        <f t="shared" si="525"/>
        <v>High</v>
      </c>
      <c r="O8409" t="str">
        <f t="shared" si="526"/>
        <v>Zero Balance</v>
      </c>
      <c r="P8409" t="str">
        <f t="shared" si="527"/>
        <v>New</v>
      </c>
    </row>
    <row r="8410" spans="1:16" x14ac:dyDescent="0.25">
      <c r="A8410">
        <v>2025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  <c r="M8410" t="str">
        <f t="shared" si="524"/>
        <v>30-45</v>
      </c>
      <c r="N8410" t="str">
        <f t="shared" si="525"/>
        <v>High</v>
      </c>
      <c r="O8410" t="str">
        <f t="shared" si="526"/>
        <v>Low Balance</v>
      </c>
      <c r="P8410" t="str">
        <f t="shared" si="527"/>
        <v>Mid-term</v>
      </c>
    </row>
    <row r="8411" spans="1:16" x14ac:dyDescent="0.25">
      <c r="A8411">
        <v>2025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  <c r="M8411" t="str">
        <f t="shared" si="524"/>
        <v>30-45</v>
      </c>
      <c r="N8411" t="str">
        <f t="shared" si="525"/>
        <v>High</v>
      </c>
      <c r="O8411" t="str">
        <f t="shared" si="526"/>
        <v>High Balance</v>
      </c>
      <c r="P8411" t="str">
        <f t="shared" si="527"/>
        <v>Long-term</v>
      </c>
    </row>
    <row r="8412" spans="1:16" x14ac:dyDescent="0.25">
      <c r="A8412">
        <v>2025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  <c r="M8412" t="str">
        <f t="shared" si="524"/>
        <v>46-60</v>
      </c>
      <c r="N8412" t="str">
        <f t="shared" si="525"/>
        <v>High</v>
      </c>
      <c r="O8412" t="str">
        <f t="shared" si="526"/>
        <v>Zero Balance</v>
      </c>
      <c r="P8412" t="str">
        <f t="shared" si="527"/>
        <v>Long-term</v>
      </c>
    </row>
    <row r="8413" spans="1:16" x14ac:dyDescent="0.25">
      <c r="A8413">
        <v>2025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  <c r="M8413" t="str">
        <f t="shared" si="524"/>
        <v>46-60</v>
      </c>
      <c r="N8413" t="str">
        <f t="shared" si="525"/>
        <v>Medium</v>
      </c>
      <c r="O8413" t="str">
        <f t="shared" si="526"/>
        <v>Zero Balance</v>
      </c>
      <c r="P8413" t="str">
        <f t="shared" si="527"/>
        <v>Mid-term</v>
      </c>
    </row>
    <row r="8414" spans="1:16" x14ac:dyDescent="0.25">
      <c r="A8414">
        <v>2025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  <c r="M8414" t="str">
        <f t="shared" si="524"/>
        <v>&lt;30</v>
      </c>
      <c r="N8414" t="str">
        <f t="shared" si="525"/>
        <v>Medium</v>
      </c>
      <c r="O8414" t="str">
        <f t="shared" si="526"/>
        <v>Low Balance</v>
      </c>
      <c r="P8414" t="str">
        <f t="shared" si="527"/>
        <v>Long-term</v>
      </c>
    </row>
    <row r="8415" spans="1:16" x14ac:dyDescent="0.25">
      <c r="A8415">
        <v>2025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  <c r="M8415" t="str">
        <f t="shared" si="524"/>
        <v>30-45</v>
      </c>
      <c r="N8415" t="str">
        <f t="shared" si="525"/>
        <v>High</v>
      </c>
      <c r="O8415" t="str">
        <f t="shared" si="526"/>
        <v>Zero Balance</v>
      </c>
      <c r="P8415" t="str">
        <f t="shared" si="527"/>
        <v>Mid-term</v>
      </c>
    </row>
    <row r="8416" spans="1:16" x14ac:dyDescent="0.25">
      <c r="A8416">
        <v>2025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  <c r="M8416" t="str">
        <f t="shared" si="524"/>
        <v>&lt;30</v>
      </c>
      <c r="N8416" t="str">
        <f t="shared" si="525"/>
        <v>Medium</v>
      </c>
      <c r="O8416" t="str">
        <f t="shared" si="526"/>
        <v>Low Balance</v>
      </c>
      <c r="P8416" t="str">
        <f t="shared" si="527"/>
        <v>Mid-term</v>
      </c>
    </row>
    <row r="8417" spans="1:16" x14ac:dyDescent="0.25">
      <c r="A8417">
        <v>2025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  <c r="M8417" t="str">
        <f t="shared" si="524"/>
        <v>30-45</v>
      </c>
      <c r="N8417" t="str">
        <f t="shared" si="525"/>
        <v>High</v>
      </c>
      <c r="O8417" t="str">
        <f t="shared" si="526"/>
        <v>Low Balance</v>
      </c>
      <c r="P8417" t="str">
        <f t="shared" si="527"/>
        <v>New</v>
      </c>
    </row>
    <row r="8418" spans="1:16" x14ac:dyDescent="0.25">
      <c r="A8418">
        <v>2025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  <c r="M8418" t="str">
        <f t="shared" si="524"/>
        <v>30-45</v>
      </c>
      <c r="N8418" t="str">
        <f t="shared" si="525"/>
        <v>Medium</v>
      </c>
      <c r="O8418" t="str">
        <f t="shared" si="526"/>
        <v>Low Balance</v>
      </c>
      <c r="P8418" t="str">
        <f t="shared" si="527"/>
        <v>New</v>
      </c>
    </row>
    <row r="8419" spans="1:16" x14ac:dyDescent="0.25">
      <c r="A8419">
        <v>2025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  <c r="M8419" t="str">
        <f t="shared" si="524"/>
        <v>&lt;30</v>
      </c>
      <c r="N8419" t="str">
        <f t="shared" si="525"/>
        <v>Medium</v>
      </c>
      <c r="O8419" t="str">
        <f t="shared" si="526"/>
        <v>Zero Balance</v>
      </c>
      <c r="P8419" t="str">
        <f t="shared" si="527"/>
        <v>Mid-term</v>
      </c>
    </row>
    <row r="8420" spans="1:16" x14ac:dyDescent="0.25">
      <c r="A8420">
        <v>2025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  <c r="M8420" t="str">
        <f t="shared" si="524"/>
        <v>30-45</v>
      </c>
      <c r="N8420" t="str">
        <f t="shared" si="525"/>
        <v>Medium</v>
      </c>
      <c r="O8420" t="str">
        <f t="shared" si="526"/>
        <v>High Balance</v>
      </c>
      <c r="P8420" t="str">
        <f t="shared" si="527"/>
        <v>New</v>
      </c>
    </row>
    <row r="8421" spans="1:16" x14ac:dyDescent="0.25">
      <c r="A8421">
        <v>2025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  <c r="M8421" t="str">
        <f t="shared" si="524"/>
        <v>&lt;30</v>
      </c>
      <c r="N8421" t="str">
        <f t="shared" si="525"/>
        <v>Medium</v>
      </c>
      <c r="O8421" t="str">
        <f t="shared" si="526"/>
        <v>Low Balance</v>
      </c>
      <c r="P8421" t="str">
        <f t="shared" si="527"/>
        <v>Mid-term</v>
      </c>
    </row>
    <row r="8422" spans="1:16" x14ac:dyDescent="0.25">
      <c r="A8422">
        <v>2025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  <c r="M8422" t="str">
        <f t="shared" si="524"/>
        <v>&lt;30</v>
      </c>
      <c r="N8422" t="str">
        <f t="shared" si="525"/>
        <v>Medium</v>
      </c>
      <c r="O8422" t="str">
        <f t="shared" si="526"/>
        <v>Zero Balance</v>
      </c>
      <c r="P8422" t="str">
        <f t="shared" si="527"/>
        <v>Long-term</v>
      </c>
    </row>
    <row r="8423" spans="1:16" x14ac:dyDescent="0.25">
      <c r="A8423">
        <v>2025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  <c r="M8423" t="str">
        <f t="shared" si="524"/>
        <v>30-45</v>
      </c>
      <c r="N8423" t="str">
        <f t="shared" si="525"/>
        <v>Medium</v>
      </c>
      <c r="O8423" t="str">
        <f t="shared" si="526"/>
        <v>High Balance</v>
      </c>
      <c r="P8423" t="str">
        <f t="shared" si="527"/>
        <v>Mid-term</v>
      </c>
    </row>
    <row r="8424" spans="1:16" x14ac:dyDescent="0.25">
      <c r="A8424">
        <v>2025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  <c r="M8424" t="str">
        <f t="shared" si="524"/>
        <v>46-60</v>
      </c>
      <c r="N8424" t="str">
        <f t="shared" si="525"/>
        <v>Medium</v>
      </c>
      <c r="O8424" t="str">
        <f t="shared" si="526"/>
        <v>High Balance</v>
      </c>
      <c r="P8424" t="str">
        <f t="shared" si="527"/>
        <v>Mid-term</v>
      </c>
    </row>
    <row r="8425" spans="1:16" x14ac:dyDescent="0.25">
      <c r="A8425">
        <v>2025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  <c r="M8425" t="str">
        <f t="shared" si="524"/>
        <v>30-45</v>
      </c>
      <c r="N8425" t="str">
        <f t="shared" si="525"/>
        <v>High</v>
      </c>
      <c r="O8425" t="str">
        <f t="shared" si="526"/>
        <v>Zero Balance</v>
      </c>
      <c r="P8425" t="str">
        <f t="shared" si="527"/>
        <v>Mid-term</v>
      </c>
    </row>
    <row r="8426" spans="1:16" x14ac:dyDescent="0.25">
      <c r="A8426">
        <v>2025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  <c r="M8426" t="str">
        <f t="shared" si="524"/>
        <v>&lt;30</v>
      </c>
      <c r="N8426" t="str">
        <f t="shared" si="525"/>
        <v>High</v>
      </c>
      <c r="O8426" t="str">
        <f t="shared" si="526"/>
        <v>Low Balance</v>
      </c>
      <c r="P8426" t="str">
        <f t="shared" si="527"/>
        <v>New</v>
      </c>
    </row>
    <row r="8427" spans="1:16" x14ac:dyDescent="0.25">
      <c r="A8427">
        <v>2025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  <c r="M8427" t="str">
        <f t="shared" si="524"/>
        <v>&lt;30</v>
      </c>
      <c r="N8427" t="str">
        <f t="shared" si="525"/>
        <v>High</v>
      </c>
      <c r="O8427" t="str">
        <f t="shared" si="526"/>
        <v>High Balance</v>
      </c>
      <c r="P8427" t="str">
        <f t="shared" si="527"/>
        <v>Long-term</v>
      </c>
    </row>
    <row r="8428" spans="1:16" x14ac:dyDescent="0.25">
      <c r="A8428">
        <v>2025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  <c r="M8428" t="str">
        <f t="shared" si="524"/>
        <v>&lt;30</v>
      </c>
      <c r="N8428" t="str">
        <f t="shared" si="525"/>
        <v>Medium</v>
      </c>
      <c r="O8428" t="str">
        <f t="shared" si="526"/>
        <v>Zero Balance</v>
      </c>
      <c r="P8428" t="str">
        <f t="shared" si="527"/>
        <v>New</v>
      </c>
    </row>
    <row r="8429" spans="1:16" x14ac:dyDescent="0.25">
      <c r="A8429">
        <v>2025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  <c r="M8429" t="str">
        <f t="shared" si="524"/>
        <v>30-45</v>
      </c>
      <c r="N8429" t="str">
        <f t="shared" si="525"/>
        <v>High</v>
      </c>
      <c r="O8429" t="str">
        <f t="shared" si="526"/>
        <v>Low Balance</v>
      </c>
      <c r="P8429" t="str">
        <f t="shared" si="527"/>
        <v>New</v>
      </c>
    </row>
    <row r="8430" spans="1:16" x14ac:dyDescent="0.25">
      <c r="A8430">
        <v>2025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  <c r="M8430" t="str">
        <f t="shared" si="524"/>
        <v>30-45</v>
      </c>
      <c r="N8430" t="str">
        <f t="shared" si="525"/>
        <v>Medium</v>
      </c>
      <c r="O8430" t="str">
        <f t="shared" si="526"/>
        <v>High Balance</v>
      </c>
      <c r="P8430" t="str">
        <f t="shared" si="527"/>
        <v>New</v>
      </c>
    </row>
    <row r="8431" spans="1:16" x14ac:dyDescent="0.25">
      <c r="A8431">
        <v>2025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  <c r="M8431" t="str">
        <f t="shared" si="524"/>
        <v>&lt;30</v>
      </c>
      <c r="N8431" t="str">
        <f t="shared" si="525"/>
        <v>High</v>
      </c>
      <c r="O8431" t="str">
        <f t="shared" si="526"/>
        <v>High Balance</v>
      </c>
      <c r="P8431" t="str">
        <f t="shared" si="527"/>
        <v>New</v>
      </c>
    </row>
    <row r="8432" spans="1:16" x14ac:dyDescent="0.25">
      <c r="A8432">
        <v>2025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  <c r="M8432" t="str">
        <f t="shared" si="524"/>
        <v>30-45</v>
      </c>
      <c r="N8432" t="str">
        <f t="shared" si="525"/>
        <v>Medium</v>
      </c>
      <c r="O8432" t="str">
        <f t="shared" si="526"/>
        <v>High Balance</v>
      </c>
      <c r="P8432" t="str">
        <f t="shared" si="527"/>
        <v>Mid-term</v>
      </c>
    </row>
    <row r="8433" spans="1:16" x14ac:dyDescent="0.25">
      <c r="A8433">
        <v>2025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  <c r="M8433" t="str">
        <f t="shared" si="524"/>
        <v>30-45</v>
      </c>
      <c r="N8433" t="str">
        <f t="shared" si="525"/>
        <v>Medium</v>
      </c>
      <c r="O8433" t="str">
        <f t="shared" si="526"/>
        <v>High Balance</v>
      </c>
      <c r="P8433" t="str">
        <f t="shared" si="527"/>
        <v>Long-term</v>
      </c>
    </row>
    <row r="8434" spans="1:16" x14ac:dyDescent="0.25">
      <c r="A8434">
        <v>2025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  <c r="M8434" t="str">
        <f t="shared" si="524"/>
        <v>46-60</v>
      </c>
      <c r="N8434" t="str">
        <f t="shared" si="525"/>
        <v>Low</v>
      </c>
      <c r="O8434" t="str">
        <f t="shared" si="526"/>
        <v>High Balance</v>
      </c>
      <c r="P8434" t="str">
        <f t="shared" si="527"/>
        <v>Mid-term</v>
      </c>
    </row>
    <row r="8435" spans="1:16" x14ac:dyDescent="0.25">
      <c r="A8435">
        <v>2025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  <c r="M8435" t="str">
        <f t="shared" si="524"/>
        <v>30-45</v>
      </c>
      <c r="N8435" t="str">
        <f t="shared" si="525"/>
        <v>High</v>
      </c>
      <c r="O8435" t="str">
        <f t="shared" si="526"/>
        <v>High Balance</v>
      </c>
      <c r="P8435" t="str">
        <f t="shared" si="527"/>
        <v>Mid-term</v>
      </c>
    </row>
    <row r="8436" spans="1:16" x14ac:dyDescent="0.25">
      <c r="A8436">
        <v>2025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  <c r="M8436" t="str">
        <f t="shared" si="524"/>
        <v>30-45</v>
      </c>
      <c r="N8436" t="str">
        <f t="shared" si="525"/>
        <v>Medium</v>
      </c>
      <c r="O8436" t="str">
        <f t="shared" si="526"/>
        <v>High Balance</v>
      </c>
      <c r="P8436" t="str">
        <f t="shared" si="527"/>
        <v>Mid-term</v>
      </c>
    </row>
    <row r="8437" spans="1:16" x14ac:dyDescent="0.25">
      <c r="A8437">
        <v>2025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  <c r="M8437" t="str">
        <f t="shared" si="524"/>
        <v>30-45</v>
      </c>
      <c r="N8437" t="str">
        <f t="shared" si="525"/>
        <v>Medium</v>
      </c>
      <c r="O8437" t="str">
        <f t="shared" si="526"/>
        <v>High Balance</v>
      </c>
      <c r="P8437" t="str">
        <f t="shared" si="527"/>
        <v>New</v>
      </c>
    </row>
    <row r="8438" spans="1:16" x14ac:dyDescent="0.25">
      <c r="A8438">
        <v>2025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  <c r="M8438" t="str">
        <f t="shared" si="524"/>
        <v>30-45</v>
      </c>
      <c r="N8438" t="str">
        <f t="shared" si="525"/>
        <v>High</v>
      </c>
      <c r="O8438" t="str">
        <f t="shared" si="526"/>
        <v>Zero Balance</v>
      </c>
      <c r="P8438" t="str">
        <f t="shared" si="527"/>
        <v>Mid-term</v>
      </c>
    </row>
    <row r="8439" spans="1:16" x14ac:dyDescent="0.25">
      <c r="A8439">
        <v>2025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  <c r="M8439" t="str">
        <f t="shared" si="524"/>
        <v>&lt;30</v>
      </c>
      <c r="N8439" t="str">
        <f t="shared" si="525"/>
        <v>High</v>
      </c>
      <c r="O8439" t="str">
        <f t="shared" si="526"/>
        <v>Zero Balance</v>
      </c>
      <c r="P8439" t="str">
        <f t="shared" si="527"/>
        <v>Long-term</v>
      </c>
    </row>
    <row r="8440" spans="1:16" x14ac:dyDescent="0.25">
      <c r="A8440">
        <v>2025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  <c r="M8440" t="str">
        <f t="shared" si="524"/>
        <v>46-60</v>
      </c>
      <c r="N8440" t="str">
        <f t="shared" si="525"/>
        <v>High</v>
      </c>
      <c r="O8440" t="str">
        <f t="shared" si="526"/>
        <v>High Balance</v>
      </c>
      <c r="P8440" t="str">
        <f t="shared" si="527"/>
        <v>Mid-term</v>
      </c>
    </row>
    <row r="8441" spans="1:16" x14ac:dyDescent="0.25">
      <c r="A8441">
        <v>2025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  <c r="M8441" t="str">
        <f t="shared" si="524"/>
        <v>&lt;30</v>
      </c>
      <c r="N8441" t="str">
        <f t="shared" si="525"/>
        <v>Medium</v>
      </c>
      <c r="O8441" t="str">
        <f t="shared" si="526"/>
        <v>High Balance</v>
      </c>
      <c r="P8441" t="str">
        <f t="shared" si="527"/>
        <v>New</v>
      </c>
    </row>
    <row r="8442" spans="1:16" x14ac:dyDescent="0.25">
      <c r="A8442">
        <v>2025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  <c r="M8442" t="str">
        <f t="shared" si="524"/>
        <v>30-45</v>
      </c>
      <c r="N8442" t="str">
        <f t="shared" si="525"/>
        <v>Medium</v>
      </c>
      <c r="O8442" t="str">
        <f t="shared" si="526"/>
        <v>Low Balance</v>
      </c>
      <c r="P8442" t="str">
        <f t="shared" si="527"/>
        <v>Long-term</v>
      </c>
    </row>
    <row r="8443" spans="1:16" x14ac:dyDescent="0.25">
      <c r="A8443">
        <v>2025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  <c r="M8443" t="str">
        <f t="shared" si="524"/>
        <v>&lt;30</v>
      </c>
      <c r="N8443" t="str">
        <f t="shared" si="525"/>
        <v>Medium</v>
      </c>
      <c r="O8443" t="str">
        <f t="shared" si="526"/>
        <v>Zero Balance</v>
      </c>
      <c r="P8443" t="str">
        <f t="shared" si="527"/>
        <v>Mid-term</v>
      </c>
    </row>
    <row r="8444" spans="1:16" x14ac:dyDescent="0.25">
      <c r="A8444">
        <v>2025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  <c r="M8444" t="str">
        <f t="shared" si="524"/>
        <v>30-45</v>
      </c>
      <c r="N8444" t="str">
        <f t="shared" si="525"/>
        <v>Medium</v>
      </c>
      <c r="O8444" t="str">
        <f t="shared" si="526"/>
        <v>Zero Balance</v>
      </c>
      <c r="P8444" t="str">
        <f t="shared" si="527"/>
        <v>Mid-term</v>
      </c>
    </row>
    <row r="8445" spans="1:16" x14ac:dyDescent="0.25">
      <c r="A8445">
        <v>2025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  <c r="M8445" t="str">
        <f t="shared" si="524"/>
        <v>&lt;30</v>
      </c>
      <c r="N8445" t="str">
        <f t="shared" si="525"/>
        <v>Medium</v>
      </c>
      <c r="O8445" t="str">
        <f t="shared" si="526"/>
        <v>High Balance</v>
      </c>
      <c r="P8445" t="str">
        <f t="shared" si="527"/>
        <v>Mid-term</v>
      </c>
    </row>
    <row r="8446" spans="1:16" x14ac:dyDescent="0.25">
      <c r="A8446">
        <v>2025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  <c r="M8446" t="str">
        <f t="shared" si="524"/>
        <v>60+</v>
      </c>
      <c r="N8446" t="str">
        <f t="shared" si="525"/>
        <v>High</v>
      </c>
      <c r="O8446" t="str">
        <f t="shared" si="526"/>
        <v>Zero Balance</v>
      </c>
      <c r="P8446" t="str">
        <f t="shared" si="527"/>
        <v>New</v>
      </c>
    </row>
    <row r="8447" spans="1:16" x14ac:dyDescent="0.25">
      <c r="A8447">
        <v>2025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  <c r="M8447" t="str">
        <f t="shared" si="524"/>
        <v>&lt;30</v>
      </c>
      <c r="N8447" t="str">
        <f t="shared" si="525"/>
        <v>Medium</v>
      </c>
      <c r="O8447" t="str">
        <f t="shared" si="526"/>
        <v>Zero Balance</v>
      </c>
      <c r="P8447" t="str">
        <f t="shared" si="527"/>
        <v>Mid-term</v>
      </c>
    </row>
    <row r="8448" spans="1:16" x14ac:dyDescent="0.25">
      <c r="A8448">
        <v>2025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  <c r="M8448" t="str">
        <f t="shared" si="524"/>
        <v>30-45</v>
      </c>
      <c r="N8448" t="str">
        <f t="shared" si="525"/>
        <v>Medium</v>
      </c>
      <c r="O8448" t="str">
        <f t="shared" si="526"/>
        <v>Zero Balance</v>
      </c>
      <c r="P8448" t="str">
        <f t="shared" si="527"/>
        <v>Mid-term</v>
      </c>
    </row>
    <row r="8449" spans="1:16" x14ac:dyDescent="0.25">
      <c r="A8449">
        <v>2025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  <c r="M8449" t="str">
        <f t="shared" si="524"/>
        <v>30-45</v>
      </c>
      <c r="N8449" t="str">
        <f t="shared" si="525"/>
        <v>High</v>
      </c>
      <c r="O8449" t="str">
        <f t="shared" si="526"/>
        <v>Low Balance</v>
      </c>
      <c r="P8449" t="str">
        <f t="shared" si="527"/>
        <v>Mid-term</v>
      </c>
    </row>
    <row r="8450" spans="1:16" x14ac:dyDescent="0.25">
      <c r="A8450">
        <v>2025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  <c r="M8450" t="str">
        <f t="shared" si="524"/>
        <v>46-60</v>
      </c>
      <c r="N8450" t="str">
        <f t="shared" si="525"/>
        <v>Medium</v>
      </c>
      <c r="O8450" t="str">
        <f t="shared" si="526"/>
        <v>Low Balance</v>
      </c>
      <c r="P8450" t="str">
        <f t="shared" si="527"/>
        <v>New</v>
      </c>
    </row>
    <row r="8451" spans="1:16" x14ac:dyDescent="0.25">
      <c r="A8451">
        <v>2025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  <c r="M8451" t="str">
        <f t="shared" ref="M8451:M8514" si="528">IF(E8451&lt;30,"&lt;30",IF(E8451&lt;=45,"30-45",IF(E8451&lt;=60,"46-60","60+")))</f>
        <v>30-45</v>
      </c>
      <c r="N8451" t="str">
        <f t="shared" ref="N8451:N8514" si="529">IF(B8451&lt;500,"Low",IF(B8451&lt;700,"Medium","High"))</f>
        <v>Medium</v>
      </c>
      <c r="O8451" t="str">
        <f t="shared" ref="O8451:O8514" si="530">IF(G8451=0,"Zero Balance",IF(G8451&lt;100000,"Low Balance","High Balance"))</f>
        <v>High Balance</v>
      </c>
      <c r="P8451" t="str">
        <f t="shared" ref="P8451:P8514" si="531">IF(F8451&lt;=3,"New",IF(F8451&lt;=7,"Mid-term","Long-term"))</f>
        <v>Long-term</v>
      </c>
    </row>
    <row r="8452" spans="1:16" x14ac:dyDescent="0.25">
      <c r="A8452">
        <v>2025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  <c r="M8452" t="str">
        <f t="shared" si="528"/>
        <v>30-45</v>
      </c>
      <c r="N8452" t="str">
        <f t="shared" si="529"/>
        <v>Medium</v>
      </c>
      <c r="O8452" t="str">
        <f t="shared" si="530"/>
        <v>High Balance</v>
      </c>
      <c r="P8452" t="str">
        <f t="shared" si="531"/>
        <v>Mid-term</v>
      </c>
    </row>
    <row r="8453" spans="1:16" x14ac:dyDescent="0.25">
      <c r="A8453">
        <v>2025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  <c r="M8453" t="str">
        <f t="shared" si="528"/>
        <v>&lt;30</v>
      </c>
      <c r="N8453" t="str">
        <f t="shared" si="529"/>
        <v>Medium</v>
      </c>
      <c r="O8453" t="str">
        <f t="shared" si="530"/>
        <v>High Balance</v>
      </c>
      <c r="P8453" t="str">
        <f t="shared" si="531"/>
        <v>Long-term</v>
      </c>
    </row>
    <row r="8454" spans="1:16" x14ac:dyDescent="0.25">
      <c r="A8454">
        <v>2025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  <c r="M8454" t="str">
        <f t="shared" si="528"/>
        <v>46-60</v>
      </c>
      <c r="N8454" t="str">
        <f t="shared" si="529"/>
        <v>High</v>
      </c>
      <c r="O8454" t="str">
        <f t="shared" si="530"/>
        <v>Zero Balance</v>
      </c>
      <c r="P8454" t="str">
        <f t="shared" si="531"/>
        <v>New</v>
      </c>
    </row>
    <row r="8455" spans="1:16" x14ac:dyDescent="0.25">
      <c r="A8455">
        <v>2025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  <c r="M8455" t="str">
        <f t="shared" si="528"/>
        <v>30-45</v>
      </c>
      <c r="N8455" t="str">
        <f t="shared" si="529"/>
        <v>Medium</v>
      </c>
      <c r="O8455" t="str">
        <f t="shared" si="530"/>
        <v>High Balance</v>
      </c>
      <c r="P8455" t="str">
        <f t="shared" si="531"/>
        <v>Long-term</v>
      </c>
    </row>
    <row r="8456" spans="1:16" x14ac:dyDescent="0.25">
      <c r="A8456">
        <v>2025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  <c r="M8456" t="str">
        <f t="shared" si="528"/>
        <v>30-45</v>
      </c>
      <c r="N8456" t="str">
        <f t="shared" si="529"/>
        <v>Medium</v>
      </c>
      <c r="O8456" t="str">
        <f t="shared" si="530"/>
        <v>Zero Balance</v>
      </c>
      <c r="P8456" t="str">
        <f t="shared" si="531"/>
        <v>Mid-term</v>
      </c>
    </row>
    <row r="8457" spans="1:16" x14ac:dyDescent="0.25">
      <c r="A8457">
        <v>2025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  <c r="M8457" t="str">
        <f t="shared" si="528"/>
        <v>46-60</v>
      </c>
      <c r="N8457" t="str">
        <f t="shared" si="529"/>
        <v>Medium</v>
      </c>
      <c r="O8457" t="str">
        <f t="shared" si="530"/>
        <v>Zero Balance</v>
      </c>
      <c r="P8457" t="str">
        <f t="shared" si="531"/>
        <v>Mid-term</v>
      </c>
    </row>
    <row r="8458" spans="1:16" x14ac:dyDescent="0.25">
      <c r="A8458">
        <v>2025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  <c r="M8458" t="str">
        <f t="shared" si="528"/>
        <v>30-45</v>
      </c>
      <c r="N8458" t="str">
        <f t="shared" si="529"/>
        <v>High</v>
      </c>
      <c r="O8458" t="str">
        <f t="shared" si="530"/>
        <v>High Balance</v>
      </c>
      <c r="P8458" t="str">
        <f t="shared" si="531"/>
        <v>Long-term</v>
      </c>
    </row>
    <row r="8459" spans="1:16" x14ac:dyDescent="0.25">
      <c r="A8459">
        <v>2025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  <c r="M8459" t="str">
        <f t="shared" si="528"/>
        <v>30-45</v>
      </c>
      <c r="N8459" t="str">
        <f t="shared" si="529"/>
        <v>Medium</v>
      </c>
      <c r="O8459" t="str">
        <f t="shared" si="530"/>
        <v>Zero Balance</v>
      </c>
      <c r="P8459" t="str">
        <f t="shared" si="531"/>
        <v>Long-term</v>
      </c>
    </row>
    <row r="8460" spans="1:16" x14ac:dyDescent="0.25">
      <c r="A8460">
        <v>2025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  <c r="M8460" t="str">
        <f t="shared" si="528"/>
        <v>60+</v>
      </c>
      <c r="N8460" t="str">
        <f t="shared" si="529"/>
        <v>High</v>
      </c>
      <c r="O8460" t="str">
        <f t="shared" si="530"/>
        <v>Zero Balance</v>
      </c>
      <c r="P8460" t="str">
        <f t="shared" si="531"/>
        <v>Mid-term</v>
      </c>
    </row>
    <row r="8461" spans="1:16" x14ac:dyDescent="0.25">
      <c r="A8461">
        <v>2025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  <c r="M8461" t="str">
        <f t="shared" si="528"/>
        <v>&lt;30</v>
      </c>
      <c r="N8461" t="str">
        <f t="shared" si="529"/>
        <v>Medium</v>
      </c>
      <c r="O8461" t="str">
        <f t="shared" si="530"/>
        <v>Zero Balance</v>
      </c>
      <c r="P8461" t="str">
        <f t="shared" si="531"/>
        <v>Mid-term</v>
      </c>
    </row>
    <row r="8462" spans="1:16" x14ac:dyDescent="0.25">
      <c r="A8462">
        <v>2025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  <c r="M8462" t="str">
        <f t="shared" si="528"/>
        <v>&lt;30</v>
      </c>
      <c r="N8462" t="str">
        <f t="shared" si="529"/>
        <v>Medium</v>
      </c>
      <c r="O8462" t="str">
        <f t="shared" si="530"/>
        <v>High Balance</v>
      </c>
      <c r="P8462" t="str">
        <f t="shared" si="531"/>
        <v>Mid-term</v>
      </c>
    </row>
    <row r="8463" spans="1:16" x14ac:dyDescent="0.25">
      <c r="A8463">
        <v>2025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  <c r="M8463" t="str">
        <f t="shared" si="528"/>
        <v>30-45</v>
      </c>
      <c r="N8463" t="str">
        <f t="shared" si="529"/>
        <v>Medium</v>
      </c>
      <c r="O8463" t="str">
        <f t="shared" si="530"/>
        <v>Zero Balance</v>
      </c>
      <c r="P8463" t="str">
        <f t="shared" si="531"/>
        <v>Mid-term</v>
      </c>
    </row>
    <row r="8464" spans="1:16" x14ac:dyDescent="0.25">
      <c r="A8464">
        <v>2025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  <c r="M8464" t="str">
        <f t="shared" si="528"/>
        <v>46-60</v>
      </c>
      <c r="N8464" t="str">
        <f t="shared" si="529"/>
        <v>High</v>
      </c>
      <c r="O8464" t="str">
        <f t="shared" si="530"/>
        <v>High Balance</v>
      </c>
      <c r="P8464" t="str">
        <f t="shared" si="531"/>
        <v>New</v>
      </c>
    </row>
    <row r="8465" spans="1:16" x14ac:dyDescent="0.25">
      <c r="A8465">
        <v>2025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  <c r="M8465" t="str">
        <f t="shared" si="528"/>
        <v>46-60</v>
      </c>
      <c r="N8465" t="str">
        <f t="shared" si="529"/>
        <v>Medium</v>
      </c>
      <c r="O8465" t="str">
        <f t="shared" si="530"/>
        <v>Zero Balance</v>
      </c>
      <c r="P8465" t="str">
        <f t="shared" si="531"/>
        <v>New</v>
      </c>
    </row>
    <row r="8466" spans="1:16" x14ac:dyDescent="0.25">
      <c r="A8466">
        <v>2025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  <c r="M8466" t="str">
        <f t="shared" si="528"/>
        <v>30-45</v>
      </c>
      <c r="N8466" t="str">
        <f t="shared" si="529"/>
        <v>High</v>
      </c>
      <c r="O8466" t="str">
        <f t="shared" si="530"/>
        <v>Low Balance</v>
      </c>
      <c r="P8466" t="str">
        <f t="shared" si="531"/>
        <v>Mid-term</v>
      </c>
    </row>
    <row r="8467" spans="1:16" x14ac:dyDescent="0.25">
      <c r="A8467">
        <v>2025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  <c r="M8467" t="str">
        <f t="shared" si="528"/>
        <v>30-45</v>
      </c>
      <c r="N8467" t="str">
        <f t="shared" si="529"/>
        <v>Medium</v>
      </c>
      <c r="O8467" t="str">
        <f t="shared" si="530"/>
        <v>High Balance</v>
      </c>
      <c r="P8467" t="str">
        <f t="shared" si="531"/>
        <v>New</v>
      </c>
    </row>
    <row r="8468" spans="1:16" x14ac:dyDescent="0.25">
      <c r="A8468">
        <v>2025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  <c r="M8468" t="str">
        <f t="shared" si="528"/>
        <v>30-45</v>
      </c>
      <c r="N8468" t="str">
        <f t="shared" si="529"/>
        <v>Medium</v>
      </c>
      <c r="O8468" t="str">
        <f t="shared" si="530"/>
        <v>High Balance</v>
      </c>
      <c r="P8468" t="str">
        <f t="shared" si="531"/>
        <v>Long-term</v>
      </c>
    </row>
    <row r="8469" spans="1:16" x14ac:dyDescent="0.25">
      <c r="A8469">
        <v>2025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  <c r="M8469" t="str">
        <f t="shared" si="528"/>
        <v>60+</v>
      </c>
      <c r="N8469" t="str">
        <f t="shared" si="529"/>
        <v>High</v>
      </c>
      <c r="O8469" t="str">
        <f t="shared" si="530"/>
        <v>Zero Balance</v>
      </c>
      <c r="P8469" t="str">
        <f t="shared" si="531"/>
        <v>New</v>
      </c>
    </row>
    <row r="8470" spans="1:16" x14ac:dyDescent="0.25">
      <c r="A8470">
        <v>2025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  <c r="M8470" t="str">
        <f t="shared" si="528"/>
        <v>&lt;30</v>
      </c>
      <c r="N8470" t="str">
        <f t="shared" si="529"/>
        <v>Medium</v>
      </c>
      <c r="O8470" t="str">
        <f t="shared" si="530"/>
        <v>Low Balance</v>
      </c>
      <c r="P8470" t="str">
        <f t="shared" si="531"/>
        <v>Mid-term</v>
      </c>
    </row>
    <row r="8471" spans="1:16" x14ac:dyDescent="0.25">
      <c r="A8471">
        <v>2025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  <c r="M8471" t="str">
        <f t="shared" si="528"/>
        <v>60+</v>
      </c>
      <c r="N8471" t="str">
        <f t="shared" si="529"/>
        <v>High</v>
      </c>
      <c r="O8471" t="str">
        <f t="shared" si="530"/>
        <v>High Balance</v>
      </c>
      <c r="P8471" t="str">
        <f t="shared" si="531"/>
        <v>Mid-term</v>
      </c>
    </row>
    <row r="8472" spans="1:16" x14ac:dyDescent="0.25">
      <c r="A8472">
        <v>2025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  <c r="M8472" t="str">
        <f t="shared" si="528"/>
        <v>&lt;30</v>
      </c>
      <c r="N8472" t="str">
        <f t="shared" si="529"/>
        <v>Medium</v>
      </c>
      <c r="O8472" t="str">
        <f t="shared" si="530"/>
        <v>Zero Balance</v>
      </c>
      <c r="P8472" t="str">
        <f t="shared" si="531"/>
        <v>New</v>
      </c>
    </row>
    <row r="8473" spans="1:16" x14ac:dyDescent="0.25">
      <c r="A8473">
        <v>2025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  <c r="M8473" t="str">
        <f t="shared" si="528"/>
        <v>46-60</v>
      </c>
      <c r="N8473" t="str">
        <f t="shared" si="529"/>
        <v>Medium</v>
      </c>
      <c r="O8473" t="str">
        <f t="shared" si="530"/>
        <v>Zero Balance</v>
      </c>
      <c r="P8473" t="str">
        <f t="shared" si="531"/>
        <v>Long-term</v>
      </c>
    </row>
    <row r="8474" spans="1:16" x14ac:dyDescent="0.25">
      <c r="A8474">
        <v>2025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  <c r="M8474" t="str">
        <f t="shared" si="528"/>
        <v>30-45</v>
      </c>
      <c r="N8474" t="str">
        <f t="shared" si="529"/>
        <v>Medium</v>
      </c>
      <c r="O8474" t="str">
        <f t="shared" si="530"/>
        <v>Zero Balance</v>
      </c>
      <c r="P8474" t="str">
        <f t="shared" si="531"/>
        <v>New</v>
      </c>
    </row>
    <row r="8475" spans="1:16" x14ac:dyDescent="0.25">
      <c r="A8475">
        <v>2025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  <c r="M8475" t="str">
        <f t="shared" si="528"/>
        <v>30-45</v>
      </c>
      <c r="N8475" t="str">
        <f t="shared" si="529"/>
        <v>High</v>
      </c>
      <c r="O8475" t="str">
        <f t="shared" si="530"/>
        <v>Zero Balance</v>
      </c>
      <c r="P8475" t="str">
        <f t="shared" si="531"/>
        <v>Mid-term</v>
      </c>
    </row>
    <row r="8476" spans="1:16" x14ac:dyDescent="0.25">
      <c r="A8476">
        <v>2025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  <c r="M8476" t="str">
        <f t="shared" si="528"/>
        <v>30-45</v>
      </c>
      <c r="N8476" t="str">
        <f t="shared" si="529"/>
        <v>High</v>
      </c>
      <c r="O8476" t="str">
        <f t="shared" si="530"/>
        <v>Low Balance</v>
      </c>
      <c r="P8476" t="str">
        <f t="shared" si="531"/>
        <v>Mid-term</v>
      </c>
    </row>
    <row r="8477" spans="1:16" x14ac:dyDescent="0.25">
      <c r="A8477">
        <v>2025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  <c r="M8477" t="str">
        <f t="shared" si="528"/>
        <v>46-60</v>
      </c>
      <c r="N8477" t="str">
        <f t="shared" si="529"/>
        <v>Medium</v>
      </c>
      <c r="O8477" t="str">
        <f t="shared" si="530"/>
        <v>High Balance</v>
      </c>
      <c r="P8477" t="str">
        <f t="shared" si="531"/>
        <v>New</v>
      </c>
    </row>
    <row r="8478" spans="1:16" x14ac:dyDescent="0.25">
      <c r="A8478">
        <v>2025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  <c r="M8478" t="str">
        <f t="shared" si="528"/>
        <v>46-60</v>
      </c>
      <c r="N8478" t="str">
        <f t="shared" si="529"/>
        <v>High</v>
      </c>
      <c r="O8478" t="str">
        <f t="shared" si="530"/>
        <v>Zero Balance</v>
      </c>
      <c r="P8478" t="str">
        <f t="shared" si="531"/>
        <v>Long-term</v>
      </c>
    </row>
    <row r="8479" spans="1:16" x14ac:dyDescent="0.25">
      <c r="A8479">
        <v>2025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  <c r="M8479" t="str">
        <f t="shared" si="528"/>
        <v>30-45</v>
      </c>
      <c r="N8479" t="str">
        <f t="shared" si="529"/>
        <v>Medium</v>
      </c>
      <c r="O8479" t="str">
        <f t="shared" si="530"/>
        <v>High Balance</v>
      </c>
      <c r="P8479" t="str">
        <f t="shared" si="531"/>
        <v>New</v>
      </c>
    </row>
    <row r="8480" spans="1:16" x14ac:dyDescent="0.25">
      <c r="A8480">
        <v>2025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  <c r="M8480" t="str">
        <f t="shared" si="528"/>
        <v>60+</v>
      </c>
      <c r="N8480" t="str">
        <f t="shared" si="529"/>
        <v>Medium</v>
      </c>
      <c r="O8480" t="str">
        <f t="shared" si="530"/>
        <v>Zero Balance</v>
      </c>
      <c r="P8480" t="str">
        <f t="shared" si="531"/>
        <v>New</v>
      </c>
    </row>
    <row r="8481" spans="1:16" x14ac:dyDescent="0.25">
      <c r="A8481">
        <v>2025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  <c r="M8481" t="str">
        <f t="shared" si="528"/>
        <v>46-60</v>
      </c>
      <c r="N8481" t="str">
        <f t="shared" si="529"/>
        <v>Medium</v>
      </c>
      <c r="O8481" t="str">
        <f t="shared" si="530"/>
        <v>Zero Balance</v>
      </c>
      <c r="P8481" t="str">
        <f t="shared" si="531"/>
        <v>New</v>
      </c>
    </row>
    <row r="8482" spans="1:16" x14ac:dyDescent="0.25">
      <c r="A8482">
        <v>2025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  <c r="M8482" t="str">
        <f t="shared" si="528"/>
        <v>&lt;30</v>
      </c>
      <c r="N8482" t="str">
        <f t="shared" si="529"/>
        <v>Low</v>
      </c>
      <c r="O8482" t="str">
        <f t="shared" si="530"/>
        <v>High Balance</v>
      </c>
      <c r="P8482" t="str">
        <f t="shared" si="531"/>
        <v>Mid-term</v>
      </c>
    </row>
    <row r="8483" spans="1:16" x14ac:dyDescent="0.25">
      <c r="A8483">
        <v>2025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  <c r="M8483" t="str">
        <f t="shared" si="528"/>
        <v>30-45</v>
      </c>
      <c r="N8483" t="str">
        <f t="shared" si="529"/>
        <v>High</v>
      </c>
      <c r="O8483" t="str">
        <f t="shared" si="530"/>
        <v>Zero Balance</v>
      </c>
      <c r="P8483" t="str">
        <f t="shared" si="531"/>
        <v>Long-term</v>
      </c>
    </row>
    <row r="8484" spans="1:16" x14ac:dyDescent="0.25">
      <c r="A8484">
        <v>2025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  <c r="M8484" t="str">
        <f t="shared" si="528"/>
        <v>30-45</v>
      </c>
      <c r="N8484" t="str">
        <f t="shared" si="529"/>
        <v>Medium</v>
      </c>
      <c r="O8484" t="str">
        <f t="shared" si="530"/>
        <v>Zero Balance</v>
      </c>
      <c r="P8484" t="str">
        <f t="shared" si="531"/>
        <v>New</v>
      </c>
    </row>
    <row r="8485" spans="1:16" x14ac:dyDescent="0.25">
      <c r="A8485">
        <v>2025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  <c r="M8485" t="str">
        <f t="shared" si="528"/>
        <v>30-45</v>
      </c>
      <c r="N8485" t="str">
        <f t="shared" si="529"/>
        <v>Low</v>
      </c>
      <c r="O8485" t="str">
        <f t="shared" si="530"/>
        <v>High Balance</v>
      </c>
      <c r="P8485" t="str">
        <f t="shared" si="531"/>
        <v>Long-term</v>
      </c>
    </row>
    <row r="8486" spans="1:16" x14ac:dyDescent="0.25">
      <c r="A8486">
        <v>2025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  <c r="M8486" t="str">
        <f t="shared" si="528"/>
        <v>46-60</v>
      </c>
      <c r="N8486" t="str">
        <f t="shared" si="529"/>
        <v>High</v>
      </c>
      <c r="O8486" t="str">
        <f t="shared" si="530"/>
        <v>Low Balance</v>
      </c>
      <c r="P8486" t="str">
        <f t="shared" si="531"/>
        <v>New</v>
      </c>
    </row>
    <row r="8487" spans="1:16" x14ac:dyDescent="0.25">
      <c r="A8487">
        <v>2025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  <c r="M8487" t="str">
        <f t="shared" si="528"/>
        <v>&lt;30</v>
      </c>
      <c r="N8487" t="str">
        <f t="shared" si="529"/>
        <v>Medium</v>
      </c>
      <c r="O8487" t="str">
        <f t="shared" si="530"/>
        <v>Zero Balance</v>
      </c>
      <c r="P8487" t="str">
        <f t="shared" si="531"/>
        <v>Mid-term</v>
      </c>
    </row>
    <row r="8488" spans="1:16" x14ac:dyDescent="0.25">
      <c r="A8488">
        <v>2025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  <c r="M8488" t="str">
        <f t="shared" si="528"/>
        <v>30-45</v>
      </c>
      <c r="N8488" t="str">
        <f t="shared" si="529"/>
        <v>High</v>
      </c>
      <c r="O8488" t="str">
        <f t="shared" si="530"/>
        <v>High Balance</v>
      </c>
      <c r="P8488" t="str">
        <f t="shared" si="531"/>
        <v>Mid-term</v>
      </c>
    </row>
    <row r="8489" spans="1:16" x14ac:dyDescent="0.25">
      <c r="A8489">
        <v>2025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  <c r="M8489" t="str">
        <f t="shared" si="528"/>
        <v>30-45</v>
      </c>
      <c r="N8489" t="str">
        <f t="shared" si="529"/>
        <v>High</v>
      </c>
      <c r="O8489" t="str">
        <f t="shared" si="530"/>
        <v>High Balance</v>
      </c>
      <c r="P8489" t="str">
        <f t="shared" si="531"/>
        <v>New</v>
      </c>
    </row>
    <row r="8490" spans="1:16" x14ac:dyDescent="0.25">
      <c r="A8490">
        <v>2025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  <c r="M8490" t="str">
        <f t="shared" si="528"/>
        <v>60+</v>
      </c>
      <c r="N8490" t="str">
        <f t="shared" si="529"/>
        <v>Medium</v>
      </c>
      <c r="O8490" t="str">
        <f t="shared" si="530"/>
        <v>Low Balance</v>
      </c>
      <c r="P8490" t="str">
        <f t="shared" si="531"/>
        <v>Mid-term</v>
      </c>
    </row>
    <row r="8491" spans="1:16" x14ac:dyDescent="0.25">
      <c r="A8491">
        <v>2025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  <c r="M8491" t="str">
        <f t="shared" si="528"/>
        <v>30-45</v>
      </c>
      <c r="N8491" t="str">
        <f t="shared" si="529"/>
        <v>Medium</v>
      </c>
      <c r="O8491" t="str">
        <f t="shared" si="530"/>
        <v>Zero Balance</v>
      </c>
      <c r="P8491" t="str">
        <f t="shared" si="531"/>
        <v>Mid-term</v>
      </c>
    </row>
    <row r="8492" spans="1:16" x14ac:dyDescent="0.25">
      <c r="A8492">
        <v>2025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  <c r="M8492" t="str">
        <f t="shared" si="528"/>
        <v>46-60</v>
      </c>
      <c r="N8492" t="str">
        <f t="shared" si="529"/>
        <v>High</v>
      </c>
      <c r="O8492" t="str">
        <f t="shared" si="530"/>
        <v>High Balance</v>
      </c>
      <c r="P8492" t="str">
        <f t="shared" si="531"/>
        <v>Mid-term</v>
      </c>
    </row>
    <row r="8493" spans="1:16" x14ac:dyDescent="0.25">
      <c r="A8493">
        <v>2025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  <c r="M8493" t="str">
        <f t="shared" si="528"/>
        <v>30-45</v>
      </c>
      <c r="N8493" t="str">
        <f t="shared" si="529"/>
        <v>Medium</v>
      </c>
      <c r="O8493" t="str">
        <f t="shared" si="530"/>
        <v>High Balance</v>
      </c>
      <c r="P8493" t="str">
        <f t="shared" si="531"/>
        <v>New</v>
      </c>
    </row>
    <row r="8494" spans="1:16" x14ac:dyDescent="0.25">
      <c r="A8494">
        <v>2025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  <c r="M8494" t="str">
        <f t="shared" si="528"/>
        <v>&lt;30</v>
      </c>
      <c r="N8494" t="str">
        <f t="shared" si="529"/>
        <v>Low</v>
      </c>
      <c r="O8494" t="str">
        <f t="shared" si="530"/>
        <v>High Balance</v>
      </c>
      <c r="P8494" t="str">
        <f t="shared" si="531"/>
        <v>Long-term</v>
      </c>
    </row>
    <row r="8495" spans="1:16" x14ac:dyDescent="0.25">
      <c r="A8495">
        <v>2025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  <c r="M8495" t="str">
        <f t="shared" si="528"/>
        <v>46-60</v>
      </c>
      <c r="N8495" t="str">
        <f t="shared" si="529"/>
        <v>High</v>
      </c>
      <c r="O8495" t="str">
        <f t="shared" si="530"/>
        <v>High Balance</v>
      </c>
      <c r="P8495" t="str">
        <f t="shared" si="531"/>
        <v>Long-term</v>
      </c>
    </row>
    <row r="8496" spans="1:16" x14ac:dyDescent="0.25">
      <c r="A8496">
        <v>2025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  <c r="M8496" t="str">
        <f t="shared" si="528"/>
        <v>30-45</v>
      </c>
      <c r="N8496" t="str">
        <f t="shared" si="529"/>
        <v>Medium</v>
      </c>
      <c r="O8496" t="str">
        <f t="shared" si="530"/>
        <v>High Balance</v>
      </c>
      <c r="P8496" t="str">
        <f t="shared" si="531"/>
        <v>New</v>
      </c>
    </row>
    <row r="8497" spans="1:16" x14ac:dyDescent="0.25">
      <c r="A8497">
        <v>2025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  <c r="M8497" t="str">
        <f t="shared" si="528"/>
        <v>30-45</v>
      </c>
      <c r="N8497" t="str">
        <f t="shared" si="529"/>
        <v>Medium</v>
      </c>
      <c r="O8497" t="str">
        <f t="shared" si="530"/>
        <v>Zero Balance</v>
      </c>
      <c r="P8497" t="str">
        <f t="shared" si="531"/>
        <v>Mid-term</v>
      </c>
    </row>
    <row r="8498" spans="1:16" x14ac:dyDescent="0.25">
      <c r="A8498">
        <v>2025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  <c r="M8498" t="str">
        <f t="shared" si="528"/>
        <v>30-45</v>
      </c>
      <c r="N8498" t="str">
        <f t="shared" si="529"/>
        <v>Medium</v>
      </c>
      <c r="O8498" t="str">
        <f t="shared" si="530"/>
        <v>Zero Balance</v>
      </c>
      <c r="P8498" t="str">
        <f t="shared" si="531"/>
        <v>New</v>
      </c>
    </row>
    <row r="8499" spans="1:16" x14ac:dyDescent="0.25">
      <c r="A8499">
        <v>2025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  <c r="M8499" t="str">
        <f t="shared" si="528"/>
        <v>30-45</v>
      </c>
      <c r="N8499" t="str">
        <f t="shared" si="529"/>
        <v>Medium</v>
      </c>
      <c r="O8499" t="str">
        <f t="shared" si="530"/>
        <v>Zero Balance</v>
      </c>
      <c r="P8499" t="str">
        <f t="shared" si="531"/>
        <v>New</v>
      </c>
    </row>
    <row r="8500" spans="1:16" x14ac:dyDescent="0.25">
      <c r="A8500">
        <v>2025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  <c r="M8500" t="str">
        <f t="shared" si="528"/>
        <v>30-45</v>
      </c>
      <c r="N8500" t="str">
        <f t="shared" si="529"/>
        <v>High</v>
      </c>
      <c r="O8500" t="str">
        <f t="shared" si="530"/>
        <v>Low Balance</v>
      </c>
      <c r="P8500" t="str">
        <f t="shared" si="531"/>
        <v>Mid-term</v>
      </c>
    </row>
    <row r="8501" spans="1:16" x14ac:dyDescent="0.25">
      <c r="A8501">
        <v>2025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  <c r="M8501" t="str">
        <f t="shared" si="528"/>
        <v>30-45</v>
      </c>
      <c r="N8501" t="str">
        <f t="shared" si="529"/>
        <v>Low</v>
      </c>
      <c r="O8501" t="str">
        <f t="shared" si="530"/>
        <v>High Balance</v>
      </c>
      <c r="P8501" t="str">
        <f t="shared" si="531"/>
        <v>New</v>
      </c>
    </row>
    <row r="8502" spans="1:16" x14ac:dyDescent="0.25">
      <c r="A8502">
        <v>2025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  <c r="M8502" t="str">
        <f t="shared" si="528"/>
        <v>30-45</v>
      </c>
      <c r="N8502" t="str">
        <f t="shared" si="529"/>
        <v>Medium</v>
      </c>
      <c r="O8502" t="str">
        <f t="shared" si="530"/>
        <v>Low Balance</v>
      </c>
      <c r="P8502" t="str">
        <f t="shared" si="531"/>
        <v>New</v>
      </c>
    </row>
    <row r="8503" spans="1:16" x14ac:dyDescent="0.25">
      <c r="A8503">
        <v>2025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  <c r="M8503" t="str">
        <f t="shared" si="528"/>
        <v>&lt;30</v>
      </c>
      <c r="N8503" t="str">
        <f t="shared" si="529"/>
        <v>Medium</v>
      </c>
      <c r="O8503" t="str">
        <f t="shared" si="530"/>
        <v>Zero Balance</v>
      </c>
      <c r="P8503" t="str">
        <f t="shared" si="531"/>
        <v>Mid-term</v>
      </c>
    </row>
    <row r="8504" spans="1:16" x14ac:dyDescent="0.25">
      <c r="A8504">
        <v>2025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  <c r="M8504" t="str">
        <f t="shared" si="528"/>
        <v>30-45</v>
      </c>
      <c r="N8504" t="str">
        <f t="shared" si="529"/>
        <v>Medium</v>
      </c>
      <c r="O8504" t="str">
        <f t="shared" si="530"/>
        <v>Zero Balance</v>
      </c>
      <c r="P8504" t="str">
        <f t="shared" si="531"/>
        <v>Long-term</v>
      </c>
    </row>
    <row r="8505" spans="1:16" x14ac:dyDescent="0.25">
      <c r="A8505">
        <v>2025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  <c r="M8505" t="str">
        <f t="shared" si="528"/>
        <v>46-60</v>
      </c>
      <c r="N8505" t="str">
        <f t="shared" si="529"/>
        <v>Medium</v>
      </c>
      <c r="O8505" t="str">
        <f t="shared" si="530"/>
        <v>Zero Balance</v>
      </c>
      <c r="P8505" t="str">
        <f t="shared" si="531"/>
        <v>New</v>
      </c>
    </row>
    <row r="8506" spans="1:16" x14ac:dyDescent="0.25">
      <c r="A8506">
        <v>2025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  <c r="M8506" t="str">
        <f t="shared" si="528"/>
        <v>30-45</v>
      </c>
      <c r="N8506" t="str">
        <f t="shared" si="529"/>
        <v>Medium</v>
      </c>
      <c r="O8506" t="str">
        <f t="shared" si="530"/>
        <v>High Balance</v>
      </c>
      <c r="P8506" t="str">
        <f t="shared" si="531"/>
        <v>New</v>
      </c>
    </row>
    <row r="8507" spans="1:16" x14ac:dyDescent="0.25">
      <c r="A8507">
        <v>2025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  <c r="M8507" t="str">
        <f t="shared" si="528"/>
        <v>&lt;30</v>
      </c>
      <c r="N8507" t="str">
        <f t="shared" si="529"/>
        <v>Medium</v>
      </c>
      <c r="O8507" t="str">
        <f t="shared" si="530"/>
        <v>High Balance</v>
      </c>
      <c r="P8507" t="str">
        <f t="shared" si="531"/>
        <v>Mid-term</v>
      </c>
    </row>
    <row r="8508" spans="1:16" x14ac:dyDescent="0.25">
      <c r="A8508">
        <v>2025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  <c r="M8508" t="str">
        <f t="shared" si="528"/>
        <v>46-60</v>
      </c>
      <c r="N8508" t="str">
        <f t="shared" si="529"/>
        <v>High</v>
      </c>
      <c r="O8508" t="str">
        <f t="shared" si="530"/>
        <v>Zero Balance</v>
      </c>
      <c r="P8508" t="str">
        <f t="shared" si="531"/>
        <v>Long-term</v>
      </c>
    </row>
    <row r="8509" spans="1:16" x14ac:dyDescent="0.25">
      <c r="A8509">
        <v>2025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  <c r="M8509" t="str">
        <f t="shared" si="528"/>
        <v>30-45</v>
      </c>
      <c r="N8509" t="str">
        <f t="shared" si="529"/>
        <v>Medium</v>
      </c>
      <c r="O8509" t="str">
        <f t="shared" si="530"/>
        <v>High Balance</v>
      </c>
      <c r="P8509" t="str">
        <f t="shared" si="531"/>
        <v>Mid-term</v>
      </c>
    </row>
    <row r="8510" spans="1:16" x14ac:dyDescent="0.25">
      <c r="A8510">
        <v>2025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  <c r="M8510" t="str">
        <f t="shared" si="528"/>
        <v>&lt;30</v>
      </c>
      <c r="N8510" t="str">
        <f t="shared" si="529"/>
        <v>Medium</v>
      </c>
      <c r="O8510" t="str">
        <f t="shared" si="530"/>
        <v>Zero Balance</v>
      </c>
      <c r="P8510" t="str">
        <f t="shared" si="531"/>
        <v>New</v>
      </c>
    </row>
    <row r="8511" spans="1:16" x14ac:dyDescent="0.25">
      <c r="A8511">
        <v>2025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  <c r="M8511" t="str">
        <f t="shared" si="528"/>
        <v>30-45</v>
      </c>
      <c r="N8511" t="str">
        <f t="shared" si="529"/>
        <v>Medium</v>
      </c>
      <c r="O8511" t="str">
        <f t="shared" si="530"/>
        <v>Zero Balance</v>
      </c>
      <c r="P8511" t="str">
        <f t="shared" si="531"/>
        <v>New</v>
      </c>
    </row>
    <row r="8512" spans="1:16" x14ac:dyDescent="0.25">
      <c r="A8512">
        <v>2025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  <c r="M8512" t="str">
        <f t="shared" si="528"/>
        <v>30-45</v>
      </c>
      <c r="N8512" t="str">
        <f t="shared" si="529"/>
        <v>Medium</v>
      </c>
      <c r="O8512" t="str">
        <f t="shared" si="530"/>
        <v>High Balance</v>
      </c>
      <c r="P8512" t="str">
        <f t="shared" si="531"/>
        <v>Long-term</v>
      </c>
    </row>
    <row r="8513" spans="1:16" x14ac:dyDescent="0.25">
      <c r="A8513">
        <v>2025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  <c r="M8513" t="str">
        <f t="shared" si="528"/>
        <v>&lt;30</v>
      </c>
      <c r="N8513" t="str">
        <f t="shared" si="529"/>
        <v>Medium</v>
      </c>
      <c r="O8513" t="str">
        <f t="shared" si="530"/>
        <v>High Balance</v>
      </c>
      <c r="P8513" t="str">
        <f t="shared" si="531"/>
        <v>Long-term</v>
      </c>
    </row>
    <row r="8514" spans="1:16" x14ac:dyDescent="0.25">
      <c r="A8514">
        <v>2025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  <c r="M8514" t="str">
        <f t="shared" si="528"/>
        <v>30-45</v>
      </c>
      <c r="N8514" t="str">
        <f t="shared" si="529"/>
        <v>Medium</v>
      </c>
      <c r="O8514" t="str">
        <f t="shared" si="530"/>
        <v>High Balance</v>
      </c>
      <c r="P8514" t="str">
        <f t="shared" si="531"/>
        <v>Mid-term</v>
      </c>
    </row>
    <row r="8515" spans="1:16" x14ac:dyDescent="0.25">
      <c r="A8515">
        <v>2025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  <c r="M8515" t="str">
        <f t="shared" ref="M8515:M8578" si="532">IF(E8515&lt;30,"&lt;30",IF(E8515&lt;=45,"30-45",IF(E8515&lt;=60,"46-60","60+")))</f>
        <v>&lt;30</v>
      </c>
      <c r="N8515" t="str">
        <f t="shared" ref="N8515:N8578" si="533">IF(B8515&lt;500,"Low",IF(B8515&lt;700,"Medium","High"))</f>
        <v>Medium</v>
      </c>
      <c r="O8515" t="str">
        <f t="shared" ref="O8515:O8578" si="534">IF(G8515=0,"Zero Balance",IF(G8515&lt;100000,"Low Balance","High Balance"))</f>
        <v>High Balance</v>
      </c>
      <c r="P8515" t="str">
        <f t="shared" ref="P8515:P8578" si="535">IF(F8515&lt;=3,"New",IF(F8515&lt;=7,"Mid-term","Long-term"))</f>
        <v>Mid-term</v>
      </c>
    </row>
    <row r="8516" spans="1:16" x14ac:dyDescent="0.25">
      <c r="A8516">
        <v>2025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  <c r="M8516" t="str">
        <f t="shared" si="532"/>
        <v>&lt;30</v>
      </c>
      <c r="N8516" t="str">
        <f t="shared" si="533"/>
        <v>Medium</v>
      </c>
      <c r="O8516" t="str">
        <f t="shared" si="534"/>
        <v>Low Balance</v>
      </c>
      <c r="P8516" t="str">
        <f t="shared" si="535"/>
        <v>Mid-term</v>
      </c>
    </row>
    <row r="8517" spans="1:16" x14ac:dyDescent="0.25">
      <c r="A8517">
        <v>2025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  <c r="M8517" t="str">
        <f t="shared" si="532"/>
        <v>30-45</v>
      </c>
      <c r="N8517" t="str">
        <f t="shared" si="533"/>
        <v>High</v>
      </c>
      <c r="O8517" t="str">
        <f t="shared" si="534"/>
        <v>High Balance</v>
      </c>
      <c r="P8517" t="str">
        <f t="shared" si="535"/>
        <v>New</v>
      </c>
    </row>
    <row r="8518" spans="1:16" x14ac:dyDescent="0.25">
      <c r="A8518">
        <v>2025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  <c r="M8518" t="str">
        <f t="shared" si="532"/>
        <v>30-45</v>
      </c>
      <c r="N8518" t="str">
        <f t="shared" si="533"/>
        <v>Medium</v>
      </c>
      <c r="O8518" t="str">
        <f t="shared" si="534"/>
        <v>Zero Balance</v>
      </c>
      <c r="P8518" t="str">
        <f t="shared" si="535"/>
        <v>Mid-term</v>
      </c>
    </row>
    <row r="8519" spans="1:16" x14ac:dyDescent="0.25">
      <c r="A8519">
        <v>2025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  <c r="M8519" t="str">
        <f t="shared" si="532"/>
        <v>&lt;30</v>
      </c>
      <c r="N8519" t="str">
        <f t="shared" si="533"/>
        <v>Medium</v>
      </c>
      <c r="O8519" t="str">
        <f t="shared" si="534"/>
        <v>High Balance</v>
      </c>
      <c r="P8519" t="str">
        <f t="shared" si="535"/>
        <v>Long-term</v>
      </c>
    </row>
    <row r="8520" spans="1:16" x14ac:dyDescent="0.25">
      <c r="A8520">
        <v>2025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  <c r="M8520" t="str">
        <f t="shared" si="532"/>
        <v>46-60</v>
      </c>
      <c r="N8520" t="str">
        <f t="shared" si="533"/>
        <v>Medium</v>
      </c>
      <c r="O8520" t="str">
        <f t="shared" si="534"/>
        <v>High Balance</v>
      </c>
      <c r="P8520" t="str">
        <f t="shared" si="535"/>
        <v>New</v>
      </c>
    </row>
    <row r="8521" spans="1:16" x14ac:dyDescent="0.25">
      <c r="A8521">
        <v>2025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  <c r="M8521" t="str">
        <f t="shared" si="532"/>
        <v>&lt;30</v>
      </c>
      <c r="N8521" t="str">
        <f t="shared" si="533"/>
        <v>Medium</v>
      </c>
      <c r="O8521" t="str">
        <f t="shared" si="534"/>
        <v>Zero Balance</v>
      </c>
      <c r="P8521" t="str">
        <f t="shared" si="535"/>
        <v>Mid-term</v>
      </c>
    </row>
    <row r="8522" spans="1:16" x14ac:dyDescent="0.25">
      <c r="A8522">
        <v>2025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  <c r="M8522" t="str">
        <f t="shared" si="532"/>
        <v>46-60</v>
      </c>
      <c r="N8522" t="str">
        <f t="shared" si="533"/>
        <v>Medium</v>
      </c>
      <c r="O8522" t="str">
        <f t="shared" si="534"/>
        <v>Zero Balance</v>
      </c>
      <c r="P8522" t="str">
        <f t="shared" si="535"/>
        <v>New</v>
      </c>
    </row>
    <row r="8523" spans="1:16" x14ac:dyDescent="0.25">
      <c r="A8523">
        <v>2025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  <c r="M8523" t="str">
        <f t="shared" si="532"/>
        <v>30-45</v>
      </c>
      <c r="N8523" t="str">
        <f t="shared" si="533"/>
        <v>Medium</v>
      </c>
      <c r="O8523" t="str">
        <f t="shared" si="534"/>
        <v>Low Balance</v>
      </c>
      <c r="P8523" t="str">
        <f t="shared" si="535"/>
        <v>New</v>
      </c>
    </row>
    <row r="8524" spans="1:16" x14ac:dyDescent="0.25">
      <c r="A8524">
        <v>2025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  <c r="M8524" t="str">
        <f t="shared" si="532"/>
        <v>&lt;30</v>
      </c>
      <c r="N8524" t="str">
        <f t="shared" si="533"/>
        <v>Medium</v>
      </c>
      <c r="O8524" t="str">
        <f t="shared" si="534"/>
        <v>Zero Balance</v>
      </c>
      <c r="P8524" t="str">
        <f t="shared" si="535"/>
        <v>Long-term</v>
      </c>
    </row>
    <row r="8525" spans="1:16" x14ac:dyDescent="0.25">
      <c r="A8525">
        <v>2025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  <c r="M8525" t="str">
        <f t="shared" si="532"/>
        <v>46-60</v>
      </c>
      <c r="N8525" t="str">
        <f t="shared" si="533"/>
        <v>Medium</v>
      </c>
      <c r="O8525" t="str">
        <f t="shared" si="534"/>
        <v>High Balance</v>
      </c>
      <c r="P8525" t="str">
        <f t="shared" si="535"/>
        <v>New</v>
      </c>
    </row>
    <row r="8526" spans="1:16" x14ac:dyDescent="0.25">
      <c r="A8526">
        <v>2025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  <c r="M8526" t="str">
        <f t="shared" si="532"/>
        <v>30-45</v>
      </c>
      <c r="N8526" t="str">
        <f t="shared" si="533"/>
        <v>High</v>
      </c>
      <c r="O8526" t="str">
        <f t="shared" si="534"/>
        <v>Zero Balance</v>
      </c>
      <c r="P8526" t="str">
        <f t="shared" si="535"/>
        <v>Mid-term</v>
      </c>
    </row>
    <row r="8527" spans="1:16" x14ac:dyDescent="0.25">
      <c r="A8527">
        <v>2025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  <c r="M8527" t="str">
        <f t="shared" si="532"/>
        <v>&lt;30</v>
      </c>
      <c r="N8527" t="str">
        <f t="shared" si="533"/>
        <v>High</v>
      </c>
      <c r="O8527" t="str">
        <f t="shared" si="534"/>
        <v>High Balance</v>
      </c>
      <c r="P8527" t="str">
        <f t="shared" si="535"/>
        <v>Long-term</v>
      </c>
    </row>
    <row r="8528" spans="1:16" x14ac:dyDescent="0.25">
      <c r="A8528">
        <v>2025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  <c r="M8528" t="str">
        <f t="shared" si="532"/>
        <v>&lt;30</v>
      </c>
      <c r="N8528" t="str">
        <f t="shared" si="533"/>
        <v>Medium</v>
      </c>
      <c r="O8528" t="str">
        <f t="shared" si="534"/>
        <v>Low Balance</v>
      </c>
      <c r="P8528" t="str">
        <f t="shared" si="535"/>
        <v>New</v>
      </c>
    </row>
    <row r="8529" spans="1:16" x14ac:dyDescent="0.25">
      <c r="A8529">
        <v>2025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  <c r="M8529" t="str">
        <f t="shared" si="532"/>
        <v>30-45</v>
      </c>
      <c r="N8529" t="str">
        <f t="shared" si="533"/>
        <v>Medium</v>
      </c>
      <c r="O8529" t="str">
        <f t="shared" si="534"/>
        <v>Zero Balance</v>
      </c>
      <c r="P8529" t="str">
        <f t="shared" si="535"/>
        <v>New</v>
      </c>
    </row>
    <row r="8530" spans="1:16" x14ac:dyDescent="0.25">
      <c r="A8530">
        <v>2025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  <c r="M8530" t="str">
        <f t="shared" si="532"/>
        <v>30-45</v>
      </c>
      <c r="N8530" t="str">
        <f t="shared" si="533"/>
        <v>Medium</v>
      </c>
      <c r="O8530" t="str">
        <f t="shared" si="534"/>
        <v>Zero Balance</v>
      </c>
      <c r="P8530" t="str">
        <f t="shared" si="535"/>
        <v>Mid-term</v>
      </c>
    </row>
    <row r="8531" spans="1:16" x14ac:dyDescent="0.25">
      <c r="A8531">
        <v>2025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  <c r="M8531" t="str">
        <f t="shared" si="532"/>
        <v>30-45</v>
      </c>
      <c r="N8531" t="str">
        <f t="shared" si="533"/>
        <v>Medium</v>
      </c>
      <c r="O8531" t="str">
        <f t="shared" si="534"/>
        <v>Zero Balance</v>
      </c>
      <c r="P8531" t="str">
        <f t="shared" si="535"/>
        <v>Long-term</v>
      </c>
    </row>
    <row r="8532" spans="1:16" x14ac:dyDescent="0.25">
      <c r="A8532">
        <v>2025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  <c r="M8532" t="str">
        <f t="shared" si="532"/>
        <v>30-45</v>
      </c>
      <c r="N8532" t="str">
        <f t="shared" si="533"/>
        <v>High</v>
      </c>
      <c r="O8532" t="str">
        <f t="shared" si="534"/>
        <v>High Balance</v>
      </c>
      <c r="P8532" t="str">
        <f t="shared" si="535"/>
        <v>New</v>
      </c>
    </row>
    <row r="8533" spans="1:16" x14ac:dyDescent="0.25">
      <c r="A8533">
        <v>2025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  <c r="M8533" t="str">
        <f t="shared" si="532"/>
        <v>30-45</v>
      </c>
      <c r="N8533" t="str">
        <f t="shared" si="533"/>
        <v>High</v>
      </c>
      <c r="O8533" t="str">
        <f t="shared" si="534"/>
        <v>Zero Balance</v>
      </c>
      <c r="P8533" t="str">
        <f t="shared" si="535"/>
        <v>New</v>
      </c>
    </row>
    <row r="8534" spans="1:16" x14ac:dyDescent="0.25">
      <c r="A8534">
        <v>2025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  <c r="M8534" t="str">
        <f t="shared" si="532"/>
        <v>30-45</v>
      </c>
      <c r="N8534" t="str">
        <f t="shared" si="533"/>
        <v>Medium</v>
      </c>
      <c r="O8534" t="str">
        <f t="shared" si="534"/>
        <v>Zero Balance</v>
      </c>
      <c r="P8534" t="str">
        <f t="shared" si="535"/>
        <v>New</v>
      </c>
    </row>
    <row r="8535" spans="1:16" x14ac:dyDescent="0.25">
      <c r="A8535">
        <v>2025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  <c r="M8535" t="str">
        <f t="shared" si="532"/>
        <v>30-45</v>
      </c>
      <c r="N8535" t="str">
        <f t="shared" si="533"/>
        <v>High</v>
      </c>
      <c r="O8535" t="str">
        <f t="shared" si="534"/>
        <v>Zero Balance</v>
      </c>
      <c r="P8535" t="str">
        <f t="shared" si="535"/>
        <v>Long-term</v>
      </c>
    </row>
    <row r="8536" spans="1:16" x14ac:dyDescent="0.25">
      <c r="A8536">
        <v>2025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  <c r="M8536" t="str">
        <f t="shared" si="532"/>
        <v>30-45</v>
      </c>
      <c r="N8536" t="str">
        <f t="shared" si="533"/>
        <v>Medium</v>
      </c>
      <c r="O8536" t="str">
        <f t="shared" si="534"/>
        <v>Zero Balance</v>
      </c>
      <c r="P8536" t="str">
        <f t="shared" si="535"/>
        <v>Mid-term</v>
      </c>
    </row>
    <row r="8537" spans="1:16" x14ac:dyDescent="0.25">
      <c r="A8537">
        <v>2025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  <c r="M8537" t="str">
        <f t="shared" si="532"/>
        <v>30-45</v>
      </c>
      <c r="N8537" t="str">
        <f t="shared" si="533"/>
        <v>Medium</v>
      </c>
      <c r="O8537" t="str">
        <f t="shared" si="534"/>
        <v>Low Balance</v>
      </c>
      <c r="P8537" t="str">
        <f t="shared" si="535"/>
        <v>New</v>
      </c>
    </row>
    <row r="8538" spans="1:16" x14ac:dyDescent="0.25">
      <c r="A8538">
        <v>2025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  <c r="M8538" t="str">
        <f t="shared" si="532"/>
        <v>30-45</v>
      </c>
      <c r="N8538" t="str">
        <f t="shared" si="533"/>
        <v>Medium</v>
      </c>
      <c r="O8538" t="str">
        <f t="shared" si="534"/>
        <v>High Balance</v>
      </c>
      <c r="P8538" t="str">
        <f t="shared" si="535"/>
        <v>Long-term</v>
      </c>
    </row>
    <row r="8539" spans="1:16" x14ac:dyDescent="0.25">
      <c r="A8539">
        <v>2025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  <c r="M8539" t="str">
        <f t="shared" si="532"/>
        <v>46-60</v>
      </c>
      <c r="N8539" t="str">
        <f t="shared" si="533"/>
        <v>High</v>
      </c>
      <c r="O8539" t="str">
        <f t="shared" si="534"/>
        <v>Zero Balance</v>
      </c>
      <c r="P8539" t="str">
        <f t="shared" si="535"/>
        <v>Mid-term</v>
      </c>
    </row>
    <row r="8540" spans="1:16" x14ac:dyDescent="0.25">
      <c r="A8540">
        <v>2025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  <c r="M8540" t="str">
        <f t="shared" si="532"/>
        <v>30-45</v>
      </c>
      <c r="N8540" t="str">
        <f t="shared" si="533"/>
        <v>High</v>
      </c>
      <c r="O8540" t="str">
        <f t="shared" si="534"/>
        <v>High Balance</v>
      </c>
      <c r="P8540" t="str">
        <f t="shared" si="535"/>
        <v>Mid-term</v>
      </c>
    </row>
    <row r="8541" spans="1:16" x14ac:dyDescent="0.25">
      <c r="A8541">
        <v>2025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  <c r="M8541" t="str">
        <f t="shared" si="532"/>
        <v>&lt;30</v>
      </c>
      <c r="N8541" t="str">
        <f t="shared" si="533"/>
        <v>Medium</v>
      </c>
      <c r="O8541" t="str">
        <f t="shared" si="534"/>
        <v>High Balance</v>
      </c>
      <c r="P8541" t="str">
        <f t="shared" si="535"/>
        <v>New</v>
      </c>
    </row>
    <row r="8542" spans="1:16" x14ac:dyDescent="0.25">
      <c r="A8542">
        <v>2025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  <c r="M8542" t="str">
        <f t="shared" si="532"/>
        <v>30-45</v>
      </c>
      <c r="N8542" t="str">
        <f t="shared" si="533"/>
        <v>Low</v>
      </c>
      <c r="O8542" t="str">
        <f t="shared" si="534"/>
        <v>High Balance</v>
      </c>
      <c r="P8542" t="str">
        <f t="shared" si="535"/>
        <v>Mid-term</v>
      </c>
    </row>
    <row r="8543" spans="1:16" x14ac:dyDescent="0.25">
      <c r="A8543">
        <v>2025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  <c r="M8543" t="str">
        <f t="shared" si="532"/>
        <v>46-60</v>
      </c>
      <c r="N8543" t="str">
        <f t="shared" si="533"/>
        <v>Medium</v>
      </c>
      <c r="O8543" t="str">
        <f t="shared" si="534"/>
        <v>High Balance</v>
      </c>
      <c r="P8543" t="str">
        <f t="shared" si="535"/>
        <v>Mid-term</v>
      </c>
    </row>
    <row r="8544" spans="1:16" x14ac:dyDescent="0.25">
      <c r="A8544">
        <v>2025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  <c r="M8544" t="str">
        <f t="shared" si="532"/>
        <v>30-45</v>
      </c>
      <c r="N8544" t="str">
        <f t="shared" si="533"/>
        <v>Medium</v>
      </c>
      <c r="O8544" t="str">
        <f t="shared" si="534"/>
        <v>High Balance</v>
      </c>
      <c r="P8544" t="str">
        <f t="shared" si="535"/>
        <v>Long-term</v>
      </c>
    </row>
    <row r="8545" spans="1:16" x14ac:dyDescent="0.25">
      <c r="A8545">
        <v>2025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  <c r="M8545" t="str">
        <f t="shared" si="532"/>
        <v>30-45</v>
      </c>
      <c r="N8545" t="str">
        <f t="shared" si="533"/>
        <v>Medium</v>
      </c>
      <c r="O8545" t="str">
        <f t="shared" si="534"/>
        <v>High Balance</v>
      </c>
      <c r="P8545" t="str">
        <f t="shared" si="535"/>
        <v>Mid-term</v>
      </c>
    </row>
    <row r="8546" spans="1:16" x14ac:dyDescent="0.25">
      <c r="A8546">
        <v>2025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  <c r="M8546" t="str">
        <f t="shared" si="532"/>
        <v>46-60</v>
      </c>
      <c r="N8546" t="str">
        <f t="shared" si="533"/>
        <v>Medium</v>
      </c>
      <c r="O8546" t="str">
        <f t="shared" si="534"/>
        <v>Low Balance</v>
      </c>
      <c r="P8546" t="str">
        <f t="shared" si="535"/>
        <v>Mid-term</v>
      </c>
    </row>
    <row r="8547" spans="1:16" x14ac:dyDescent="0.25">
      <c r="A8547">
        <v>2025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  <c r="M8547" t="str">
        <f t="shared" si="532"/>
        <v>30-45</v>
      </c>
      <c r="N8547" t="str">
        <f t="shared" si="533"/>
        <v>Medium</v>
      </c>
      <c r="O8547" t="str">
        <f t="shared" si="534"/>
        <v>Low Balance</v>
      </c>
      <c r="P8547" t="str">
        <f t="shared" si="535"/>
        <v>Mid-term</v>
      </c>
    </row>
    <row r="8548" spans="1:16" x14ac:dyDescent="0.25">
      <c r="A8548">
        <v>2025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  <c r="M8548" t="str">
        <f t="shared" si="532"/>
        <v>30-45</v>
      </c>
      <c r="N8548" t="str">
        <f t="shared" si="533"/>
        <v>Medium</v>
      </c>
      <c r="O8548" t="str">
        <f t="shared" si="534"/>
        <v>High Balance</v>
      </c>
      <c r="P8548" t="str">
        <f t="shared" si="535"/>
        <v>New</v>
      </c>
    </row>
    <row r="8549" spans="1:16" x14ac:dyDescent="0.25">
      <c r="A8549">
        <v>2025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  <c r="M8549" t="str">
        <f t="shared" si="532"/>
        <v>46-60</v>
      </c>
      <c r="N8549" t="str">
        <f t="shared" si="533"/>
        <v>Medium</v>
      </c>
      <c r="O8549" t="str">
        <f t="shared" si="534"/>
        <v>High Balance</v>
      </c>
      <c r="P8549" t="str">
        <f t="shared" si="535"/>
        <v>New</v>
      </c>
    </row>
    <row r="8550" spans="1:16" x14ac:dyDescent="0.25">
      <c r="A8550">
        <v>2025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  <c r="M8550" t="str">
        <f t="shared" si="532"/>
        <v>46-60</v>
      </c>
      <c r="N8550" t="str">
        <f t="shared" si="533"/>
        <v>Medium</v>
      </c>
      <c r="O8550" t="str">
        <f t="shared" si="534"/>
        <v>Zero Balance</v>
      </c>
      <c r="P8550" t="str">
        <f t="shared" si="535"/>
        <v>Mid-term</v>
      </c>
    </row>
    <row r="8551" spans="1:16" x14ac:dyDescent="0.25">
      <c r="A8551">
        <v>2025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  <c r="M8551" t="str">
        <f t="shared" si="532"/>
        <v>30-45</v>
      </c>
      <c r="N8551" t="str">
        <f t="shared" si="533"/>
        <v>High</v>
      </c>
      <c r="O8551" t="str">
        <f t="shared" si="534"/>
        <v>Zero Balance</v>
      </c>
      <c r="P8551" t="str">
        <f t="shared" si="535"/>
        <v>Long-term</v>
      </c>
    </row>
    <row r="8552" spans="1:16" x14ac:dyDescent="0.25">
      <c r="A8552">
        <v>2025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  <c r="M8552" t="str">
        <f t="shared" si="532"/>
        <v>46-60</v>
      </c>
      <c r="N8552" t="str">
        <f t="shared" si="533"/>
        <v>Medium</v>
      </c>
      <c r="O8552" t="str">
        <f t="shared" si="534"/>
        <v>Low Balance</v>
      </c>
      <c r="P8552" t="str">
        <f t="shared" si="535"/>
        <v>New</v>
      </c>
    </row>
    <row r="8553" spans="1:16" x14ac:dyDescent="0.25">
      <c r="A8553">
        <v>2025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  <c r="M8553" t="str">
        <f t="shared" si="532"/>
        <v>30-45</v>
      </c>
      <c r="N8553" t="str">
        <f t="shared" si="533"/>
        <v>Medium</v>
      </c>
      <c r="O8553" t="str">
        <f t="shared" si="534"/>
        <v>Zero Balance</v>
      </c>
      <c r="P8553" t="str">
        <f t="shared" si="535"/>
        <v>Mid-term</v>
      </c>
    </row>
    <row r="8554" spans="1:16" x14ac:dyDescent="0.25">
      <c r="A8554">
        <v>2025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  <c r="M8554" t="str">
        <f t="shared" si="532"/>
        <v>&lt;30</v>
      </c>
      <c r="N8554" t="str">
        <f t="shared" si="533"/>
        <v>Low</v>
      </c>
      <c r="O8554" t="str">
        <f t="shared" si="534"/>
        <v>Low Balance</v>
      </c>
      <c r="P8554" t="str">
        <f t="shared" si="535"/>
        <v>New</v>
      </c>
    </row>
    <row r="8555" spans="1:16" x14ac:dyDescent="0.25">
      <c r="A8555">
        <v>2025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  <c r="M8555" t="str">
        <f t="shared" si="532"/>
        <v>46-60</v>
      </c>
      <c r="N8555" t="str">
        <f t="shared" si="533"/>
        <v>Medium</v>
      </c>
      <c r="O8555" t="str">
        <f t="shared" si="534"/>
        <v>Zero Balance</v>
      </c>
      <c r="P8555" t="str">
        <f t="shared" si="535"/>
        <v>Mid-term</v>
      </c>
    </row>
    <row r="8556" spans="1:16" x14ac:dyDescent="0.25">
      <c r="A8556">
        <v>2025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  <c r="M8556" t="str">
        <f t="shared" si="532"/>
        <v>&lt;30</v>
      </c>
      <c r="N8556" t="str">
        <f t="shared" si="533"/>
        <v>Medium</v>
      </c>
      <c r="O8556" t="str">
        <f t="shared" si="534"/>
        <v>Zero Balance</v>
      </c>
      <c r="P8556" t="str">
        <f t="shared" si="535"/>
        <v>New</v>
      </c>
    </row>
    <row r="8557" spans="1:16" x14ac:dyDescent="0.25">
      <c r="A8557">
        <v>2025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  <c r="M8557" t="str">
        <f t="shared" si="532"/>
        <v>&lt;30</v>
      </c>
      <c r="N8557" t="str">
        <f t="shared" si="533"/>
        <v>Medium</v>
      </c>
      <c r="O8557" t="str">
        <f t="shared" si="534"/>
        <v>High Balance</v>
      </c>
      <c r="P8557" t="str">
        <f t="shared" si="535"/>
        <v>New</v>
      </c>
    </row>
    <row r="8558" spans="1:16" x14ac:dyDescent="0.25">
      <c r="A8558">
        <v>2025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  <c r="M8558" t="str">
        <f t="shared" si="532"/>
        <v>30-45</v>
      </c>
      <c r="N8558" t="str">
        <f t="shared" si="533"/>
        <v>Medium</v>
      </c>
      <c r="O8558" t="str">
        <f t="shared" si="534"/>
        <v>High Balance</v>
      </c>
      <c r="P8558" t="str">
        <f t="shared" si="535"/>
        <v>Long-term</v>
      </c>
    </row>
    <row r="8559" spans="1:16" x14ac:dyDescent="0.25">
      <c r="A8559">
        <v>2025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  <c r="M8559" t="str">
        <f t="shared" si="532"/>
        <v>30-45</v>
      </c>
      <c r="N8559" t="str">
        <f t="shared" si="533"/>
        <v>High</v>
      </c>
      <c r="O8559" t="str">
        <f t="shared" si="534"/>
        <v>Low Balance</v>
      </c>
      <c r="P8559" t="str">
        <f t="shared" si="535"/>
        <v>Mid-term</v>
      </c>
    </row>
    <row r="8560" spans="1:16" x14ac:dyDescent="0.25">
      <c r="A8560">
        <v>2025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  <c r="M8560" t="str">
        <f t="shared" si="532"/>
        <v>30-45</v>
      </c>
      <c r="N8560" t="str">
        <f t="shared" si="533"/>
        <v>Medium</v>
      </c>
      <c r="O8560" t="str">
        <f t="shared" si="534"/>
        <v>High Balance</v>
      </c>
      <c r="P8560" t="str">
        <f t="shared" si="535"/>
        <v>Mid-term</v>
      </c>
    </row>
    <row r="8561" spans="1:16" x14ac:dyDescent="0.25">
      <c r="A8561">
        <v>2025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  <c r="M8561" t="str">
        <f t="shared" si="532"/>
        <v>30-45</v>
      </c>
      <c r="N8561" t="str">
        <f t="shared" si="533"/>
        <v>Medium</v>
      </c>
      <c r="O8561" t="str">
        <f t="shared" si="534"/>
        <v>High Balance</v>
      </c>
      <c r="P8561" t="str">
        <f t="shared" si="535"/>
        <v>New</v>
      </c>
    </row>
    <row r="8562" spans="1:16" x14ac:dyDescent="0.25">
      <c r="A8562">
        <v>2025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  <c r="M8562" t="str">
        <f t="shared" si="532"/>
        <v>&lt;30</v>
      </c>
      <c r="N8562" t="str">
        <f t="shared" si="533"/>
        <v>Medium</v>
      </c>
      <c r="O8562" t="str">
        <f t="shared" si="534"/>
        <v>Low Balance</v>
      </c>
      <c r="P8562" t="str">
        <f t="shared" si="535"/>
        <v>Mid-term</v>
      </c>
    </row>
    <row r="8563" spans="1:16" x14ac:dyDescent="0.25">
      <c r="A8563">
        <v>2025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  <c r="M8563" t="str">
        <f t="shared" si="532"/>
        <v>30-45</v>
      </c>
      <c r="N8563" t="str">
        <f t="shared" si="533"/>
        <v>High</v>
      </c>
      <c r="O8563" t="str">
        <f t="shared" si="534"/>
        <v>High Balance</v>
      </c>
      <c r="P8563" t="str">
        <f t="shared" si="535"/>
        <v>Long-term</v>
      </c>
    </row>
    <row r="8564" spans="1:16" x14ac:dyDescent="0.25">
      <c r="A8564">
        <v>2025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  <c r="M8564" t="str">
        <f t="shared" si="532"/>
        <v>60+</v>
      </c>
      <c r="N8564" t="str">
        <f t="shared" si="533"/>
        <v>Medium</v>
      </c>
      <c r="O8564" t="str">
        <f t="shared" si="534"/>
        <v>High Balance</v>
      </c>
      <c r="P8564" t="str">
        <f t="shared" si="535"/>
        <v>Mid-term</v>
      </c>
    </row>
    <row r="8565" spans="1:16" x14ac:dyDescent="0.25">
      <c r="A8565">
        <v>2025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  <c r="M8565" t="str">
        <f t="shared" si="532"/>
        <v>30-45</v>
      </c>
      <c r="N8565" t="str">
        <f t="shared" si="533"/>
        <v>Medium</v>
      </c>
      <c r="O8565" t="str">
        <f t="shared" si="534"/>
        <v>High Balance</v>
      </c>
      <c r="P8565" t="str">
        <f t="shared" si="535"/>
        <v>New</v>
      </c>
    </row>
    <row r="8566" spans="1:16" x14ac:dyDescent="0.25">
      <c r="A8566">
        <v>2025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  <c r="M8566" t="str">
        <f t="shared" si="532"/>
        <v>46-60</v>
      </c>
      <c r="N8566" t="str">
        <f t="shared" si="533"/>
        <v>Medium</v>
      </c>
      <c r="O8566" t="str">
        <f t="shared" si="534"/>
        <v>Low Balance</v>
      </c>
      <c r="P8566" t="str">
        <f t="shared" si="535"/>
        <v>Long-term</v>
      </c>
    </row>
    <row r="8567" spans="1:16" x14ac:dyDescent="0.25">
      <c r="A8567">
        <v>2025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  <c r="M8567" t="str">
        <f t="shared" si="532"/>
        <v>30-45</v>
      </c>
      <c r="N8567" t="str">
        <f t="shared" si="533"/>
        <v>Medium</v>
      </c>
      <c r="O8567" t="str">
        <f t="shared" si="534"/>
        <v>High Balance</v>
      </c>
      <c r="P8567" t="str">
        <f t="shared" si="535"/>
        <v>Long-term</v>
      </c>
    </row>
    <row r="8568" spans="1:16" x14ac:dyDescent="0.25">
      <c r="A8568">
        <v>2025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  <c r="M8568" t="str">
        <f t="shared" si="532"/>
        <v>30-45</v>
      </c>
      <c r="N8568" t="str">
        <f t="shared" si="533"/>
        <v>Medium</v>
      </c>
      <c r="O8568" t="str">
        <f t="shared" si="534"/>
        <v>Zero Balance</v>
      </c>
      <c r="P8568" t="str">
        <f t="shared" si="535"/>
        <v>Mid-term</v>
      </c>
    </row>
    <row r="8569" spans="1:16" x14ac:dyDescent="0.25">
      <c r="A8569">
        <v>2025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  <c r="M8569" t="str">
        <f t="shared" si="532"/>
        <v>30-45</v>
      </c>
      <c r="N8569" t="str">
        <f t="shared" si="533"/>
        <v>Medium</v>
      </c>
      <c r="O8569" t="str">
        <f t="shared" si="534"/>
        <v>Zero Balance</v>
      </c>
      <c r="P8569" t="str">
        <f t="shared" si="535"/>
        <v>Long-term</v>
      </c>
    </row>
    <row r="8570" spans="1:16" x14ac:dyDescent="0.25">
      <c r="A8570">
        <v>2025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  <c r="M8570" t="str">
        <f t="shared" si="532"/>
        <v>60+</v>
      </c>
      <c r="N8570" t="str">
        <f t="shared" si="533"/>
        <v>Medium</v>
      </c>
      <c r="O8570" t="str">
        <f t="shared" si="534"/>
        <v>Low Balance</v>
      </c>
      <c r="P8570" t="str">
        <f t="shared" si="535"/>
        <v>New</v>
      </c>
    </row>
    <row r="8571" spans="1:16" x14ac:dyDescent="0.25">
      <c r="A8571">
        <v>2025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  <c r="M8571" t="str">
        <f t="shared" si="532"/>
        <v>30-45</v>
      </c>
      <c r="N8571" t="str">
        <f t="shared" si="533"/>
        <v>Medium</v>
      </c>
      <c r="O8571" t="str">
        <f t="shared" si="534"/>
        <v>Zero Balance</v>
      </c>
      <c r="P8571" t="str">
        <f t="shared" si="535"/>
        <v>Long-term</v>
      </c>
    </row>
    <row r="8572" spans="1:16" x14ac:dyDescent="0.25">
      <c r="A8572">
        <v>2025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  <c r="M8572" t="str">
        <f t="shared" si="532"/>
        <v>&lt;30</v>
      </c>
      <c r="N8572" t="str">
        <f t="shared" si="533"/>
        <v>High</v>
      </c>
      <c r="O8572" t="str">
        <f t="shared" si="534"/>
        <v>High Balance</v>
      </c>
      <c r="P8572" t="str">
        <f t="shared" si="535"/>
        <v>Mid-term</v>
      </c>
    </row>
    <row r="8573" spans="1:16" x14ac:dyDescent="0.25">
      <c r="A8573">
        <v>2025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  <c r="M8573" t="str">
        <f t="shared" si="532"/>
        <v>30-45</v>
      </c>
      <c r="N8573" t="str">
        <f t="shared" si="533"/>
        <v>High</v>
      </c>
      <c r="O8573" t="str">
        <f t="shared" si="534"/>
        <v>High Balance</v>
      </c>
      <c r="P8573" t="str">
        <f t="shared" si="535"/>
        <v>New</v>
      </c>
    </row>
    <row r="8574" spans="1:16" x14ac:dyDescent="0.25">
      <c r="A8574">
        <v>2025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  <c r="M8574" t="str">
        <f t="shared" si="532"/>
        <v>30-45</v>
      </c>
      <c r="N8574" t="str">
        <f t="shared" si="533"/>
        <v>High</v>
      </c>
      <c r="O8574" t="str">
        <f t="shared" si="534"/>
        <v>High Balance</v>
      </c>
      <c r="P8574" t="str">
        <f t="shared" si="535"/>
        <v>Long-term</v>
      </c>
    </row>
    <row r="8575" spans="1:16" x14ac:dyDescent="0.25">
      <c r="A8575">
        <v>2025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  <c r="M8575" t="str">
        <f t="shared" si="532"/>
        <v>&lt;30</v>
      </c>
      <c r="N8575" t="str">
        <f t="shared" si="533"/>
        <v>Medium</v>
      </c>
      <c r="O8575" t="str">
        <f t="shared" si="534"/>
        <v>High Balance</v>
      </c>
      <c r="P8575" t="str">
        <f t="shared" si="535"/>
        <v>Long-term</v>
      </c>
    </row>
    <row r="8576" spans="1:16" x14ac:dyDescent="0.25">
      <c r="A8576">
        <v>2025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  <c r="M8576" t="str">
        <f t="shared" si="532"/>
        <v>46-60</v>
      </c>
      <c r="N8576" t="str">
        <f t="shared" si="533"/>
        <v>High</v>
      </c>
      <c r="O8576" t="str">
        <f t="shared" si="534"/>
        <v>Zero Balance</v>
      </c>
      <c r="P8576" t="str">
        <f t="shared" si="535"/>
        <v>Mid-term</v>
      </c>
    </row>
    <row r="8577" spans="1:16" x14ac:dyDescent="0.25">
      <c r="A8577">
        <v>2025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  <c r="M8577" t="str">
        <f t="shared" si="532"/>
        <v>30-45</v>
      </c>
      <c r="N8577" t="str">
        <f t="shared" si="533"/>
        <v>Medium</v>
      </c>
      <c r="O8577" t="str">
        <f t="shared" si="534"/>
        <v>Zero Balance</v>
      </c>
      <c r="P8577" t="str">
        <f t="shared" si="535"/>
        <v>New</v>
      </c>
    </row>
    <row r="8578" spans="1:16" x14ac:dyDescent="0.25">
      <c r="A8578">
        <v>2025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  <c r="M8578" t="str">
        <f t="shared" si="532"/>
        <v>30-45</v>
      </c>
      <c r="N8578" t="str">
        <f t="shared" si="533"/>
        <v>High</v>
      </c>
      <c r="O8578" t="str">
        <f t="shared" si="534"/>
        <v>High Balance</v>
      </c>
      <c r="P8578" t="str">
        <f t="shared" si="535"/>
        <v>Long-term</v>
      </c>
    </row>
    <row r="8579" spans="1:16" x14ac:dyDescent="0.25">
      <c r="A8579">
        <v>2025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  <c r="M8579" t="str">
        <f t="shared" ref="M8579:M8642" si="536">IF(E8579&lt;30,"&lt;30",IF(E8579&lt;=45,"30-45",IF(E8579&lt;=60,"46-60","60+")))</f>
        <v>60+</v>
      </c>
      <c r="N8579" t="str">
        <f t="shared" ref="N8579:N8642" si="537">IF(B8579&lt;500,"Low",IF(B8579&lt;700,"Medium","High"))</f>
        <v>High</v>
      </c>
      <c r="O8579" t="str">
        <f t="shared" ref="O8579:O8642" si="538">IF(G8579=0,"Zero Balance",IF(G8579&lt;100000,"Low Balance","High Balance"))</f>
        <v>High Balance</v>
      </c>
      <c r="P8579" t="str">
        <f t="shared" ref="P8579:P8642" si="539">IF(F8579&lt;=3,"New",IF(F8579&lt;=7,"Mid-term","Long-term"))</f>
        <v>New</v>
      </c>
    </row>
    <row r="8580" spans="1:16" x14ac:dyDescent="0.25">
      <c r="A8580">
        <v>2025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  <c r="M8580" t="str">
        <f t="shared" si="536"/>
        <v>46-60</v>
      </c>
      <c r="N8580" t="str">
        <f t="shared" si="537"/>
        <v>Low</v>
      </c>
      <c r="O8580" t="str">
        <f t="shared" si="538"/>
        <v>High Balance</v>
      </c>
      <c r="P8580" t="str">
        <f t="shared" si="539"/>
        <v>Long-term</v>
      </c>
    </row>
    <row r="8581" spans="1:16" x14ac:dyDescent="0.25">
      <c r="A8581">
        <v>2025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  <c r="M8581" t="str">
        <f t="shared" si="536"/>
        <v>30-45</v>
      </c>
      <c r="N8581" t="str">
        <f t="shared" si="537"/>
        <v>Medium</v>
      </c>
      <c r="O8581" t="str">
        <f t="shared" si="538"/>
        <v>High Balance</v>
      </c>
      <c r="P8581" t="str">
        <f t="shared" si="539"/>
        <v>Mid-term</v>
      </c>
    </row>
    <row r="8582" spans="1:16" x14ac:dyDescent="0.25">
      <c r="A8582">
        <v>2025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  <c r="M8582" t="str">
        <f t="shared" si="536"/>
        <v>30-45</v>
      </c>
      <c r="N8582" t="str">
        <f t="shared" si="537"/>
        <v>Medium</v>
      </c>
      <c r="O8582" t="str">
        <f t="shared" si="538"/>
        <v>High Balance</v>
      </c>
      <c r="P8582" t="str">
        <f t="shared" si="539"/>
        <v>Mid-term</v>
      </c>
    </row>
    <row r="8583" spans="1:16" x14ac:dyDescent="0.25">
      <c r="A8583">
        <v>2025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  <c r="M8583" t="str">
        <f t="shared" si="536"/>
        <v>30-45</v>
      </c>
      <c r="N8583" t="str">
        <f t="shared" si="537"/>
        <v>Medium</v>
      </c>
      <c r="O8583" t="str">
        <f t="shared" si="538"/>
        <v>Zero Balance</v>
      </c>
      <c r="P8583" t="str">
        <f t="shared" si="539"/>
        <v>New</v>
      </c>
    </row>
    <row r="8584" spans="1:16" x14ac:dyDescent="0.25">
      <c r="A8584">
        <v>2025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  <c r="M8584" t="str">
        <f t="shared" si="536"/>
        <v>30-45</v>
      </c>
      <c r="N8584" t="str">
        <f t="shared" si="537"/>
        <v>Medium</v>
      </c>
      <c r="O8584" t="str">
        <f t="shared" si="538"/>
        <v>High Balance</v>
      </c>
      <c r="P8584" t="str">
        <f t="shared" si="539"/>
        <v>New</v>
      </c>
    </row>
    <row r="8585" spans="1:16" x14ac:dyDescent="0.25">
      <c r="A8585">
        <v>2025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  <c r="M8585" t="str">
        <f t="shared" si="536"/>
        <v>30-45</v>
      </c>
      <c r="N8585" t="str">
        <f t="shared" si="537"/>
        <v>Medium</v>
      </c>
      <c r="O8585" t="str">
        <f t="shared" si="538"/>
        <v>High Balance</v>
      </c>
      <c r="P8585" t="str">
        <f t="shared" si="539"/>
        <v>New</v>
      </c>
    </row>
    <row r="8586" spans="1:16" x14ac:dyDescent="0.25">
      <c r="A8586">
        <v>2025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  <c r="M8586" t="str">
        <f t="shared" si="536"/>
        <v>&lt;30</v>
      </c>
      <c r="N8586" t="str">
        <f t="shared" si="537"/>
        <v>High</v>
      </c>
      <c r="O8586" t="str">
        <f t="shared" si="538"/>
        <v>Zero Balance</v>
      </c>
      <c r="P8586" t="str">
        <f t="shared" si="539"/>
        <v>Mid-term</v>
      </c>
    </row>
    <row r="8587" spans="1:16" x14ac:dyDescent="0.25">
      <c r="A8587">
        <v>2025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  <c r="M8587" t="str">
        <f t="shared" si="536"/>
        <v>30-45</v>
      </c>
      <c r="N8587" t="str">
        <f t="shared" si="537"/>
        <v>High</v>
      </c>
      <c r="O8587" t="str">
        <f t="shared" si="538"/>
        <v>Zero Balance</v>
      </c>
      <c r="P8587" t="str">
        <f t="shared" si="539"/>
        <v>Mid-term</v>
      </c>
    </row>
    <row r="8588" spans="1:16" x14ac:dyDescent="0.25">
      <c r="A8588">
        <v>2025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  <c r="M8588" t="str">
        <f t="shared" si="536"/>
        <v>46-60</v>
      </c>
      <c r="N8588" t="str">
        <f t="shared" si="537"/>
        <v>Medium</v>
      </c>
      <c r="O8588" t="str">
        <f t="shared" si="538"/>
        <v>High Balance</v>
      </c>
      <c r="P8588" t="str">
        <f t="shared" si="539"/>
        <v>Long-term</v>
      </c>
    </row>
    <row r="8589" spans="1:16" x14ac:dyDescent="0.25">
      <c r="A8589">
        <v>2025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  <c r="M8589" t="str">
        <f t="shared" si="536"/>
        <v>30-45</v>
      </c>
      <c r="N8589" t="str">
        <f t="shared" si="537"/>
        <v>Medium</v>
      </c>
      <c r="O8589" t="str">
        <f t="shared" si="538"/>
        <v>High Balance</v>
      </c>
      <c r="P8589" t="str">
        <f t="shared" si="539"/>
        <v>New</v>
      </c>
    </row>
    <row r="8590" spans="1:16" x14ac:dyDescent="0.25">
      <c r="A8590">
        <v>2025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  <c r="M8590" t="str">
        <f t="shared" si="536"/>
        <v>&lt;30</v>
      </c>
      <c r="N8590" t="str">
        <f t="shared" si="537"/>
        <v>High</v>
      </c>
      <c r="O8590" t="str">
        <f t="shared" si="538"/>
        <v>Low Balance</v>
      </c>
      <c r="P8590" t="str">
        <f t="shared" si="539"/>
        <v>Mid-term</v>
      </c>
    </row>
    <row r="8591" spans="1:16" x14ac:dyDescent="0.25">
      <c r="A8591">
        <v>2025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  <c r="M8591" t="str">
        <f t="shared" si="536"/>
        <v>30-45</v>
      </c>
      <c r="N8591" t="str">
        <f t="shared" si="537"/>
        <v>Medium</v>
      </c>
      <c r="O8591" t="str">
        <f t="shared" si="538"/>
        <v>Zero Balance</v>
      </c>
      <c r="P8591" t="str">
        <f t="shared" si="539"/>
        <v>Mid-term</v>
      </c>
    </row>
    <row r="8592" spans="1:16" x14ac:dyDescent="0.25">
      <c r="A8592">
        <v>2025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  <c r="M8592" t="str">
        <f t="shared" si="536"/>
        <v>30-45</v>
      </c>
      <c r="N8592" t="str">
        <f t="shared" si="537"/>
        <v>High</v>
      </c>
      <c r="O8592" t="str">
        <f t="shared" si="538"/>
        <v>High Balance</v>
      </c>
      <c r="P8592" t="str">
        <f t="shared" si="539"/>
        <v>Long-term</v>
      </c>
    </row>
    <row r="8593" spans="1:16" x14ac:dyDescent="0.25">
      <c r="A8593">
        <v>2025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  <c r="M8593" t="str">
        <f t="shared" si="536"/>
        <v>30-45</v>
      </c>
      <c r="N8593" t="str">
        <f t="shared" si="537"/>
        <v>Medium</v>
      </c>
      <c r="O8593" t="str">
        <f t="shared" si="538"/>
        <v>Zero Balance</v>
      </c>
      <c r="P8593" t="str">
        <f t="shared" si="539"/>
        <v>Mid-term</v>
      </c>
    </row>
    <row r="8594" spans="1:16" x14ac:dyDescent="0.25">
      <c r="A8594">
        <v>2025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  <c r="M8594" t="str">
        <f t="shared" si="536"/>
        <v>30-45</v>
      </c>
      <c r="N8594" t="str">
        <f t="shared" si="537"/>
        <v>High</v>
      </c>
      <c r="O8594" t="str">
        <f t="shared" si="538"/>
        <v>Zero Balance</v>
      </c>
      <c r="P8594" t="str">
        <f t="shared" si="539"/>
        <v>Long-term</v>
      </c>
    </row>
    <row r="8595" spans="1:16" x14ac:dyDescent="0.25">
      <c r="A8595">
        <v>2025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  <c r="M8595" t="str">
        <f t="shared" si="536"/>
        <v>30-45</v>
      </c>
      <c r="N8595" t="str">
        <f t="shared" si="537"/>
        <v>Medium</v>
      </c>
      <c r="O8595" t="str">
        <f t="shared" si="538"/>
        <v>High Balance</v>
      </c>
      <c r="P8595" t="str">
        <f t="shared" si="539"/>
        <v>Mid-term</v>
      </c>
    </row>
    <row r="8596" spans="1:16" x14ac:dyDescent="0.25">
      <c r="A8596">
        <v>2025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  <c r="M8596" t="str">
        <f t="shared" si="536"/>
        <v>30-45</v>
      </c>
      <c r="N8596" t="str">
        <f t="shared" si="537"/>
        <v>High</v>
      </c>
      <c r="O8596" t="str">
        <f t="shared" si="538"/>
        <v>Zero Balance</v>
      </c>
      <c r="P8596" t="str">
        <f t="shared" si="539"/>
        <v>Long-term</v>
      </c>
    </row>
    <row r="8597" spans="1:16" x14ac:dyDescent="0.25">
      <c r="A8597">
        <v>2025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  <c r="M8597" t="str">
        <f t="shared" si="536"/>
        <v>&lt;30</v>
      </c>
      <c r="N8597" t="str">
        <f t="shared" si="537"/>
        <v>High</v>
      </c>
      <c r="O8597" t="str">
        <f t="shared" si="538"/>
        <v>High Balance</v>
      </c>
      <c r="P8597" t="str">
        <f t="shared" si="539"/>
        <v>Mid-term</v>
      </c>
    </row>
    <row r="8598" spans="1:16" x14ac:dyDescent="0.25">
      <c r="A8598">
        <v>2025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  <c r="M8598" t="str">
        <f t="shared" si="536"/>
        <v>30-45</v>
      </c>
      <c r="N8598" t="str">
        <f t="shared" si="537"/>
        <v>High</v>
      </c>
      <c r="O8598" t="str">
        <f t="shared" si="538"/>
        <v>Zero Balance</v>
      </c>
      <c r="P8598" t="str">
        <f t="shared" si="539"/>
        <v>New</v>
      </c>
    </row>
    <row r="8599" spans="1:16" x14ac:dyDescent="0.25">
      <c r="A8599">
        <v>2025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  <c r="M8599" t="str">
        <f t="shared" si="536"/>
        <v>46-60</v>
      </c>
      <c r="N8599" t="str">
        <f t="shared" si="537"/>
        <v>Medium</v>
      </c>
      <c r="O8599" t="str">
        <f t="shared" si="538"/>
        <v>High Balance</v>
      </c>
      <c r="P8599" t="str">
        <f t="shared" si="539"/>
        <v>New</v>
      </c>
    </row>
    <row r="8600" spans="1:16" x14ac:dyDescent="0.25">
      <c r="A8600">
        <v>2025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  <c r="M8600" t="str">
        <f t="shared" si="536"/>
        <v>46-60</v>
      </c>
      <c r="N8600" t="str">
        <f t="shared" si="537"/>
        <v>Medium</v>
      </c>
      <c r="O8600" t="str">
        <f t="shared" si="538"/>
        <v>Zero Balance</v>
      </c>
      <c r="P8600" t="str">
        <f t="shared" si="539"/>
        <v>New</v>
      </c>
    </row>
    <row r="8601" spans="1:16" x14ac:dyDescent="0.25">
      <c r="A8601">
        <v>2025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  <c r="M8601" t="str">
        <f t="shared" si="536"/>
        <v>30-45</v>
      </c>
      <c r="N8601" t="str">
        <f t="shared" si="537"/>
        <v>Medium</v>
      </c>
      <c r="O8601" t="str">
        <f t="shared" si="538"/>
        <v>Zero Balance</v>
      </c>
      <c r="P8601" t="str">
        <f t="shared" si="539"/>
        <v>New</v>
      </c>
    </row>
    <row r="8602" spans="1:16" x14ac:dyDescent="0.25">
      <c r="A8602">
        <v>2025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  <c r="M8602" t="str">
        <f t="shared" si="536"/>
        <v>30-45</v>
      </c>
      <c r="N8602" t="str">
        <f t="shared" si="537"/>
        <v>High</v>
      </c>
      <c r="O8602" t="str">
        <f t="shared" si="538"/>
        <v>High Balance</v>
      </c>
      <c r="P8602" t="str">
        <f t="shared" si="539"/>
        <v>Long-term</v>
      </c>
    </row>
    <row r="8603" spans="1:16" x14ac:dyDescent="0.25">
      <c r="A8603">
        <v>2025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  <c r="M8603" t="str">
        <f t="shared" si="536"/>
        <v>30-45</v>
      </c>
      <c r="N8603" t="str">
        <f t="shared" si="537"/>
        <v>Medium</v>
      </c>
      <c r="O8603" t="str">
        <f t="shared" si="538"/>
        <v>High Balance</v>
      </c>
      <c r="P8603" t="str">
        <f t="shared" si="539"/>
        <v>Long-term</v>
      </c>
    </row>
    <row r="8604" spans="1:16" x14ac:dyDescent="0.25">
      <c r="A8604">
        <v>2025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  <c r="M8604" t="str">
        <f t="shared" si="536"/>
        <v>60+</v>
      </c>
      <c r="N8604" t="str">
        <f t="shared" si="537"/>
        <v>Medium</v>
      </c>
      <c r="O8604" t="str">
        <f t="shared" si="538"/>
        <v>Zero Balance</v>
      </c>
      <c r="P8604" t="str">
        <f t="shared" si="539"/>
        <v>Long-term</v>
      </c>
    </row>
    <row r="8605" spans="1:16" x14ac:dyDescent="0.25">
      <c r="A8605">
        <v>2025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  <c r="M8605" t="str">
        <f t="shared" si="536"/>
        <v>46-60</v>
      </c>
      <c r="N8605" t="str">
        <f t="shared" si="537"/>
        <v>Medium</v>
      </c>
      <c r="O8605" t="str">
        <f t="shared" si="538"/>
        <v>High Balance</v>
      </c>
      <c r="P8605" t="str">
        <f t="shared" si="539"/>
        <v>New</v>
      </c>
    </row>
    <row r="8606" spans="1:16" x14ac:dyDescent="0.25">
      <c r="A8606">
        <v>2025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  <c r="M8606" t="str">
        <f t="shared" si="536"/>
        <v>30-45</v>
      </c>
      <c r="N8606" t="str">
        <f t="shared" si="537"/>
        <v>High</v>
      </c>
      <c r="O8606" t="str">
        <f t="shared" si="538"/>
        <v>Zero Balance</v>
      </c>
      <c r="P8606" t="str">
        <f t="shared" si="539"/>
        <v>Mid-term</v>
      </c>
    </row>
    <row r="8607" spans="1:16" x14ac:dyDescent="0.25">
      <c r="A8607">
        <v>2025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  <c r="M8607" t="str">
        <f t="shared" si="536"/>
        <v>46-60</v>
      </c>
      <c r="N8607" t="str">
        <f t="shared" si="537"/>
        <v>Medium</v>
      </c>
      <c r="O8607" t="str">
        <f t="shared" si="538"/>
        <v>Zero Balance</v>
      </c>
      <c r="P8607" t="str">
        <f t="shared" si="539"/>
        <v>Long-term</v>
      </c>
    </row>
    <row r="8608" spans="1:16" x14ac:dyDescent="0.25">
      <c r="A8608">
        <v>2025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  <c r="M8608" t="str">
        <f t="shared" si="536"/>
        <v>30-45</v>
      </c>
      <c r="N8608" t="str">
        <f t="shared" si="537"/>
        <v>High</v>
      </c>
      <c r="O8608" t="str">
        <f t="shared" si="538"/>
        <v>Zero Balance</v>
      </c>
      <c r="P8608" t="str">
        <f t="shared" si="539"/>
        <v>Mid-term</v>
      </c>
    </row>
    <row r="8609" spans="1:16" x14ac:dyDescent="0.25">
      <c r="A8609">
        <v>2025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  <c r="M8609" t="str">
        <f t="shared" si="536"/>
        <v>30-45</v>
      </c>
      <c r="N8609" t="str">
        <f t="shared" si="537"/>
        <v>Medium</v>
      </c>
      <c r="O8609" t="str">
        <f t="shared" si="538"/>
        <v>Low Balance</v>
      </c>
      <c r="P8609" t="str">
        <f t="shared" si="539"/>
        <v>New</v>
      </c>
    </row>
    <row r="8610" spans="1:16" x14ac:dyDescent="0.25">
      <c r="A8610">
        <v>2025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  <c r="M8610" t="str">
        <f t="shared" si="536"/>
        <v>30-45</v>
      </c>
      <c r="N8610" t="str">
        <f t="shared" si="537"/>
        <v>High</v>
      </c>
      <c r="O8610" t="str">
        <f t="shared" si="538"/>
        <v>Low Balance</v>
      </c>
      <c r="P8610" t="str">
        <f t="shared" si="539"/>
        <v>New</v>
      </c>
    </row>
    <row r="8611" spans="1:16" x14ac:dyDescent="0.25">
      <c r="A8611">
        <v>2025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  <c r="M8611" t="str">
        <f t="shared" si="536"/>
        <v>30-45</v>
      </c>
      <c r="N8611" t="str">
        <f t="shared" si="537"/>
        <v>Medium</v>
      </c>
      <c r="O8611" t="str">
        <f t="shared" si="538"/>
        <v>Zero Balance</v>
      </c>
      <c r="P8611" t="str">
        <f t="shared" si="539"/>
        <v>New</v>
      </c>
    </row>
    <row r="8612" spans="1:16" x14ac:dyDescent="0.25">
      <c r="A8612">
        <v>2025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  <c r="M8612" t="str">
        <f t="shared" si="536"/>
        <v>&lt;30</v>
      </c>
      <c r="N8612" t="str">
        <f t="shared" si="537"/>
        <v>High</v>
      </c>
      <c r="O8612" t="str">
        <f t="shared" si="538"/>
        <v>Zero Balance</v>
      </c>
      <c r="P8612" t="str">
        <f t="shared" si="539"/>
        <v>Long-term</v>
      </c>
    </row>
    <row r="8613" spans="1:16" x14ac:dyDescent="0.25">
      <c r="A8613">
        <v>2025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  <c r="M8613" t="str">
        <f t="shared" si="536"/>
        <v>30-45</v>
      </c>
      <c r="N8613" t="str">
        <f t="shared" si="537"/>
        <v>Medium</v>
      </c>
      <c r="O8613" t="str">
        <f t="shared" si="538"/>
        <v>Zero Balance</v>
      </c>
      <c r="P8613" t="str">
        <f t="shared" si="539"/>
        <v>New</v>
      </c>
    </row>
    <row r="8614" spans="1:16" x14ac:dyDescent="0.25">
      <c r="A8614">
        <v>2025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  <c r="M8614" t="str">
        <f t="shared" si="536"/>
        <v>30-45</v>
      </c>
      <c r="N8614" t="str">
        <f t="shared" si="537"/>
        <v>Medium</v>
      </c>
      <c r="O8614" t="str">
        <f t="shared" si="538"/>
        <v>High Balance</v>
      </c>
      <c r="P8614" t="str">
        <f t="shared" si="539"/>
        <v>New</v>
      </c>
    </row>
    <row r="8615" spans="1:16" x14ac:dyDescent="0.25">
      <c r="A8615">
        <v>2025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  <c r="M8615" t="str">
        <f t="shared" si="536"/>
        <v>&lt;30</v>
      </c>
      <c r="N8615" t="str">
        <f t="shared" si="537"/>
        <v>Medium</v>
      </c>
      <c r="O8615" t="str">
        <f t="shared" si="538"/>
        <v>High Balance</v>
      </c>
      <c r="P8615" t="str">
        <f t="shared" si="539"/>
        <v>New</v>
      </c>
    </row>
    <row r="8616" spans="1:16" x14ac:dyDescent="0.25">
      <c r="A8616">
        <v>2025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  <c r="M8616" t="str">
        <f t="shared" si="536"/>
        <v>30-45</v>
      </c>
      <c r="N8616" t="str">
        <f t="shared" si="537"/>
        <v>High</v>
      </c>
      <c r="O8616" t="str">
        <f t="shared" si="538"/>
        <v>High Balance</v>
      </c>
      <c r="P8616" t="str">
        <f t="shared" si="539"/>
        <v>New</v>
      </c>
    </row>
    <row r="8617" spans="1:16" x14ac:dyDescent="0.25">
      <c r="A8617">
        <v>2025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  <c r="M8617" t="str">
        <f t="shared" si="536"/>
        <v>30-45</v>
      </c>
      <c r="N8617" t="str">
        <f t="shared" si="537"/>
        <v>Medium</v>
      </c>
      <c r="O8617" t="str">
        <f t="shared" si="538"/>
        <v>Zero Balance</v>
      </c>
      <c r="P8617" t="str">
        <f t="shared" si="539"/>
        <v>Mid-term</v>
      </c>
    </row>
    <row r="8618" spans="1:16" x14ac:dyDescent="0.25">
      <c r="A8618">
        <v>2025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  <c r="M8618" t="str">
        <f t="shared" si="536"/>
        <v>&lt;30</v>
      </c>
      <c r="N8618" t="str">
        <f t="shared" si="537"/>
        <v>Medium</v>
      </c>
      <c r="O8618" t="str">
        <f t="shared" si="538"/>
        <v>High Balance</v>
      </c>
      <c r="P8618" t="str">
        <f t="shared" si="539"/>
        <v>Mid-term</v>
      </c>
    </row>
    <row r="8619" spans="1:16" x14ac:dyDescent="0.25">
      <c r="A8619">
        <v>2025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  <c r="M8619" t="str">
        <f t="shared" si="536"/>
        <v>30-45</v>
      </c>
      <c r="N8619" t="str">
        <f t="shared" si="537"/>
        <v>Medium</v>
      </c>
      <c r="O8619" t="str">
        <f t="shared" si="538"/>
        <v>Zero Balance</v>
      </c>
      <c r="P8619" t="str">
        <f t="shared" si="539"/>
        <v>Mid-term</v>
      </c>
    </row>
    <row r="8620" spans="1:16" x14ac:dyDescent="0.25">
      <c r="A8620">
        <v>2025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  <c r="M8620" t="str">
        <f t="shared" si="536"/>
        <v>30-45</v>
      </c>
      <c r="N8620" t="str">
        <f t="shared" si="537"/>
        <v>Medium</v>
      </c>
      <c r="O8620" t="str">
        <f t="shared" si="538"/>
        <v>High Balance</v>
      </c>
      <c r="P8620" t="str">
        <f t="shared" si="539"/>
        <v>Mid-term</v>
      </c>
    </row>
    <row r="8621" spans="1:16" x14ac:dyDescent="0.25">
      <c r="A8621">
        <v>2025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  <c r="M8621" t="str">
        <f t="shared" si="536"/>
        <v>30-45</v>
      </c>
      <c r="N8621" t="str">
        <f t="shared" si="537"/>
        <v>High</v>
      </c>
      <c r="O8621" t="str">
        <f t="shared" si="538"/>
        <v>Zero Balance</v>
      </c>
      <c r="P8621" t="str">
        <f t="shared" si="539"/>
        <v>Mid-term</v>
      </c>
    </row>
    <row r="8622" spans="1:16" x14ac:dyDescent="0.25">
      <c r="A8622">
        <v>2025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  <c r="M8622" t="str">
        <f t="shared" si="536"/>
        <v>30-45</v>
      </c>
      <c r="N8622" t="str">
        <f t="shared" si="537"/>
        <v>High</v>
      </c>
      <c r="O8622" t="str">
        <f t="shared" si="538"/>
        <v>Zero Balance</v>
      </c>
      <c r="P8622" t="str">
        <f t="shared" si="539"/>
        <v>Long-term</v>
      </c>
    </row>
    <row r="8623" spans="1:16" x14ac:dyDescent="0.25">
      <c r="A8623">
        <v>2025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  <c r="M8623" t="str">
        <f t="shared" si="536"/>
        <v>30-45</v>
      </c>
      <c r="N8623" t="str">
        <f t="shared" si="537"/>
        <v>Medium</v>
      </c>
      <c r="O8623" t="str">
        <f t="shared" si="538"/>
        <v>Zero Balance</v>
      </c>
      <c r="P8623" t="str">
        <f t="shared" si="539"/>
        <v>Mid-term</v>
      </c>
    </row>
    <row r="8624" spans="1:16" x14ac:dyDescent="0.25">
      <c r="A8624">
        <v>2025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  <c r="M8624" t="str">
        <f t="shared" si="536"/>
        <v>30-45</v>
      </c>
      <c r="N8624" t="str">
        <f t="shared" si="537"/>
        <v>High</v>
      </c>
      <c r="O8624" t="str">
        <f t="shared" si="538"/>
        <v>Low Balance</v>
      </c>
      <c r="P8624" t="str">
        <f t="shared" si="539"/>
        <v>Long-term</v>
      </c>
    </row>
    <row r="8625" spans="1:16" x14ac:dyDescent="0.25">
      <c r="A8625">
        <v>2025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  <c r="M8625" t="str">
        <f t="shared" si="536"/>
        <v>30-45</v>
      </c>
      <c r="N8625" t="str">
        <f t="shared" si="537"/>
        <v>Low</v>
      </c>
      <c r="O8625" t="str">
        <f t="shared" si="538"/>
        <v>High Balance</v>
      </c>
      <c r="P8625" t="str">
        <f t="shared" si="539"/>
        <v>Long-term</v>
      </c>
    </row>
    <row r="8626" spans="1:16" x14ac:dyDescent="0.25">
      <c r="A8626">
        <v>2025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  <c r="M8626" t="str">
        <f t="shared" si="536"/>
        <v>30-45</v>
      </c>
      <c r="N8626" t="str">
        <f t="shared" si="537"/>
        <v>High</v>
      </c>
      <c r="O8626" t="str">
        <f t="shared" si="538"/>
        <v>Low Balance</v>
      </c>
      <c r="P8626" t="str">
        <f t="shared" si="539"/>
        <v>Mid-term</v>
      </c>
    </row>
    <row r="8627" spans="1:16" x14ac:dyDescent="0.25">
      <c r="A8627">
        <v>2025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  <c r="M8627" t="str">
        <f t="shared" si="536"/>
        <v>30-45</v>
      </c>
      <c r="N8627" t="str">
        <f t="shared" si="537"/>
        <v>High</v>
      </c>
      <c r="O8627" t="str">
        <f t="shared" si="538"/>
        <v>High Balance</v>
      </c>
      <c r="P8627" t="str">
        <f t="shared" si="539"/>
        <v>New</v>
      </c>
    </row>
    <row r="8628" spans="1:16" x14ac:dyDescent="0.25">
      <c r="A8628">
        <v>2025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  <c r="M8628" t="str">
        <f t="shared" si="536"/>
        <v>30-45</v>
      </c>
      <c r="N8628" t="str">
        <f t="shared" si="537"/>
        <v>Medium</v>
      </c>
      <c r="O8628" t="str">
        <f t="shared" si="538"/>
        <v>Low Balance</v>
      </c>
      <c r="P8628" t="str">
        <f t="shared" si="539"/>
        <v>Mid-term</v>
      </c>
    </row>
    <row r="8629" spans="1:16" x14ac:dyDescent="0.25">
      <c r="A8629">
        <v>2025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  <c r="M8629" t="str">
        <f t="shared" si="536"/>
        <v>30-45</v>
      </c>
      <c r="N8629" t="str">
        <f t="shared" si="537"/>
        <v>Medium</v>
      </c>
      <c r="O8629" t="str">
        <f t="shared" si="538"/>
        <v>Zero Balance</v>
      </c>
      <c r="P8629" t="str">
        <f t="shared" si="539"/>
        <v>Mid-term</v>
      </c>
    </row>
    <row r="8630" spans="1:16" x14ac:dyDescent="0.25">
      <c r="A8630">
        <v>2025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  <c r="M8630" t="str">
        <f t="shared" si="536"/>
        <v>30-45</v>
      </c>
      <c r="N8630" t="str">
        <f t="shared" si="537"/>
        <v>High</v>
      </c>
      <c r="O8630" t="str">
        <f t="shared" si="538"/>
        <v>Zero Balance</v>
      </c>
      <c r="P8630" t="str">
        <f t="shared" si="539"/>
        <v>New</v>
      </c>
    </row>
    <row r="8631" spans="1:16" x14ac:dyDescent="0.25">
      <c r="A8631">
        <v>2025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  <c r="M8631" t="str">
        <f t="shared" si="536"/>
        <v>&lt;30</v>
      </c>
      <c r="N8631" t="str">
        <f t="shared" si="537"/>
        <v>Medium</v>
      </c>
      <c r="O8631" t="str">
        <f t="shared" si="538"/>
        <v>High Balance</v>
      </c>
      <c r="P8631" t="str">
        <f t="shared" si="539"/>
        <v>Mid-term</v>
      </c>
    </row>
    <row r="8632" spans="1:16" x14ac:dyDescent="0.25">
      <c r="A8632">
        <v>2025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  <c r="M8632" t="str">
        <f t="shared" si="536"/>
        <v>30-45</v>
      </c>
      <c r="N8632" t="str">
        <f t="shared" si="537"/>
        <v>High</v>
      </c>
      <c r="O8632" t="str">
        <f t="shared" si="538"/>
        <v>High Balance</v>
      </c>
      <c r="P8632" t="str">
        <f t="shared" si="539"/>
        <v>New</v>
      </c>
    </row>
    <row r="8633" spans="1:16" x14ac:dyDescent="0.25">
      <c r="A8633">
        <v>2025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  <c r="M8633" t="str">
        <f t="shared" si="536"/>
        <v>30-45</v>
      </c>
      <c r="N8633" t="str">
        <f t="shared" si="537"/>
        <v>Medium</v>
      </c>
      <c r="O8633" t="str">
        <f t="shared" si="538"/>
        <v>Low Balance</v>
      </c>
      <c r="P8633" t="str">
        <f t="shared" si="539"/>
        <v>New</v>
      </c>
    </row>
    <row r="8634" spans="1:16" x14ac:dyDescent="0.25">
      <c r="A8634">
        <v>2025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  <c r="M8634" t="str">
        <f t="shared" si="536"/>
        <v>30-45</v>
      </c>
      <c r="N8634" t="str">
        <f t="shared" si="537"/>
        <v>High</v>
      </c>
      <c r="O8634" t="str">
        <f t="shared" si="538"/>
        <v>Zero Balance</v>
      </c>
      <c r="P8634" t="str">
        <f t="shared" si="539"/>
        <v>Mid-term</v>
      </c>
    </row>
    <row r="8635" spans="1:16" x14ac:dyDescent="0.25">
      <c r="A8635">
        <v>2025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  <c r="M8635" t="str">
        <f t="shared" si="536"/>
        <v>30-45</v>
      </c>
      <c r="N8635" t="str">
        <f t="shared" si="537"/>
        <v>High</v>
      </c>
      <c r="O8635" t="str">
        <f t="shared" si="538"/>
        <v>Zero Balance</v>
      </c>
      <c r="P8635" t="str">
        <f t="shared" si="539"/>
        <v>New</v>
      </c>
    </row>
    <row r="8636" spans="1:16" x14ac:dyDescent="0.25">
      <c r="A8636">
        <v>2025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  <c r="M8636" t="str">
        <f t="shared" si="536"/>
        <v>30-45</v>
      </c>
      <c r="N8636" t="str">
        <f t="shared" si="537"/>
        <v>High</v>
      </c>
      <c r="O8636" t="str">
        <f t="shared" si="538"/>
        <v>Zero Balance</v>
      </c>
      <c r="P8636" t="str">
        <f t="shared" si="539"/>
        <v>Mid-term</v>
      </c>
    </row>
    <row r="8637" spans="1:16" x14ac:dyDescent="0.25">
      <c r="A8637">
        <v>2025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  <c r="M8637" t="str">
        <f t="shared" si="536"/>
        <v>&lt;30</v>
      </c>
      <c r="N8637" t="str">
        <f t="shared" si="537"/>
        <v>Medium</v>
      </c>
      <c r="O8637" t="str">
        <f t="shared" si="538"/>
        <v>High Balance</v>
      </c>
      <c r="P8637" t="str">
        <f t="shared" si="539"/>
        <v>New</v>
      </c>
    </row>
    <row r="8638" spans="1:16" x14ac:dyDescent="0.25">
      <c r="A8638">
        <v>2025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  <c r="M8638" t="str">
        <f t="shared" si="536"/>
        <v>46-60</v>
      </c>
      <c r="N8638" t="str">
        <f t="shared" si="537"/>
        <v>Medium</v>
      </c>
      <c r="O8638" t="str">
        <f t="shared" si="538"/>
        <v>Low Balance</v>
      </c>
      <c r="P8638" t="str">
        <f t="shared" si="539"/>
        <v>New</v>
      </c>
    </row>
    <row r="8639" spans="1:16" x14ac:dyDescent="0.25">
      <c r="A8639">
        <v>2025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  <c r="M8639" t="str">
        <f t="shared" si="536"/>
        <v>30-45</v>
      </c>
      <c r="N8639" t="str">
        <f t="shared" si="537"/>
        <v>Medium</v>
      </c>
      <c r="O8639" t="str">
        <f t="shared" si="538"/>
        <v>Zero Balance</v>
      </c>
      <c r="P8639" t="str">
        <f t="shared" si="539"/>
        <v>New</v>
      </c>
    </row>
    <row r="8640" spans="1:16" x14ac:dyDescent="0.25">
      <c r="A8640">
        <v>2025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  <c r="M8640" t="str">
        <f t="shared" si="536"/>
        <v>&lt;30</v>
      </c>
      <c r="N8640" t="str">
        <f t="shared" si="537"/>
        <v>Medium</v>
      </c>
      <c r="O8640" t="str">
        <f t="shared" si="538"/>
        <v>High Balance</v>
      </c>
      <c r="P8640" t="str">
        <f t="shared" si="539"/>
        <v>Mid-term</v>
      </c>
    </row>
    <row r="8641" spans="1:16" x14ac:dyDescent="0.25">
      <c r="A8641">
        <v>2025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  <c r="M8641" t="str">
        <f t="shared" si="536"/>
        <v>30-45</v>
      </c>
      <c r="N8641" t="str">
        <f t="shared" si="537"/>
        <v>High</v>
      </c>
      <c r="O8641" t="str">
        <f t="shared" si="538"/>
        <v>Zero Balance</v>
      </c>
      <c r="P8641" t="str">
        <f t="shared" si="539"/>
        <v>Mid-term</v>
      </c>
    </row>
    <row r="8642" spans="1:16" x14ac:dyDescent="0.25">
      <c r="A8642">
        <v>2025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  <c r="M8642" t="str">
        <f t="shared" si="536"/>
        <v>30-45</v>
      </c>
      <c r="N8642" t="str">
        <f t="shared" si="537"/>
        <v>High</v>
      </c>
      <c r="O8642" t="str">
        <f t="shared" si="538"/>
        <v>High Balance</v>
      </c>
      <c r="P8642" t="str">
        <f t="shared" si="539"/>
        <v>Long-term</v>
      </c>
    </row>
    <row r="8643" spans="1:16" x14ac:dyDescent="0.25">
      <c r="A8643">
        <v>2025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  <c r="M8643" t="str">
        <f t="shared" ref="M8643:M8706" si="540">IF(E8643&lt;30,"&lt;30",IF(E8643&lt;=45,"30-45",IF(E8643&lt;=60,"46-60","60+")))</f>
        <v>46-60</v>
      </c>
      <c r="N8643" t="str">
        <f t="shared" ref="N8643:N8706" si="541">IF(B8643&lt;500,"Low",IF(B8643&lt;700,"Medium","High"))</f>
        <v>Medium</v>
      </c>
      <c r="O8643" t="str">
        <f t="shared" ref="O8643:O8706" si="542">IF(G8643=0,"Zero Balance",IF(G8643&lt;100000,"Low Balance","High Balance"))</f>
        <v>High Balance</v>
      </c>
      <c r="P8643" t="str">
        <f t="shared" ref="P8643:P8706" si="543">IF(F8643&lt;=3,"New",IF(F8643&lt;=7,"Mid-term","Long-term"))</f>
        <v>Mid-term</v>
      </c>
    </row>
    <row r="8644" spans="1:16" x14ac:dyDescent="0.25">
      <c r="A8644">
        <v>2025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  <c r="M8644" t="str">
        <f t="shared" si="540"/>
        <v>30-45</v>
      </c>
      <c r="N8644" t="str">
        <f t="shared" si="541"/>
        <v>Low</v>
      </c>
      <c r="O8644" t="str">
        <f t="shared" si="542"/>
        <v>Low Balance</v>
      </c>
      <c r="P8644" t="str">
        <f t="shared" si="543"/>
        <v>Mid-term</v>
      </c>
    </row>
    <row r="8645" spans="1:16" x14ac:dyDescent="0.25">
      <c r="A8645">
        <v>2025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  <c r="M8645" t="str">
        <f t="shared" si="540"/>
        <v>30-45</v>
      </c>
      <c r="N8645" t="str">
        <f t="shared" si="541"/>
        <v>High</v>
      </c>
      <c r="O8645" t="str">
        <f t="shared" si="542"/>
        <v>High Balance</v>
      </c>
      <c r="P8645" t="str">
        <f t="shared" si="543"/>
        <v>New</v>
      </c>
    </row>
    <row r="8646" spans="1:16" x14ac:dyDescent="0.25">
      <c r="A8646">
        <v>2025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  <c r="M8646" t="str">
        <f t="shared" si="540"/>
        <v>&lt;30</v>
      </c>
      <c r="N8646" t="str">
        <f t="shared" si="541"/>
        <v>High</v>
      </c>
      <c r="O8646" t="str">
        <f t="shared" si="542"/>
        <v>Zero Balance</v>
      </c>
      <c r="P8646" t="str">
        <f t="shared" si="543"/>
        <v>Long-term</v>
      </c>
    </row>
    <row r="8647" spans="1:16" x14ac:dyDescent="0.25">
      <c r="A8647">
        <v>2025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  <c r="M8647" t="str">
        <f t="shared" si="540"/>
        <v>&lt;30</v>
      </c>
      <c r="N8647" t="str">
        <f t="shared" si="541"/>
        <v>Medium</v>
      </c>
      <c r="O8647" t="str">
        <f t="shared" si="542"/>
        <v>High Balance</v>
      </c>
      <c r="P8647" t="str">
        <f t="shared" si="543"/>
        <v>Long-term</v>
      </c>
    </row>
    <row r="8648" spans="1:16" x14ac:dyDescent="0.25">
      <c r="A8648">
        <v>2025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  <c r="M8648" t="str">
        <f t="shared" si="540"/>
        <v>&lt;30</v>
      </c>
      <c r="N8648" t="str">
        <f t="shared" si="541"/>
        <v>Low</v>
      </c>
      <c r="O8648" t="str">
        <f t="shared" si="542"/>
        <v>High Balance</v>
      </c>
      <c r="P8648" t="str">
        <f t="shared" si="543"/>
        <v>Long-term</v>
      </c>
    </row>
    <row r="8649" spans="1:16" x14ac:dyDescent="0.25">
      <c r="A8649">
        <v>2025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  <c r="M8649" t="str">
        <f t="shared" si="540"/>
        <v>30-45</v>
      </c>
      <c r="N8649" t="str">
        <f t="shared" si="541"/>
        <v>Low</v>
      </c>
      <c r="O8649" t="str">
        <f t="shared" si="542"/>
        <v>Zero Balance</v>
      </c>
      <c r="P8649" t="str">
        <f t="shared" si="543"/>
        <v>New</v>
      </c>
    </row>
    <row r="8650" spans="1:16" x14ac:dyDescent="0.25">
      <c r="A8650">
        <v>2025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  <c r="M8650" t="str">
        <f t="shared" si="540"/>
        <v>46-60</v>
      </c>
      <c r="N8650" t="str">
        <f t="shared" si="541"/>
        <v>High</v>
      </c>
      <c r="O8650" t="str">
        <f t="shared" si="542"/>
        <v>Zero Balance</v>
      </c>
      <c r="P8650" t="str">
        <f t="shared" si="543"/>
        <v>New</v>
      </c>
    </row>
    <row r="8651" spans="1:16" x14ac:dyDescent="0.25">
      <c r="A8651">
        <v>2025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  <c r="M8651" t="str">
        <f t="shared" si="540"/>
        <v>30-45</v>
      </c>
      <c r="N8651" t="str">
        <f t="shared" si="541"/>
        <v>High</v>
      </c>
      <c r="O8651" t="str">
        <f t="shared" si="542"/>
        <v>High Balance</v>
      </c>
      <c r="P8651" t="str">
        <f t="shared" si="543"/>
        <v>New</v>
      </c>
    </row>
    <row r="8652" spans="1:16" x14ac:dyDescent="0.25">
      <c r="A8652">
        <v>2025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  <c r="M8652" t="str">
        <f t="shared" si="540"/>
        <v>&lt;30</v>
      </c>
      <c r="N8652" t="str">
        <f t="shared" si="541"/>
        <v>Medium</v>
      </c>
      <c r="O8652" t="str">
        <f t="shared" si="542"/>
        <v>Zero Balance</v>
      </c>
      <c r="P8652" t="str">
        <f t="shared" si="543"/>
        <v>New</v>
      </c>
    </row>
    <row r="8653" spans="1:16" x14ac:dyDescent="0.25">
      <c r="A8653">
        <v>2025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  <c r="M8653" t="str">
        <f t="shared" si="540"/>
        <v>30-45</v>
      </c>
      <c r="N8653" t="str">
        <f t="shared" si="541"/>
        <v>Medium</v>
      </c>
      <c r="O8653" t="str">
        <f t="shared" si="542"/>
        <v>Zero Balance</v>
      </c>
      <c r="P8653" t="str">
        <f t="shared" si="543"/>
        <v>New</v>
      </c>
    </row>
    <row r="8654" spans="1:16" x14ac:dyDescent="0.25">
      <c r="A8654">
        <v>2025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  <c r="M8654" t="str">
        <f t="shared" si="540"/>
        <v>30-45</v>
      </c>
      <c r="N8654" t="str">
        <f t="shared" si="541"/>
        <v>High</v>
      </c>
      <c r="O8654" t="str">
        <f t="shared" si="542"/>
        <v>High Balance</v>
      </c>
      <c r="P8654" t="str">
        <f t="shared" si="543"/>
        <v>New</v>
      </c>
    </row>
    <row r="8655" spans="1:16" x14ac:dyDescent="0.25">
      <c r="A8655">
        <v>2025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  <c r="M8655" t="str">
        <f t="shared" si="540"/>
        <v>46-60</v>
      </c>
      <c r="N8655" t="str">
        <f t="shared" si="541"/>
        <v>Medium</v>
      </c>
      <c r="O8655" t="str">
        <f t="shared" si="542"/>
        <v>Zero Balance</v>
      </c>
      <c r="P8655" t="str">
        <f t="shared" si="543"/>
        <v>Mid-term</v>
      </c>
    </row>
    <row r="8656" spans="1:16" x14ac:dyDescent="0.25">
      <c r="A8656">
        <v>2025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  <c r="M8656" t="str">
        <f t="shared" si="540"/>
        <v>30-45</v>
      </c>
      <c r="N8656" t="str">
        <f t="shared" si="541"/>
        <v>Medium</v>
      </c>
      <c r="O8656" t="str">
        <f t="shared" si="542"/>
        <v>High Balance</v>
      </c>
      <c r="P8656" t="str">
        <f t="shared" si="543"/>
        <v>Mid-term</v>
      </c>
    </row>
    <row r="8657" spans="1:16" x14ac:dyDescent="0.25">
      <c r="A8657">
        <v>2025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  <c r="M8657" t="str">
        <f t="shared" si="540"/>
        <v>30-45</v>
      </c>
      <c r="N8657" t="str">
        <f t="shared" si="541"/>
        <v>Medium</v>
      </c>
      <c r="O8657" t="str">
        <f t="shared" si="542"/>
        <v>Zero Balance</v>
      </c>
      <c r="P8657" t="str">
        <f t="shared" si="543"/>
        <v>Long-term</v>
      </c>
    </row>
    <row r="8658" spans="1:16" x14ac:dyDescent="0.25">
      <c r="A8658">
        <v>2025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  <c r="M8658" t="str">
        <f t="shared" si="540"/>
        <v>30-45</v>
      </c>
      <c r="N8658" t="str">
        <f t="shared" si="541"/>
        <v>Medium</v>
      </c>
      <c r="O8658" t="str">
        <f t="shared" si="542"/>
        <v>Low Balance</v>
      </c>
      <c r="P8658" t="str">
        <f t="shared" si="543"/>
        <v>New</v>
      </c>
    </row>
    <row r="8659" spans="1:16" x14ac:dyDescent="0.25">
      <c r="A8659">
        <v>2025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  <c r="M8659" t="str">
        <f t="shared" si="540"/>
        <v>30-45</v>
      </c>
      <c r="N8659" t="str">
        <f t="shared" si="541"/>
        <v>Medium</v>
      </c>
      <c r="O8659" t="str">
        <f t="shared" si="542"/>
        <v>Zero Balance</v>
      </c>
      <c r="P8659" t="str">
        <f t="shared" si="543"/>
        <v>Long-term</v>
      </c>
    </row>
    <row r="8660" spans="1:16" x14ac:dyDescent="0.25">
      <c r="A8660">
        <v>2025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  <c r="M8660" t="str">
        <f t="shared" si="540"/>
        <v>30-45</v>
      </c>
      <c r="N8660" t="str">
        <f t="shared" si="541"/>
        <v>Medium</v>
      </c>
      <c r="O8660" t="str">
        <f t="shared" si="542"/>
        <v>High Balance</v>
      </c>
      <c r="P8660" t="str">
        <f t="shared" si="543"/>
        <v>New</v>
      </c>
    </row>
    <row r="8661" spans="1:16" x14ac:dyDescent="0.25">
      <c r="A8661">
        <v>2025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  <c r="M8661" t="str">
        <f t="shared" si="540"/>
        <v>&lt;30</v>
      </c>
      <c r="N8661" t="str">
        <f t="shared" si="541"/>
        <v>High</v>
      </c>
      <c r="O8661" t="str">
        <f t="shared" si="542"/>
        <v>High Balance</v>
      </c>
      <c r="P8661" t="str">
        <f t="shared" si="543"/>
        <v>Mid-term</v>
      </c>
    </row>
    <row r="8662" spans="1:16" x14ac:dyDescent="0.25">
      <c r="A8662">
        <v>2025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  <c r="M8662" t="str">
        <f t="shared" si="540"/>
        <v>&lt;30</v>
      </c>
      <c r="N8662" t="str">
        <f t="shared" si="541"/>
        <v>Medium</v>
      </c>
      <c r="O8662" t="str">
        <f t="shared" si="542"/>
        <v>Zero Balance</v>
      </c>
      <c r="P8662" t="str">
        <f t="shared" si="543"/>
        <v>Mid-term</v>
      </c>
    </row>
    <row r="8663" spans="1:16" x14ac:dyDescent="0.25">
      <c r="A8663">
        <v>2025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  <c r="M8663" t="str">
        <f t="shared" si="540"/>
        <v>30-45</v>
      </c>
      <c r="N8663" t="str">
        <f t="shared" si="541"/>
        <v>High</v>
      </c>
      <c r="O8663" t="str">
        <f t="shared" si="542"/>
        <v>High Balance</v>
      </c>
      <c r="P8663" t="str">
        <f t="shared" si="543"/>
        <v>Mid-term</v>
      </c>
    </row>
    <row r="8664" spans="1:16" x14ac:dyDescent="0.25">
      <c r="A8664">
        <v>2025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  <c r="M8664" t="str">
        <f t="shared" si="540"/>
        <v>30-45</v>
      </c>
      <c r="N8664" t="str">
        <f t="shared" si="541"/>
        <v>Medium</v>
      </c>
      <c r="O8664" t="str">
        <f t="shared" si="542"/>
        <v>High Balance</v>
      </c>
      <c r="P8664" t="str">
        <f t="shared" si="543"/>
        <v>Mid-term</v>
      </c>
    </row>
    <row r="8665" spans="1:16" x14ac:dyDescent="0.25">
      <c r="A8665">
        <v>2025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  <c r="M8665" t="str">
        <f t="shared" si="540"/>
        <v>30-45</v>
      </c>
      <c r="N8665" t="str">
        <f t="shared" si="541"/>
        <v>Medium</v>
      </c>
      <c r="O8665" t="str">
        <f t="shared" si="542"/>
        <v>Zero Balance</v>
      </c>
      <c r="P8665" t="str">
        <f t="shared" si="543"/>
        <v>New</v>
      </c>
    </row>
    <row r="8666" spans="1:16" x14ac:dyDescent="0.25">
      <c r="A8666">
        <v>2025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  <c r="M8666" t="str">
        <f t="shared" si="540"/>
        <v>46-60</v>
      </c>
      <c r="N8666" t="str">
        <f t="shared" si="541"/>
        <v>Medium</v>
      </c>
      <c r="O8666" t="str">
        <f t="shared" si="542"/>
        <v>Zero Balance</v>
      </c>
      <c r="P8666" t="str">
        <f t="shared" si="543"/>
        <v>New</v>
      </c>
    </row>
    <row r="8667" spans="1:16" x14ac:dyDescent="0.25">
      <c r="A8667">
        <v>2025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  <c r="M8667" t="str">
        <f t="shared" si="540"/>
        <v>30-45</v>
      </c>
      <c r="N8667" t="str">
        <f t="shared" si="541"/>
        <v>High</v>
      </c>
      <c r="O8667" t="str">
        <f t="shared" si="542"/>
        <v>Zero Balance</v>
      </c>
      <c r="P8667" t="str">
        <f t="shared" si="543"/>
        <v>New</v>
      </c>
    </row>
    <row r="8668" spans="1:16" x14ac:dyDescent="0.25">
      <c r="A8668">
        <v>2025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  <c r="M8668" t="str">
        <f t="shared" si="540"/>
        <v>30-45</v>
      </c>
      <c r="N8668" t="str">
        <f t="shared" si="541"/>
        <v>Medium</v>
      </c>
      <c r="O8668" t="str">
        <f t="shared" si="542"/>
        <v>High Balance</v>
      </c>
      <c r="P8668" t="str">
        <f t="shared" si="543"/>
        <v>New</v>
      </c>
    </row>
    <row r="8669" spans="1:16" x14ac:dyDescent="0.25">
      <c r="A8669">
        <v>2025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  <c r="M8669" t="str">
        <f t="shared" si="540"/>
        <v>46-60</v>
      </c>
      <c r="N8669" t="str">
        <f t="shared" si="541"/>
        <v>Medium</v>
      </c>
      <c r="O8669" t="str">
        <f t="shared" si="542"/>
        <v>Low Balance</v>
      </c>
      <c r="P8669" t="str">
        <f t="shared" si="543"/>
        <v>Mid-term</v>
      </c>
    </row>
    <row r="8670" spans="1:16" x14ac:dyDescent="0.25">
      <c r="A8670">
        <v>2025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  <c r="M8670" t="str">
        <f t="shared" si="540"/>
        <v>30-45</v>
      </c>
      <c r="N8670" t="str">
        <f t="shared" si="541"/>
        <v>Medium</v>
      </c>
      <c r="O8670" t="str">
        <f t="shared" si="542"/>
        <v>Zero Balance</v>
      </c>
      <c r="P8670" t="str">
        <f t="shared" si="543"/>
        <v>Mid-term</v>
      </c>
    </row>
    <row r="8671" spans="1:16" x14ac:dyDescent="0.25">
      <c r="A8671">
        <v>2025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  <c r="M8671" t="str">
        <f t="shared" si="540"/>
        <v>30-45</v>
      </c>
      <c r="N8671" t="str">
        <f t="shared" si="541"/>
        <v>Medium</v>
      </c>
      <c r="O8671" t="str">
        <f t="shared" si="542"/>
        <v>Zero Balance</v>
      </c>
      <c r="P8671" t="str">
        <f t="shared" si="543"/>
        <v>New</v>
      </c>
    </row>
    <row r="8672" spans="1:16" x14ac:dyDescent="0.25">
      <c r="A8672">
        <v>2025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  <c r="M8672" t="str">
        <f t="shared" si="540"/>
        <v>46-60</v>
      </c>
      <c r="N8672" t="str">
        <f t="shared" si="541"/>
        <v>High</v>
      </c>
      <c r="O8672" t="str">
        <f t="shared" si="542"/>
        <v>Zero Balance</v>
      </c>
      <c r="P8672" t="str">
        <f t="shared" si="543"/>
        <v>Long-term</v>
      </c>
    </row>
    <row r="8673" spans="1:16" x14ac:dyDescent="0.25">
      <c r="A8673">
        <v>2025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  <c r="M8673" t="str">
        <f t="shared" si="540"/>
        <v>30-45</v>
      </c>
      <c r="N8673" t="str">
        <f t="shared" si="541"/>
        <v>Medium</v>
      </c>
      <c r="O8673" t="str">
        <f t="shared" si="542"/>
        <v>High Balance</v>
      </c>
      <c r="P8673" t="str">
        <f t="shared" si="543"/>
        <v>Long-term</v>
      </c>
    </row>
    <row r="8674" spans="1:16" x14ac:dyDescent="0.25">
      <c r="A8674">
        <v>2025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  <c r="M8674" t="str">
        <f t="shared" si="540"/>
        <v>30-45</v>
      </c>
      <c r="N8674" t="str">
        <f t="shared" si="541"/>
        <v>High</v>
      </c>
      <c r="O8674" t="str">
        <f t="shared" si="542"/>
        <v>Zero Balance</v>
      </c>
      <c r="P8674" t="str">
        <f t="shared" si="543"/>
        <v>New</v>
      </c>
    </row>
    <row r="8675" spans="1:16" x14ac:dyDescent="0.25">
      <c r="A8675">
        <v>2025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  <c r="M8675" t="str">
        <f t="shared" si="540"/>
        <v>46-60</v>
      </c>
      <c r="N8675" t="str">
        <f t="shared" si="541"/>
        <v>High</v>
      </c>
      <c r="O8675" t="str">
        <f t="shared" si="542"/>
        <v>Zero Balance</v>
      </c>
      <c r="P8675" t="str">
        <f t="shared" si="543"/>
        <v>New</v>
      </c>
    </row>
    <row r="8676" spans="1:16" x14ac:dyDescent="0.25">
      <c r="A8676">
        <v>2025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  <c r="M8676" t="str">
        <f t="shared" si="540"/>
        <v>60+</v>
      </c>
      <c r="N8676" t="str">
        <f t="shared" si="541"/>
        <v>Medium</v>
      </c>
      <c r="O8676" t="str">
        <f t="shared" si="542"/>
        <v>High Balance</v>
      </c>
      <c r="P8676" t="str">
        <f t="shared" si="543"/>
        <v>Long-term</v>
      </c>
    </row>
    <row r="8677" spans="1:16" x14ac:dyDescent="0.25">
      <c r="A8677">
        <v>2025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  <c r="M8677" t="str">
        <f t="shared" si="540"/>
        <v>46-60</v>
      </c>
      <c r="N8677" t="str">
        <f t="shared" si="541"/>
        <v>High</v>
      </c>
      <c r="O8677" t="str">
        <f t="shared" si="542"/>
        <v>High Balance</v>
      </c>
      <c r="P8677" t="str">
        <f t="shared" si="543"/>
        <v>Mid-term</v>
      </c>
    </row>
    <row r="8678" spans="1:16" x14ac:dyDescent="0.25">
      <c r="A8678">
        <v>2025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  <c r="M8678" t="str">
        <f t="shared" si="540"/>
        <v>30-45</v>
      </c>
      <c r="N8678" t="str">
        <f t="shared" si="541"/>
        <v>Medium</v>
      </c>
      <c r="O8678" t="str">
        <f t="shared" si="542"/>
        <v>Low Balance</v>
      </c>
      <c r="P8678" t="str">
        <f t="shared" si="543"/>
        <v>New</v>
      </c>
    </row>
    <row r="8679" spans="1:16" x14ac:dyDescent="0.25">
      <c r="A8679">
        <v>2025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  <c r="M8679" t="str">
        <f t="shared" si="540"/>
        <v>30-45</v>
      </c>
      <c r="N8679" t="str">
        <f t="shared" si="541"/>
        <v>Medium</v>
      </c>
      <c r="O8679" t="str">
        <f t="shared" si="542"/>
        <v>High Balance</v>
      </c>
      <c r="P8679" t="str">
        <f t="shared" si="543"/>
        <v>Long-term</v>
      </c>
    </row>
    <row r="8680" spans="1:16" x14ac:dyDescent="0.25">
      <c r="A8680">
        <v>2025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  <c r="M8680" t="str">
        <f t="shared" si="540"/>
        <v>&lt;30</v>
      </c>
      <c r="N8680" t="str">
        <f t="shared" si="541"/>
        <v>Medium</v>
      </c>
      <c r="O8680" t="str">
        <f t="shared" si="542"/>
        <v>Low Balance</v>
      </c>
      <c r="P8680" t="str">
        <f t="shared" si="543"/>
        <v>Long-term</v>
      </c>
    </row>
    <row r="8681" spans="1:16" x14ac:dyDescent="0.25">
      <c r="A8681">
        <v>2025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  <c r="M8681" t="str">
        <f t="shared" si="540"/>
        <v>30-45</v>
      </c>
      <c r="N8681" t="str">
        <f t="shared" si="541"/>
        <v>High</v>
      </c>
      <c r="O8681" t="str">
        <f t="shared" si="542"/>
        <v>High Balance</v>
      </c>
      <c r="P8681" t="str">
        <f t="shared" si="543"/>
        <v>Mid-term</v>
      </c>
    </row>
    <row r="8682" spans="1:16" x14ac:dyDescent="0.25">
      <c r="A8682">
        <v>2025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  <c r="M8682" t="str">
        <f t="shared" si="540"/>
        <v>30-45</v>
      </c>
      <c r="N8682" t="str">
        <f t="shared" si="541"/>
        <v>High</v>
      </c>
      <c r="O8682" t="str">
        <f t="shared" si="542"/>
        <v>Low Balance</v>
      </c>
      <c r="P8682" t="str">
        <f t="shared" si="543"/>
        <v>Mid-term</v>
      </c>
    </row>
    <row r="8683" spans="1:16" x14ac:dyDescent="0.25">
      <c r="A8683">
        <v>2025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  <c r="M8683" t="str">
        <f t="shared" si="540"/>
        <v>30-45</v>
      </c>
      <c r="N8683" t="str">
        <f t="shared" si="541"/>
        <v>Medium</v>
      </c>
      <c r="O8683" t="str">
        <f t="shared" si="542"/>
        <v>Zero Balance</v>
      </c>
      <c r="P8683" t="str">
        <f t="shared" si="543"/>
        <v>New</v>
      </c>
    </row>
    <row r="8684" spans="1:16" x14ac:dyDescent="0.25">
      <c r="A8684">
        <v>2025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  <c r="M8684" t="str">
        <f t="shared" si="540"/>
        <v>30-45</v>
      </c>
      <c r="N8684" t="str">
        <f t="shared" si="541"/>
        <v>High</v>
      </c>
      <c r="O8684" t="str">
        <f t="shared" si="542"/>
        <v>High Balance</v>
      </c>
      <c r="P8684" t="str">
        <f t="shared" si="543"/>
        <v>New</v>
      </c>
    </row>
    <row r="8685" spans="1:16" x14ac:dyDescent="0.25">
      <c r="A8685">
        <v>2025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  <c r="M8685" t="str">
        <f t="shared" si="540"/>
        <v>46-60</v>
      </c>
      <c r="N8685" t="str">
        <f t="shared" si="541"/>
        <v>Medium</v>
      </c>
      <c r="O8685" t="str">
        <f t="shared" si="542"/>
        <v>High Balance</v>
      </c>
      <c r="P8685" t="str">
        <f t="shared" si="543"/>
        <v>Mid-term</v>
      </c>
    </row>
    <row r="8686" spans="1:16" x14ac:dyDescent="0.25">
      <c r="A8686">
        <v>2025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  <c r="M8686" t="str">
        <f t="shared" si="540"/>
        <v>&lt;30</v>
      </c>
      <c r="N8686" t="str">
        <f t="shared" si="541"/>
        <v>High</v>
      </c>
      <c r="O8686" t="str">
        <f t="shared" si="542"/>
        <v>High Balance</v>
      </c>
      <c r="P8686" t="str">
        <f t="shared" si="543"/>
        <v>Mid-term</v>
      </c>
    </row>
    <row r="8687" spans="1:16" x14ac:dyDescent="0.25">
      <c r="A8687">
        <v>2025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  <c r="M8687" t="str">
        <f t="shared" si="540"/>
        <v>30-45</v>
      </c>
      <c r="N8687" t="str">
        <f t="shared" si="541"/>
        <v>High</v>
      </c>
      <c r="O8687" t="str">
        <f t="shared" si="542"/>
        <v>Zero Balance</v>
      </c>
      <c r="P8687" t="str">
        <f t="shared" si="543"/>
        <v>Mid-term</v>
      </c>
    </row>
    <row r="8688" spans="1:16" x14ac:dyDescent="0.25">
      <c r="A8688">
        <v>2025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  <c r="M8688" t="str">
        <f t="shared" si="540"/>
        <v>60+</v>
      </c>
      <c r="N8688" t="str">
        <f t="shared" si="541"/>
        <v>Medium</v>
      </c>
      <c r="O8688" t="str">
        <f t="shared" si="542"/>
        <v>Zero Balance</v>
      </c>
      <c r="P8688" t="str">
        <f t="shared" si="543"/>
        <v>Long-term</v>
      </c>
    </row>
    <row r="8689" spans="1:16" x14ac:dyDescent="0.25">
      <c r="A8689">
        <v>2025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  <c r="M8689" t="str">
        <f t="shared" si="540"/>
        <v>30-45</v>
      </c>
      <c r="N8689" t="str">
        <f t="shared" si="541"/>
        <v>Medium</v>
      </c>
      <c r="O8689" t="str">
        <f t="shared" si="542"/>
        <v>Low Balance</v>
      </c>
      <c r="P8689" t="str">
        <f t="shared" si="543"/>
        <v>Long-term</v>
      </c>
    </row>
    <row r="8690" spans="1:16" x14ac:dyDescent="0.25">
      <c r="A8690">
        <v>2025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  <c r="M8690" t="str">
        <f t="shared" si="540"/>
        <v>30-45</v>
      </c>
      <c r="N8690" t="str">
        <f t="shared" si="541"/>
        <v>Medium</v>
      </c>
      <c r="O8690" t="str">
        <f t="shared" si="542"/>
        <v>High Balance</v>
      </c>
      <c r="P8690" t="str">
        <f t="shared" si="543"/>
        <v>Long-term</v>
      </c>
    </row>
    <row r="8691" spans="1:16" x14ac:dyDescent="0.25">
      <c r="A8691">
        <v>2025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  <c r="M8691" t="str">
        <f t="shared" si="540"/>
        <v>60+</v>
      </c>
      <c r="N8691" t="str">
        <f t="shared" si="541"/>
        <v>Medium</v>
      </c>
      <c r="O8691" t="str">
        <f t="shared" si="542"/>
        <v>High Balance</v>
      </c>
      <c r="P8691" t="str">
        <f t="shared" si="543"/>
        <v>Long-term</v>
      </c>
    </row>
    <row r="8692" spans="1:16" x14ac:dyDescent="0.25">
      <c r="A8692">
        <v>2025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  <c r="M8692" t="str">
        <f t="shared" si="540"/>
        <v>30-45</v>
      </c>
      <c r="N8692" t="str">
        <f t="shared" si="541"/>
        <v>High</v>
      </c>
      <c r="O8692" t="str">
        <f t="shared" si="542"/>
        <v>High Balance</v>
      </c>
      <c r="P8692" t="str">
        <f t="shared" si="543"/>
        <v>Mid-term</v>
      </c>
    </row>
    <row r="8693" spans="1:16" x14ac:dyDescent="0.25">
      <c r="A8693">
        <v>2025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  <c r="M8693" t="str">
        <f t="shared" si="540"/>
        <v>30-45</v>
      </c>
      <c r="N8693" t="str">
        <f t="shared" si="541"/>
        <v>Medium</v>
      </c>
      <c r="O8693" t="str">
        <f t="shared" si="542"/>
        <v>Zero Balance</v>
      </c>
      <c r="P8693" t="str">
        <f t="shared" si="543"/>
        <v>Mid-term</v>
      </c>
    </row>
    <row r="8694" spans="1:16" x14ac:dyDescent="0.25">
      <c r="A8694">
        <v>2025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  <c r="M8694" t="str">
        <f t="shared" si="540"/>
        <v>30-45</v>
      </c>
      <c r="N8694" t="str">
        <f t="shared" si="541"/>
        <v>High</v>
      </c>
      <c r="O8694" t="str">
        <f t="shared" si="542"/>
        <v>Zero Balance</v>
      </c>
      <c r="P8694" t="str">
        <f t="shared" si="543"/>
        <v>Long-term</v>
      </c>
    </row>
    <row r="8695" spans="1:16" x14ac:dyDescent="0.25">
      <c r="A8695">
        <v>2025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  <c r="M8695" t="str">
        <f t="shared" si="540"/>
        <v>46-60</v>
      </c>
      <c r="N8695" t="str">
        <f t="shared" si="541"/>
        <v>Medium</v>
      </c>
      <c r="O8695" t="str">
        <f t="shared" si="542"/>
        <v>Zero Balance</v>
      </c>
      <c r="P8695" t="str">
        <f t="shared" si="543"/>
        <v>Mid-term</v>
      </c>
    </row>
    <row r="8696" spans="1:16" x14ac:dyDescent="0.25">
      <c r="A8696">
        <v>2025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  <c r="M8696" t="str">
        <f t="shared" si="540"/>
        <v>46-60</v>
      </c>
      <c r="N8696" t="str">
        <f t="shared" si="541"/>
        <v>Medium</v>
      </c>
      <c r="O8696" t="str">
        <f t="shared" si="542"/>
        <v>High Balance</v>
      </c>
      <c r="P8696" t="str">
        <f t="shared" si="543"/>
        <v>Long-term</v>
      </c>
    </row>
    <row r="8697" spans="1:16" x14ac:dyDescent="0.25">
      <c r="A8697">
        <v>2025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  <c r="M8697" t="str">
        <f t="shared" si="540"/>
        <v>30-45</v>
      </c>
      <c r="N8697" t="str">
        <f t="shared" si="541"/>
        <v>High</v>
      </c>
      <c r="O8697" t="str">
        <f t="shared" si="542"/>
        <v>Zero Balance</v>
      </c>
      <c r="P8697" t="str">
        <f t="shared" si="543"/>
        <v>Long-term</v>
      </c>
    </row>
    <row r="8698" spans="1:16" x14ac:dyDescent="0.25">
      <c r="A8698">
        <v>2025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  <c r="M8698" t="str">
        <f t="shared" si="540"/>
        <v>30-45</v>
      </c>
      <c r="N8698" t="str">
        <f t="shared" si="541"/>
        <v>Medium</v>
      </c>
      <c r="O8698" t="str">
        <f t="shared" si="542"/>
        <v>Low Balance</v>
      </c>
      <c r="P8698" t="str">
        <f t="shared" si="543"/>
        <v>New</v>
      </c>
    </row>
    <row r="8699" spans="1:16" x14ac:dyDescent="0.25">
      <c r="A8699">
        <v>2025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  <c r="M8699" t="str">
        <f t="shared" si="540"/>
        <v>30-45</v>
      </c>
      <c r="N8699" t="str">
        <f t="shared" si="541"/>
        <v>High</v>
      </c>
      <c r="O8699" t="str">
        <f t="shared" si="542"/>
        <v>Low Balance</v>
      </c>
      <c r="P8699" t="str">
        <f t="shared" si="543"/>
        <v>New</v>
      </c>
    </row>
    <row r="8700" spans="1:16" x14ac:dyDescent="0.25">
      <c r="A8700">
        <v>2025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  <c r="M8700" t="str">
        <f t="shared" si="540"/>
        <v>30-45</v>
      </c>
      <c r="N8700" t="str">
        <f t="shared" si="541"/>
        <v>Medium</v>
      </c>
      <c r="O8700" t="str">
        <f t="shared" si="542"/>
        <v>High Balance</v>
      </c>
      <c r="P8700" t="str">
        <f t="shared" si="543"/>
        <v>Mid-term</v>
      </c>
    </row>
    <row r="8701" spans="1:16" x14ac:dyDescent="0.25">
      <c r="A8701">
        <v>2025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  <c r="M8701" t="str">
        <f t="shared" si="540"/>
        <v>30-45</v>
      </c>
      <c r="N8701" t="str">
        <f t="shared" si="541"/>
        <v>High</v>
      </c>
      <c r="O8701" t="str">
        <f t="shared" si="542"/>
        <v>High Balance</v>
      </c>
      <c r="P8701" t="str">
        <f t="shared" si="543"/>
        <v>New</v>
      </c>
    </row>
    <row r="8702" spans="1:16" x14ac:dyDescent="0.25">
      <c r="A8702">
        <v>2025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  <c r="M8702" t="str">
        <f t="shared" si="540"/>
        <v>&lt;30</v>
      </c>
      <c r="N8702" t="str">
        <f t="shared" si="541"/>
        <v>High</v>
      </c>
      <c r="O8702" t="str">
        <f t="shared" si="542"/>
        <v>Low Balance</v>
      </c>
      <c r="P8702" t="str">
        <f t="shared" si="543"/>
        <v>Long-term</v>
      </c>
    </row>
    <row r="8703" spans="1:16" x14ac:dyDescent="0.25">
      <c r="A8703">
        <v>2025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  <c r="M8703" t="str">
        <f t="shared" si="540"/>
        <v>30-45</v>
      </c>
      <c r="N8703" t="str">
        <f t="shared" si="541"/>
        <v>Medium</v>
      </c>
      <c r="O8703" t="str">
        <f t="shared" si="542"/>
        <v>Zero Balance</v>
      </c>
      <c r="P8703" t="str">
        <f t="shared" si="543"/>
        <v>New</v>
      </c>
    </row>
    <row r="8704" spans="1:16" x14ac:dyDescent="0.25">
      <c r="A8704">
        <v>2025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  <c r="M8704" t="str">
        <f t="shared" si="540"/>
        <v>30-45</v>
      </c>
      <c r="N8704" t="str">
        <f t="shared" si="541"/>
        <v>Medium</v>
      </c>
      <c r="O8704" t="str">
        <f t="shared" si="542"/>
        <v>High Balance</v>
      </c>
      <c r="P8704" t="str">
        <f t="shared" si="543"/>
        <v>Long-term</v>
      </c>
    </row>
    <row r="8705" spans="1:16" x14ac:dyDescent="0.25">
      <c r="A8705">
        <v>2025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  <c r="M8705" t="str">
        <f t="shared" si="540"/>
        <v>30-45</v>
      </c>
      <c r="N8705" t="str">
        <f t="shared" si="541"/>
        <v>Medium</v>
      </c>
      <c r="O8705" t="str">
        <f t="shared" si="542"/>
        <v>High Balance</v>
      </c>
      <c r="P8705" t="str">
        <f t="shared" si="543"/>
        <v>New</v>
      </c>
    </row>
    <row r="8706" spans="1:16" x14ac:dyDescent="0.25">
      <c r="A8706">
        <v>2025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  <c r="M8706" t="str">
        <f t="shared" si="540"/>
        <v>30-45</v>
      </c>
      <c r="N8706" t="str">
        <f t="shared" si="541"/>
        <v>High</v>
      </c>
      <c r="O8706" t="str">
        <f t="shared" si="542"/>
        <v>High Balance</v>
      </c>
      <c r="P8706" t="str">
        <f t="shared" si="543"/>
        <v>New</v>
      </c>
    </row>
    <row r="8707" spans="1:16" x14ac:dyDescent="0.25">
      <c r="A8707">
        <v>2025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  <c r="M8707" t="str">
        <f t="shared" ref="M8707:M8770" si="544">IF(E8707&lt;30,"&lt;30",IF(E8707&lt;=45,"30-45",IF(E8707&lt;=60,"46-60","60+")))</f>
        <v>30-45</v>
      </c>
      <c r="N8707" t="str">
        <f t="shared" ref="N8707:N8770" si="545">IF(B8707&lt;500,"Low",IF(B8707&lt;700,"Medium","High"))</f>
        <v>High</v>
      </c>
      <c r="O8707" t="str">
        <f t="shared" ref="O8707:O8770" si="546">IF(G8707=0,"Zero Balance",IF(G8707&lt;100000,"Low Balance","High Balance"))</f>
        <v>Low Balance</v>
      </c>
      <c r="P8707" t="str">
        <f t="shared" ref="P8707:P8770" si="547">IF(F8707&lt;=3,"New",IF(F8707&lt;=7,"Mid-term","Long-term"))</f>
        <v>New</v>
      </c>
    </row>
    <row r="8708" spans="1:16" x14ac:dyDescent="0.25">
      <c r="A8708">
        <v>2025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  <c r="M8708" t="str">
        <f t="shared" si="544"/>
        <v>46-60</v>
      </c>
      <c r="N8708" t="str">
        <f t="shared" si="545"/>
        <v>High</v>
      </c>
      <c r="O8708" t="str">
        <f t="shared" si="546"/>
        <v>Zero Balance</v>
      </c>
      <c r="P8708" t="str">
        <f t="shared" si="547"/>
        <v>Mid-term</v>
      </c>
    </row>
    <row r="8709" spans="1:16" x14ac:dyDescent="0.25">
      <c r="A8709">
        <v>2025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  <c r="M8709" t="str">
        <f t="shared" si="544"/>
        <v>30-45</v>
      </c>
      <c r="N8709" t="str">
        <f t="shared" si="545"/>
        <v>Low</v>
      </c>
      <c r="O8709" t="str">
        <f t="shared" si="546"/>
        <v>High Balance</v>
      </c>
      <c r="P8709" t="str">
        <f t="shared" si="547"/>
        <v>Long-term</v>
      </c>
    </row>
    <row r="8710" spans="1:16" x14ac:dyDescent="0.25">
      <c r="A8710">
        <v>2025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  <c r="M8710" t="str">
        <f t="shared" si="544"/>
        <v>46-60</v>
      </c>
      <c r="N8710" t="str">
        <f t="shared" si="545"/>
        <v>High</v>
      </c>
      <c r="O8710" t="str">
        <f t="shared" si="546"/>
        <v>High Balance</v>
      </c>
      <c r="P8710" t="str">
        <f t="shared" si="547"/>
        <v>New</v>
      </c>
    </row>
    <row r="8711" spans="1:16" x14ac:dyDescent="0.25">
      <c r="A8711">
        <v>2025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  <c r="M8711" t="str">
        <f t="shared" si="544"/>
        <v>30-45</v>
      </c>
      <c r="N8711" t="str">
        <f t="shared" si="545"/>
        <v>Medium</v>
      </c>
      <c r="O8711" t="str">
        <f t="shared" si="546"/>
        <v>High Balance</v>
      </c>
      <c r="P8711" t="str">
        <f t="shared" si="547"/>
        <v>Mid-term</v>
      </c>
    </row>
    <row r="8712" spans="1:16" x14ac:dyDescent="0.25">
      <c r="A8712">
        <v>2025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  <c r="M8712" t="str">
        <f t="shared" si="544"/>
        <v>30-45</v>
      </c>
      <c r="N8712" t="str">
        <f t="shared" si="545"/>
        <v>Medium</v>
      </c>
      <c r="O8712" t="str">
        <f t="shared" si="546"/>
        <v>High Balance</v>
      </c>
      <c r="P8712" t="str">
        <f t="shared" si="547"/>
        <v>New</v>
      </c>
    </row>
    <row r="8713" spans="1:16" x14ac:dyDescent="0.25">
      <c r="A8713">
        <v>2025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  <c r="M8713" t="str">
        <f t="shared" si="544"/>
        <v>60+</v>
      </c>
      <c r="N8713" t="str">
        <f t="shared" si="545"/>
        <v>Medium</v>
      </c>
      <c r="O8713" t="str">
        <f t="shared" si="546"/>
        <v>High Balance</v>
      </c>
      <c r="P8713" t="str">
        <f t="shared" si="547"/>
        <v>Long-term</v>
      </c>
    </row>
    <row r="8714" spans="1:16" x14ac:dyDescent="0.25">
      <c r="A8714">
        <v>2025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  <c r="M8714" t="str">
        <f t="shared" si="544"/>
        <v>30-45</v>
      </c>
      <c r="N8714" t="str">
        <f t="shared" si="545"/>
        <v>Low</v>
      </c>
      <c r="O8714" t="str">
        <f t="shared" si="546"/>
        <v>Zero Balance</v>
      </c>
      <c r="P8714" t="str">
        <f t="shared" si="547"/>
        <v>Mid-term</v>
      </c>
    </row>
    <row r="8715" spans="1:16" x14ac:dyDescent="0.25">
      <c r="A8715">
        <v>2025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  <c r="M8715" t="str">
        <f t="shared" si="544"/>
        <v>30-45</v>
      </c>
      <c r="N8715" t="str">
        <f t="shared" si="545"/>
        <v>High</v>
      </c>
      <c r="O8715" t="str">
        <f t="shared" si="546"/>
        <v>Zero Balance</v>
      </c>
      <c r="P8715" t="str">
        <f t="shared" si="547"/>
        <v>Mid-term</v>
      </c>
    </row>
    <row r="8716" spans="1:16" x14ac:dyDescent="0.25">
      <c r="A8716">
        <v>2025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  <c r="M8716" t="str">
        <f t="shared" si="544"/>
        <v>30-45</v>
      </c>
      <c r="N8716" t="str">
        <f t="shared" si="545"/>
        <v>High</v>
      </c>
      <c r="O8716" t="str">
        <f t="shared" si="546"/>
        <v>High Balance</v>
      </c>
      <c r="P8716" t="str">
        <f t="shared" si="547"/>
        <v>Mid-term</v>
      </c>
    </row>
    <row r="8717" spans="1:16" x14ac:dyDescent="0.25">
      <c r="A8717">
        <v>2025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  <c r="M8717" t="str">
        <f t="shared" si="544"/>
        <v>30-45</v>
      </c>
      <c r="N8717" t="str">
        <f t="shared" si="545"/>
        <v>Medium</v>
      </c>
      <c r="O8717" t="str">
        <f t="shared" si="546"/>
        <v>High Balance</v>
      </c>
      <c r="P8717" t="str">
        <f t="shared" si="547"/>
        <v>New</v>
      </c>
    </row>
    <row r="8718" spans="1:16" x14ac:dyDescent="0.25">
      <c r="A8718">
        <v>2025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  <c r="M8718" t="str">
        <f t="shared" si="544"/>
        <v>30-45</v>
      </c>
      <c r="N8718" t="str">
        <f t="shared" si="545"/>
        <v>Medium</v>
      </c>
      <c r="O8718" t="str">
        <f t="shared" si="546"/>
        <v>Zero Balance</v>
      </c>
      <c r="P8718" t="str">
        <f t="shared" si="547"/>
        <v>Mid-term</v>
      </c>
    </row>
    <row r="8719" spans="1:16" x14ac:dyDescent="0.25">
      <c r="A8719">
        <v>2025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  <c r="M8719" t="str">
        <f t="shared" si="544"/>
        <v>30-45</v>
      </c>
      <c r="N8719" t="str">
        <f t="shared" si="545"/>
        <v>Low</v>
      </c>
      <c r="O8719" t="str">
        <f t="shared" si="546"/>
        <v>Zero Balance</v>
      </c>
      <c r="P8719" t="str">
        <f t="shared" si="547"/>
        <v>New</v>
      </c>
    </row>
    <row r="8720" spans="1:16" x14ac:dyDescent="0.25">
      <c r="A8720">
        <v>2025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  <c r="M8720" t="str">
        <f t="shared" si="544"/>
        <v>30-45</v>
      </c>
      <c r="N8720" t="str">
        <f t="shared" si="545"/>
        <v>Medium</v>
      </c>
      <c r="O8720" t="str">
        <f t="shared" si="546"/>
        <v>Low Balance</v>
      </c>
      <c r="P8720" t="str">
        <f t="shared" si="547"/>
        <v>Mid-term</v>
      </c>
    </row>
    <row r="8721" spans="1:16" x14ac:dyDescent="0.25">
      <c r="A8721">
        <v>2025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  <c r="M8721" t="str">
        <f t="shared" si="544"/>
        <v>30-45</v>
      </c>
      <c r="N8721" t="str">
        <f t="shared" si="545"/>
        <v>Medium</v>
      </c>
      <c r="O8721" t="str">
        <f t="shared" si="546"/>
        <v>High Balance</v>
      </c>
      <c r="P8721" t="str">
        <f t="shared" si="547"/>
        <v>Mid-term</v>
      </c>
    </row>
    <row r="8722" spans="1:16" x14ac:dyDescent="0.25">
      <c r="A8722">
        <v>2025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  <c r="M8722" t="str">
        <f t="shared" si="544"/>
        <v>&lt;30</v>
      </c>
      <c r="N8722" t="str">
        <f t="shared" si="545"/>
        <v>High</v>
      </c>
      <c r="O8722" t="str">
        <f t="shared" si="546"/>
        <v>Zero Balance</v>
      </c>
      <c r="P8722" t="str">
        <f t="shared" si="547"/>
        <v>Long-term</v>
      </c>
    </row>
    <row r="8723" spans="1:16" x14ac:dyDescent="0.25">
      <c r="A8723">
        <v>2025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  <c r="M8723" t="str">
        <f t="shared" si="544"/>
        <v>&lt;30</v>
      </c>
      <c r="N8723" t="str">
        <f t="shared" si="545"/>
        <v>High</v>
      </c>
      <c r="O8723" t="str">
        <f t="shared" si="546"/>
        <v>Zero Balance</v>
      </c>
      <c r="P8723" t="str">
        <f t="shared" si="547"/>
        <v>Mid-term</v>
      </c>
    </row>
    <row r="8724" spans="1:16" x14ac:dyDescent="0.25">
      <c r="A8724">
        <v>2025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  <c r="M8724" t="str">
        <f t="shared" si="544"/>
        <v>30-45</v>
      </c>
      <c r="N8724" t="str">
        <f t="shared" si="545"/>
        <v>Medium</v>
      </c>
      <c r="O8724" t="str">
        <f t="shared" si="546"/>
        <v>Low Balance</v>
      </c>
      <c r="P8724" t="str">
        <f t="shared" si="547"/>
        <v>Mid-term</v>
      </c>
    </row>
    <row r="8725" spans="1:16" x14ac:dyDescent="0.25">
      <c r="A8725">
        <v>2025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  <c r="M8725" t="str">
        <f t="shared" si="544"/>
        <v>46-60</v>
      </c>
      <c r="N8725" t="str">
        <f t="shared" si="545"/>
        <v>Low</v>
      </c>
      <c r="O8725" t="str">
        <f t="shared" si="546"/>
        <v>Zero Balance</v>
      </c>
      <c r="P8725" t="str">
        <f t="shared" si="547"/>
        <v>Long-term</v>
      </c>
    </row>
    <row r="8726" spans="1:16" x14ac:dyDescent="0.25">
      <c r="A8726">
        <v>2025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  <c r="M8726" t="str">
        <f t="shared" si="544"/>
        <v>30-45</v>
      </c>
      <c r="N8726" t="str">
        <f t="shared" si="545"/>
        <v>Medium</v>
      </c>
      <c r="O8726" t="str">
        <f t="shared" si="546"/>
        <v>Zero Balance</v>
      </c>
      <c r="P8726" t="str">
        <f t="shared" si="547"/>
        <v>Long-term</v>
      </c>
    </row>
    <row r="8727" spans="1:16" x14ac:dyDescent="0.25">
      <c r="A8727">
        <v>2025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  <c r="M8727" t="str">
        <f t="shared" si="544"/>
        <v>&lt;30</v>
      </c>
      <c r="N8727" t="str">
        <f t="shared" si="545"/>
        <v>Medium</v>
      </c>
      <c r="O8727" t="str">
        <f t="shared" si="546"/>
        <v>Zero Balance</v>
      </c>
      <c r="P8727" t="str">
        <f t="shared" si="547"/>
        <v>New</v>
      </c>
    </row>
    <row r="8728" spans="1:16" x14ac:dyDescent="0.25">
      <c r="A8728">
        <v>2025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  <c r="M8728" t="str">
        <f t="shared" si="544"/>
        <v>30-45</v>
      </c>
      <c r="N8728" t="str">
        <f t="shared" si="545"/>
        <v>Medium</v>
      </c>
      <c r="O8728" t="str">
        <f t="shared" si="546"/>
        <v>High Balance</v>
      </c>
      <c r="P8728" t="str">
        <f t="shared" si="547"/>
        <v>Long-term</v>
      </c>
    </row>
    <row r="8729" spans="1:16" x14ac:dyDescent="0.25">
      <c r="A8729">
        <v>2025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  <c r="M8729" t="str">
        <f t="shared" si="544"/>
        <v>30-45</v>
      </c>
      <c r="N8729" t="str">
        <f t="shared" si="545"/>
        <v>High</v>
      </c>
      <c r="O8729" t="str">
        <f t="shared" si="546"/>
        <v>High Balance</v>
      </c>
      <c r="P8729" t="str">
        <f t="shared" si="547"/>
        <v>Mid-term</v>
      </c>
    </row>
    <row r="8730" spans="1:16" x14ac:dyDescent="0.25">
      <c r="A8730">
        <v>2025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  <c r="M8730" t="str">
        <f t="shared" si="544"/>
        <v>30-45</v>
      </c>
      <c r="N8730" t="str">
        <f t="shared" si="545"/>
        <v>Low</v>
      </c>
      <c r="O8730" t="str">
        <f t="shared" si="546"/>
        <v>High Balance</v>
      </c>
      <c r="P8730" t="str">
        <f t="shared" si="547"/>
        <v>Mid-term</v>
      </c>
    </row>
    <row r="8731" spans="1:16" x14ac:dyDescent="0.25">
      <c r="A8731">
        <v>2025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  <c r="M8731" t="str">
        <f t="shared" si="544"/>
        <v>46-60</v>
      </c>
      <c r="N8731" t="str">
        <f t="shared" si="545"/>
        <v>Medium</v>
      </c>
      <c r="O8731" t="str">
        <f t="shared" si="546"/>
        <v>High Balance</v>
      </c>
      <c r="P8731" t="str">
        <f t="shared" si="547"/>
        <v>Long-term</v>
      </c>
    </row>
    <row r="8732" spans="1:16" x14ac:dyDescent="0.25">
      <c r="A8732">
        <v>2025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  <c r="M8732" t="str">
        <f t="shared" si="544"/>
        <v>30-45</v>
      </c>
      <c r="N8732" t="str">
        <f t="shared" si="545"/>
        <v>High</v>
      </c>
      <c r="O8732" t="str">
        <f t="shared" si="546"/>
        <v>Zero Balance</v>
      </c>
      <c r="P8732" t="str">
        <f t="shared" si="547"/>
        <v>Mid-term</v>
      </c>
    </row>
    <row r="8733" spans="1:16" x14ac:dyDescent="0.25">
      <c r="A8733">
        <v>2025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  <c r="M8733" t="str">
        <f t="shared" si="544"/>
        <v>30-45</v>
      </c>
      <c r="N8733" t="str">
        <f t="shared" si="545"/>
        <v>High</v>
      </c>
      <c r="O8733" t="str">
        <f t="shared" si="546"/>
        <v>Zero Balance</v>
      </c>
      <c r="P8733" t="str">
        <f t="shared" si="547"/>
        <v>Long-term</v>
      </c>
    </row>
    <row r="8734" spans="1:16" x14ac:dyDescent="0.25">
      <c r="A8734">
        <v>2025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  <c r="M8734" t="str">
        <f t="shared" si="544"/>
        <v>&lt;30</v>
      </c>
      <c r="N8734" t="str">
        <f t="shared" si="545"/>
        <v>High</v>
      </c>
      <c r="O8734" t="str">
        <f t="shared" si="546"/>
        <v>Zero Balance</v>
      </c>
      <c r="P8734" t="str">
        <f t="shared" si="547"/>
        <v>Mid-term</v>
      </c>
    </row>
    <row r="8735" spans="1:16" x14ac:dyDescent="0.25">
      <c r="A8735">
        <v>2025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  <c r="M8735" t="str">
        <f t="shared" si="544"/>
        <v>30-45</v>
      </c>
      <c r="N8735" t="str">
        <f t="shared" si="545"/>
        <v>High</v>
      </c>
      <c r="O8735" t="str">
        <f t="shared" si="546"/>
        <v>High Balance</v>
      </c>
      <c r="P8735" t="str">
        <f t="shared" si="547"/>
        <v>Long-term</v>
      </c>
    </row>
    <row r="8736" spans="1:16" x14ac:dyDescent="0.25">
      <c r="A8736">
        <v>2025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  <c r="M8736" t="str">
        <f t="shared" si="544"/>
        <v>46-60</v>
      </c>
      <c r="N8736" t="str">
        <f t="shared" si="545"/>
        <v>High</v>
      </c>
      <c r="O8736" t="str">
        <f t="shared" si="546"/>
        <v>High Balance</v>
      </c>
      <c r="P8736" t="str">
        <f t="shared" si="547"/>
        <v>Long-term</v>
      </c>
    </row>
    <row r="8737" spans="1:16" x14ac:dyDescent="0.25">
      <c r="A8737">
        <v>2025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  <c r="M8737" t="str">
        <f t="shared" si="544"/>
        <v>30-45</v>
      </c>
      <c r="N8737" t="str">
        <f t="shared" si="545"/>
        <v>High</v>
      </c>
      <c r="O8737" t="str">
        <f t="shared" si="546"/>
        <v>High Balance</v>
      </c>
      <c r="P8737" t="str">
        <f t="shared" si="547"/>
        <v>Long-term</v>
      </c>
    </row>
    <row r="8738" spans="1:16" x14ac:dyDescent="0.25">
      <c r="A8738">
        <v>2025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  <c r="M8738" t="str">
        <f t="shared" si="544"/>
        <v>30-45</v>
      </c>
      <c r="N8738" t="str">
        <f t="shared" si="545"/>
        <v>Medium</v>
      </c>
      <c r="O8738" t="str">
        <f t="shared" si="546"/>
        <v>Zero Balance</v>
      </c>
      <c r="P8738" t="str">
        <f t="shared" si="547"/>
        <v>New</v>
      </c>
    </row>
    <row r="8739" spans="1:16" x14ac:dyDescent="0.25">
      <c r="A8739">
        <v>2025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  <c r="M8739" t="str">
        <f t="shared" si="544"/>
        <v>30-45</v>
      </c>
      <c r="N8739" t="str">
        <f t="shared" si="545"/>
        <v>Medium</v>
      </c>
      <c r="O8739" t="str">
        <f t="shared" si="546"/>
        <v>High Balance</v>
      </c>
      <c r="P8739" t="str">
        <f t="shared" si="547"/>
        <v>New</v>
      </c>
    </row>
    <row r="8740" spans="1:16" x14ac:dyDescent="0.25">
      <c r="A8740">
        <v>2025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  <c r="M8740" t="str">
        <f t="shared" si="544"/>
        <v>30-45</v>
      </c>
      <c r="N8740" t="str">
        <f t="shared" si="545"/>
        <v>Medium</v>
      </c>
      <c r="O8740" t="str">
        <f t="shared" si="546"/>
        <v>Low Balance</v>
      </c>
      <c r="P8740" t="str">
        <f t="shared" si="547"/>
        <v>Long-term</v>
      </c>
    </row>
    <row r="8741" spans="1:16" x14ac:dyDescent="0.25">
      <c r="A8741">
        <v>2025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  <c r="M8741" t="str">
        <f t="shared" si="544"/>
        <v>46-60</v>
      </c>
      <c r="N8741" t="str">
        <f t="shared" si="545"/>
        <v>Medium</v>
      </c>
      <c r="O8741" t="str">
        <f t="shared" si="546"/>
        <v>High Balance</v>
      </c>
      <c r="P8741" t="str">
        <f t="shared" si="547"/>
        <v>Mid-term</v>
      </c>
    </row>
    <row r="8742" spans="1:16" x14ac:dyDescent="0.25">
      <c r="A8742">
        <v>2025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  <c r="M8742" t="str">
        <f t="shared" si="544"/>
        <v>&lt;30</v>
      </c>
      <c r="N8742" t="str">
        <f t="shared" si="545"/>
        <v>Medium</v>
      </c>
      <c r="O8742" t="str">
        <f t="shared" si="546"/>
        <v>Low Balance</v>
      </c>
      <c r="P8742" t="str">
        <f t="shared" si="547"/>
        <v>Mid-term</v>
      </c>
    </row>
    <row r="8743" spans="1:16" x14ac:dyDescent="0.25">
      <c r="A8743">
        <v>2025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  <c r="M8743" t="str">
        <f t="shared" si="544"/>
        <v>&lt;30</v>
      </c>
      <c r="N8743" t="str">
        <f t="shared" si="545"/>
        <v>Medium</v>
      </c>
      <c r="O8743" t="str">
        <f t="shared" si="546"/>
        <v>Zero Balance</v>
      </c>
      <c r="P8743" t="str">
        <f t="shared" si="547"/>
        <v>Long-term</v>
      </c>
    </row>
    <row r="8744" spans="1:16" x14ac:dyDescent="0.25">
      <c r="A8744">
        <v>2025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  <c r="M8744" t="str">
        <f t="shared" si="544"/>
        <v>30-45</v>
      </c>
      <c r="N8744" t="str">
        <f t="shared" si="545"/>
        <v>Medium</v>
      </c>
      <c r="O8744" t="str">
        <f t="shared" si="546"/>
        <v>Zero Balance</v>
      </c>
      <c r="P8744" t="str">
        <f t="shared" si="547"/>
        <v>Mid-term</v>
      </c>
    </row>
    <row r="8745" spans="1:16" x14ac:dyDescent="0.25">
      <c r="A8745">
        <v>2025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  <c r="M8745" t="str">
        <f t="shared" si="544"/>
        <v>&lt;30</v>
      </c>
      <c r="N8745" t="str">
        <f t="shared" si="545"/>
        <v>Low</v>
      </c>
      <c r="O8745" t="str">
        <f t="shared" si="546"/>
        <v>Low Balance</v>
      </c>
      <c r="P8745" t="str">
        <f t="shared" si="547"/>
        <v>Long-term</v>
      </c>
    </row>
    <row r="8746" spans="1:16" x14ac:dyDescent="0.25">
      <c r="A8746">
        <v>2025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  <c r="M8746" t="str">
        <f t="shared" si="544"/>
        <v>46-60</v>
      </c>
      <c r="N8746" t="str">
        <f t="shared" si="545"/>
        <v>Medium</v>
      </c>
      <c r="O8746" t="str">
        <f t="shared" si="546"/>
        <v>High Balance</v>
      </c>
      <c r="P8746" t="str">
        <f t="shared" si="547"/>
        <v>Mid-term</v>
      </c>
    </row>
    <row r="8747" spans="1:16" x14ac:dyDescent="0.25">
      <c r="A8747">
        <v>2025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  <c r="M8747" t="str">
        <f t="shared" si="544"/>
        <v>&lt;30</v>
      </c>
      <c r="N8747" t="str">
        <f t="shared" si="545"/>
        <v>Medium</v>
      </c>
      <c r="O8747" t="str">
        <f t="shared" si="546"/>
        <v>Low Balance</v>
      </c>
      <c r="P8747" t="str">
        <f t="shared" si="547"/>
        <v>Long-term</v>
      </c>
    </row>
    <row r="8748" spans="1:16" x14ac:dyDescent="0.25">
      <c r="A8748">
        <v>2025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  <c r="M8748" t="str">
        <f t="shared" si="544"/>
        <v>30-45</v>
      </c>
      <c r="N8748" t="str">
        <f t="shared" si="545"/>
        <v>Medium</v>
      </c>
      <c r="O8748" t="str">
        <f t="shared" si="546"/>
        <v>High Balance</v>
      </c>
      <c r="P8748" t="str">
        <f t="shared" si="547"/>
        <v>Long-term</v>
      </c>
    </row>
    <row r="8749" spans="1:16" x14ac:dyDescent="0.25">
      <c r="A8749">
        <v>2025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  <c r="M8749" t="str">
        <f t="shared" si="544"/>
        <v>&lt;30</v>
      </c>
      <c r="N8749" t="str">
        <f t="shared" si="545"/>
        <v>Medium</v>
      </c>
      <c r="O8749" t="str">
        <f t="shared" si="546"/>
        <v>Low Balance</v>
      </c>
      <c r="P8749" t="str">
        <f t="shared" si="547"/>
        <v>Long-term</v>
      </c>
    </row>
    <row r="8750" spans="1:16" x14ac:dyDescent="0.25">
      <c r="A8750">
        <v>2025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  <c r="M8750" t="str">
        <f t="shared" si="544"/>
        <v>30-45</v>
      </c>
      <c r="N8750" t="str">
        <f t="shared" si="545"/>
        <v>Medium</v>
      </c>
      <c r="O8750" t="str">
        <f t="shared" si="546"/>
        <v>High Balance</v>
      </c>
      <c r="P8750" t="str">
        <f t="shared" si="547"/>
        <v>Mid-term</v>
      </c>
    </row>
    <row r="8751" spans="1:16" x14ac:dyDescent="0.25">
      <c r="A8751">
        <v>2025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  <c r="M8751" t="str">
        <f t="shared" si="544"/>
        <v>46-60</v>
      </c>
      <c r="N8751" t="str">
        <f t="shared" si="545"/>
        <v>Medium</v>
      </c>
      <c r="O8751" t="str">
        <f t="shared" si="546"/>
        <v>Zero Balance</v>
      </c>
      <c r="P8751" t="str">
        <f t="shared" si="547"/>
        <v>New</v>
      </c>
    </row>
    <row r="8752" spans="1:16" x14ac:dyDescent="0.25">
      <c r="A8752">
        <v>2025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  <c r="M8752" t="str">
        <f t="shared" si="544"/>
        <v>30-45</v>
      </c>
      <c r="N8752" t="str">
        <f t="shared" si="545"/>
        <v>Medium</v>
      </c>
      <c r="O8752" t="str">
        <f t="shared" si="546"/>
        <v>Zero Balance</v>
      </c>
      <c r="P8752" t="str">
        <f t="shared" si="547"/>
        <v>New</v>
      </c>
    </row>
    <row r="8753" spans="1:16" x14ac:dyDescent="0.25">
      <c r="A8753">
        <v>2025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  <c r="M8753" t="str">
        <f t="shared" si="544"/>
        <v>30-45</v>
      </c>
      <c r="N8753" t="str">
        <f t="shared" si="545"/>
        <v>Medium</v>
      </c>
      <c r="O8753" t="str">
        <f t="shared" si="546"/>
        <v>Zero Balance</v>
      </c>
      <c r="P8753" t="str">
        <f t="shared" si="547"/>
        <v>Long-term</v>
      </c>
    </row>
    <row r="8754" spans="1:16" x14ac:dyDescent="0.25">
      <c r="A8754">
        <v>2025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  <c r="M8754" t="str">
        <f t="shared" si="544"/>
        <v>30-45</v>
      </c>
      <c r="N8754" t="str">
        <f t="shared" si="545"/>
        <v>Medium</v>
      </c>
      <c r="O8754" t="str">
        <f t="shared" si="546"/>
        <v>High Balance</v>
      </c>
      <c r="P8754" t="str">
        <f t="shared" si="547"/>
        <v>Mid-term</v>
      </c>
    </row>
    <row r="8755" spans="1:16" x14ac:dyDescent="0.25">
      <c r="A8755">
        <v>2025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  <c r="M8755" t="str">
        <f t="shared" si="544"/>
        <v>30-45</v>
      </c>
      <c r="N8755" t="str">
        <f t="shared" si="545"/>
        <v>High</v>
      </c>
      <c r="O8755" t="str">
        <f t="shared" si="546"/>
        <v>High Balance</v>
      </c>
      <c r="P8755" t="str">
        <f t="shared" si="547"/>
        <v>New</v>
      </c>
    </row>
    <row r="8756" spans="1:16" x14ac:dyDescent="0.25">
      <c r="A8756">
        <v>2025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  <c r="M8756" t="str">
        <f t="shared" si="544"/>
        <v>30-45</v>
      </c>
      <c r="N8756" t="str">
        <f t="shared" si="545"/>
        <v>High</v>
      </c>
      <c r="O8756" t="str">
        <f t="shared" si="546"/>
        <v>Zero Balance</v>
      </c>
      <c r="P8756" t="str">
        <f t="shared" si="547"/>
        <v>Mid-term</v>
      </c>
    </row>
    <row r="8757" spans="1:16" x14ac:dyDescent="0.25">
      <c r="A8757">
        <v>2025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  <c r="M8757" t="str">
        <f t="shared" si="544"/>
        <v>46-60</v>
      </c>
      <c r="N8757" t="str">
        <f t="shared" si="545"/>
        <v>High</v>
      </c>
      <c r="O8757" t="str">
        <f t="shared" si="546"/>
        <v>Zero Balance</v>
      </c>
      <c r="P8757" t="str">
        <f t="shared" si="547"/>
        <v>Mid-term</v>
      </c>
    </row>
    <row r="8758" spans="1:16" x14ac:dyDescent="0.25">
      <c r="A8758">
        <v>2025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  <c r="M8758" t="str">
        <f t="shared" si="544"/>
        <v>30-45</v>
      </c>
      <c r="N8758" t="str">
        <f t="shared" si="545"/>
        <v>High</v>
      </c>
      <c r="O8758" t="str">
        <f t="shared" si="546"/>
        <v>High Balance</v>
      </c>
      <c r="P8758" t="str">
        <f t="shared" si="547"/>
        <v>New</v>
      </c>
    </row>
    <row r="8759" spans="1:16" x14ac:dyDescent="0.25">
      <c r="A8759">
        <v>2025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  <c r="M8759" t="str">
        <f t="shared" si="544"/>
        <v>30-45</v>
      </c>
      <c r="N8759" t="str">
        <f t="shared" si="545"/>
        <v>Medium</v>
      </c>
      <c r="O8759" t="str">
        <f t="shared" si="546"/>
        <v>Low Balance</v>
      </c>
      <c r="P8759" t="str">
        <f t="shared" si="547"/>
        <v>New</v>
      </c>
    </row>
    <row r="8760" spans="1:16" x14ac:dyDescent="0.25">
      <c r="A8760">
        <v>2025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  <c r="M8760" t="str">
        <f t="shared" si="544"/>
        <v>30-45</v>
      </c>
      <c r="N8760" t="str">
        <f t="shared" si="545"/>
        <v>Medium</v>
      </c>
      <c r="O8760" t="str">
        <f t="shared" si="546"/>
        <v>Zero Balance</v>
      </c>
      <c r="P8760" t="str">
        <f t="shared" si="547"/>
        <v>Long-term</v>
      </c>
    </row>
    <row r="8761" spans="1:16" x14ac:dyDescent="0.25">
      <c r="A8761">
        <v>2025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  <c r="M8761" t="str">
        <f t="shared" si="544"/>
        <v>60+</v>
      </c>
      <c r="N8761" t="str">
        <f t="shared" si="545"/>
        <v>High</v>
      </c>
      <c r="O8761" t="str">
        <f t="shared" si="546"/>
        <v>Zero Balance</v>
      </c>
      <c r="P8761" t="str">
        <f t="shared" si="547"/>
        <v>Long-term</v>
      </c>
    </row>
    <row r="8762" spans="1:16" x14ac:dyDescent="0.25">
      <c r="A8762">
        <v>2025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  <c r="M8762" t="str">
        <f t="shared" si="544"/>
        <v>30-45</v>
      </c>
      <c r="N8762" t="str">
        <f t="shared" si="545"/>
        <v>Medium</v>
      </c>
      <c r="O8762" t="str">
        <f t="shared" si="546"/>
        <v>High Balance</v>
      </c>
      <c r="P8762" t="str">
        <f t="shared" si="547"/>
        <v>Long-term</v>
      </c>
    </row>
    <row r="8763" spans="1:16" x14ac:dyDescent="0.25">
      <c r="A8763">
        <v>2025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  <c r="M8763" t="str">
        <f t="shared" si="544"/>
        <v>60+</v>
      </c>
      <c r="N8763" t="str">
        <f t="shared" si="545"/>
        <v>Medium</v>
      </c>
      <c r="O8763" t="str">
        <f t="shared" si="546"/>
        <v>Zero Balance</v>
      </c>
      <c r="P8763" t="str">
        <f t="shared" si="547"/>
        <v>Long-term</v>
      </c>
    </row>
    <row r="8764" spans="1:16" x14ac:dyDescent="0.25">
      <c r="A8764">
        <v>2025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  <c r="M8764" t="str">
        <f t="shared" si="544"/>
        <v>46-60</v>
      </c>
      <c r="N8764" t="str">
        <f t="shared" si="545"/>
        <v>Low</v>
      </c>
      <c r="O8764" t="str">
        <f t="shared" si="546"/>
        <v>Zero Balance</v>
      </c>
      <c r="P8764" t="str">
        <f t="shared" si="547"/>
        <v>New</v>
      </c>
    </row>
    <row r="8765" spans="1:16" x14ac:dyDescent="0.25">
      <c r="A8765">
        <v>2025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  <c r="M8765" t="str">
        <f t="shared" si="544"/>
        <v>60+</v>
      </c>
      <c r="N8765" t="str">
        <f t="shared" si="545"/>
        <v>High</v>
      </c>
      <c r="O8765" t="str">
        <f t="shared" si="546"/>
        <v>High Balance</v>
      </c>
      <c r="P8765" t="str">
        <f t="shared" si="547"/>
        <v>New</v>
      </c>
    </row>
    <row r="8766" spans="1:16" x14ac:dyDescent="0.25">
      <c r="A8766">
        <v>2025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  <c r="M8766" t="str">
        <f t="shared" si="544"/>
        <v>46-60</v>
      </c>
      <c r="N8766" t="str">
        <f t="shared" si="545"/>
        <v>High</v>
      </c>
      <c r="O8766" t="str">
        <f t="shared" si="546"/>
        <v>High Balance</v>
      </c>
      <c r="P8766" t="str">
        <f t="shared" si="547"/>
        <v>Long-term</v>
      </c>
    </row>
    <row r="8767" spans="1:16" x14ac:dyDescent="0.25">
      <c r="A8767">
        <v>2025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  <c r="M8767" t="str">
        <f t="shared" si="544"/>
        <v>30-45</v>
      </c>
      <c r="N8767" t="str">
        <f t="shared" si="545"/>
        <v>Medium</v>
      </c>
      <c r="O8767" t="str">
        <f t="shared" si="546"/>
        <v>Zero Balance</v>
      </c>
      <c r="P8767" t="str">
        <f t="shared" si="547"/>
        <v>New</v>
      </c>
    </row>
    <row r="8768" spans="1:16" x14ac:dyDescent="0.25">
      <c r="A8768">
        <v>2025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  <c r="M8768" t="str">
        <f t="shared" si="544"/>
        <v>30-45</v>
      </c>
      <c r="N8768" t="str">
        <f t="shared" si="545"/>
        <v>Medium</v>
      </c>
      <c r="O8768" t="str">
        <f t="shared" si="546"/>
        <v>Low Balance</v>
      </c>
      <c r="P8768" t="str">
        <f t="shared" si="547"/>
        <v>Mid-term</v>
      </c>
    </row>
    <row r="8769" spans="1:16" x14ac:dyDescent="0.25">
      <c r="A8769">
        <v>2025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  <c r="M8769" t="str">
        <f t="shared" si="544"/>
        <v>&lt;30</v>
      </c>
      <c r="N8769" t="str">
        <f t="shared" si="545"/>
        <v>Medium</v>
      </c>
      <c r="O8769" t="str">
        <f t="shared" si="546"/>
        <v>Zero Balance</v>
      </c>
      <c r="P8769" t="str">
        <f t="shared" si="547"/>
        <v>Long-term</v>
      </c>
    </row>
    <row r="8770" spans="1:16" x14ac:dyDescent="0.25">
      <c r="A8770">
        <v>2025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  <c r="M8770" t="str">
        <f t="shared" si="544"/>
        <v>60+</v>
      </c>
      <c r="N8770" t="str">
        <f t="shared" si="545"/>
        <v>High</v>
      </c>
      <c r="O8770" t="str">
        <f t="shared" si="546"/>
        <v>Low Balance</v>
      </c>
      <c r="P8770" t="str">
        <f t="shared" si="547"/>
        <v>Mid-term</v>
      </c>
    </row>
    <row r="8771" spans="1:16" x14ac:dyDescent="0.25">
      <c r="A8771">
        <v>2025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  <c r="M8771" t="str">
        <f t="shared" ref="M8771:M8834" si="548">IF(E8771&lt;30,"&lt;30",IF(E8771&lt;=45,"30-45",IF(E8771&lt;=60,"46-60","60+")))</f>
        <v>30-45</v>
      </c>
      <c r="N8771" t="str">
        <f t="shared" ref="N8771:N8834" si="549">IF(B8771&lt;500,"Low",IF(B8771&lt;700,"Medium","High"))</f>
        <v>Medium</v>
      </c>
      <c r="O8771" t="str">
        <f t="shared" ref="O8771:O8834" si="550">IF(G8771=0,"Zero Balance",IF(G8771&lt;100000,"Low Balance","High Balance"))</f>
        <v>Zero Balance</v>
      </c>
      <c r="P8771" t="str">
        <f t="shared" ref="P8771:P8834" si="551">IF(F8771&lt;=3,"New",IF(F8771&lt;=7,"Mid-term","Long-term"))</f>
        <v>Mid-term</v>
      </c>
    </row>
    <row r="8772" spans="1:16" x14ac:dyDescent="0.25">
      <c r="A8772">
        <v>2025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  <c r="M8772" t="str">
        <f t="shared" si="548"/>
        <v>46-60</v>
      </c>
      <c r="N8772" t="str">
        <f t="shared" si="549"/>
        <v>Medium</v>
      </c>
      <c r="O8772" t="str">
        <f t="shared" si="550"/>
        <v>Zero Balance</v>
      </c>
      <c r="P8772" t="str">
        <f t="shared" si="551"/>
        <v>Long-term</v>
      </c>
    </row>
    <row r="8773" spans="1:16" x14ac:dyDescent="0.25">
      <c r="A8773">
        <v>2025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  <c r="M8773" t="str">
        <f t="shared" si="548"/>
        <v>30-45</v>
      </c>
      <c r="N8773" t="str">
        <f t="shared" si="549"/>
        <v>Medium</v>
      </c>
      <c r="O8773" t="str">
        <f t="shared" si="550"/>
        <v>Low Balance</v>
      </c>
      <c r="P8773" t="str">
        <f t="shared" si="551"/>
        <v>Mid-term</v>
      </c>
    </row>
    <row r="8774" spans="1:16" x14ac:dyDescent="0.25">
      <c r="A8774">
        <v>2025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  <c r="M8774" t="str">
        <f t="shared" si="548"/>
        <v>30-45</v>
      </c>
      <c r="N8774" t="str">
        <f t="shared" si="549"/>
        <v>High</v>
      </c>
      <c r="O8774" t="str">
        <f t="shared" si="550"/>
        <v>Zero Balance</v>
      </c>
      <c r="P8774" t="str">
        <f t="shared" si="551"/>
        <v>Mid-term</v>
      </c>
    </row>
    <row r="8775" spans="1:16" x14ac:dyDescent="0.25">
      <c r="A8775">
        <v>2025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  <c r="M8775" t="str">
        <f t="shared" si="548"/>
        <v>30-45</v>
      </c>
      <c r="N8775" t="str">
        <f t="shared" si="549"/>
        <v>Medium</v>
      </c>
      <c r="O8775" t="str">
        <f t="shared" si="550"/>
        <v>Zero Balance</v>
      </c>
      <c r="P8775" t="str">
        <f t="shared" si="551"/>
        <v>Long-term</v>
      </c>
    </row>
    <row r="8776" spans="1:16" x14ac:dyDescent="0.25">
      <c r="A8776">
        <v>2025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  <c r="M8776" t="str">
        <f t="shared" si="548"/>
        <v>30-45</v>
      </c>
      <c r="N8776" t="str">
        <f t="shared" si="549"/>
        <v>Low</v>
      </c>
      <c r="O8776" t="str">
        <f t="shared" si="550"/>
        <v>High Balance</v>
      </c>
      <c r="P8776" t="str">
        <f t="shared" si="551"/>
        <v>Mid-term</v>
      </c>
    </row>
    <row r="8777" spans="1:16" x14ac:dyDescent="0.25">
      <c r="A8777">
        <v>2025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  <c r="M8777" t="str">
        <f t="shared" si="548"/>
        <v>30-45</v>
      </c>
      <c r="N8777" t="str">
        <f t="shared" si="549"/>
        <v>High</v>
      </c>
      <c r="O8777" t="str">
        <f t="shared" si="550"/>
        <v>High Balance</v>
      </c>
      <c r="P8777" t="str">
        <f t="shared" si="551"/>
        <v>Long-term</v>
      </c>
    </row>
    <row r="8778" spans="1:16" x14ac:dyDescent="0.25">
      <c r="A8778">
        <v>2025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  <c r="M8778" t="str">
        <f t="shared" si="548"/>
        <v>30-45</v>
      </c>
      <c r="N8778" t="str">
        <f t="shared" si="549"/>
        <v>Medium</v>
      </c>
      <c r="O8778" t="str">
        <f t="shared" si="550"/>
        <v>Zero Balance</v>
      </c>
      <c r="P8778" t="str">
        <f t="shared" si="551"/>
        <v>Long-term</v>
      </c>
    </row>
    <row r="8779" spans="1:16" x14ac:dyDescent="0.25">
      <c r="A8779">
        <v>2025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  <c r="M8779" t="str">
        <f t="shared" si="548"/>
        <v>&lt;30</v>
      </c>
      <c r="N8779" t="str">
        <f t="shared" si="549"/>
        <v>Medium</v>
      </c>
      <c r="O8779" t="str">
        <f t="shared" si="550"/>
        <v>High Balance</v>
      </c>
      <c r="P8779" t="str">
        <f t="shared" si="551"/>
        <v>New</v>
      </c>
    </row>
    <row r="8780" spans="1:16" x14ac:dyDescent="0.25">
      <c r="A8780">
        <v>2025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  <c r="M8780" t="str">
        <f t="shared" si="548"/>
        <v>30-45</v>
      </c>
      <c r="N8780" t="str">
        <f t="shared" si="549"/>
        <v>Medium</v>
      </c>
      <c r="O8780" t="str">
        <f t="shared" si="550"/>
        <v>High Balance</v>
      </c>
      <c r="P8780" t="str">
        <f t="shared" si="551"/>
        <v>Long-term</v>
      </c>
    </row>
    <row r="8781" spans="1:16" x14ac:dyDescent="0.25">
      <c r="A8781">
        <v>2025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  <c r="M8781" t="str">
        <f t="shared" si="548"/>
        <v>30-45</v>
      </c>
      <c r="N8781" t="str">
        <f t="shared" si="549"/>
        <v>High</v>
      </c>
      <c r="O8781" t="str">
        <f t="shared" si="550"/>
        <v>High Balance</v>
      </c>
      <c r="P8781" t="str">
        <f t="shared" si="551"/>
        <v>New</v>
      </c>
    </row>
    <row r="8782" spans="1:16" x14ac:dyDescent="0.25">
      <c r="A8782">
        <v>2025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  <c r="M8782" t="str">
        <f t="shared" si="548"/>
        <v>30-45</v>
      </c>
      <c r="N8782" t="str">
        <f t="shared" si="549"/>
        <v>High</v>
      </c>
      <c r="O8782" t="str">
        <f t="shared" si="550"/>
        <v>High Balance</v>
      </c>
      <c r="P8782" t="str">
        <f t="shared" si="551"/>
        <v>Long-term</v>
      </c>
    </row>
    <row r="8783" spans="1:16" x14ac:dyDescent="0.25">
      <c r="A8783">
        <v>2025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  <c r="M8783" t="str">
        <f t="shared" si="548"/>
        <v>46-60</v>
      </c>
      <c r="N8783" t="str">
        <f t="shared" si="549"/>
        <v>Low</v>
      </c>
      <c r="O8783" t="str">
        <f t="shared" si="550"/>
        <v>Low Balance</v>
      </c>
      <c r="P8783" t="str">
        <f t="shared" si="551"/>
        <v>Mid-term</v>
      </c>
    </row>
    <row r="8784" spans="1:16" x14ac:dyDescent="0.25">
      <c r="A8784">
        <v>2025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  <c r="M8784" t="str">
        <f t="shared" si="548"/>
        <v>&lt;30</v>
      </c>
      <c r="N8784" t="str">
        <f t="shared" si="549"/>
        <v>Medium</v>
      </c>
      <c r="O8784" t="str">
        <f t="shared" si="550"/>
        <v>Zero Balance</v>
      </c>
      <c r="P8784" t="str">
        <f t="shared" si="551"/>
        <v>Mid-term</v>
      </c>
    </row>
    <row r="8785" spans="1:16" x14ac:dyDescent="0.25">
      <c r="A8785">
        <v>2025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  <c r="M8785" t="str">
        <f t="shared" si="548"/>
        <v>30-45</v>
      </c>
      <c r="N8785" t="str">
        <f t="shared" si="549"/>
        <v>High</v>
      </c>
      <c r="O8785" t="str">
        <f t="shared" si="550"/>
        <v>Zero Balance</v>
      </c>
      <c r="P8785" t="str">
        <f t="shared" si="551"/>
        <v>Long-term</v>
      </c>
    </row>
    <row r="8786" spans="1:16" x14ac:dyDescent="0.25">
      <c r="A8786">
        <v>2025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  <c r="M8786" t="str">
        <f t="shared" si="548"/>
        <v>30-45</v>
      </c>
      <c r="N8786" t="str">
        <f t="shared" si="549"/>
        <v>Medium</v>
      </c>
      <c r="O8786" t="str">
        <f t="shared" si="550"/>
        <v>High Balance</v>
      </c>
      <c r="P8786" t="str">
        <f t="shared" si="551"/>
        <v>Long-term</v>
      </c>
    </row>
    <row r="8787" spans="1:16" x14ac:dyDescent="0.25">
      <c r="A8787">
        <v>2025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  <c r="M8787" t="str">
        <f t="shared" si="548"/>
        <v>&lt;30</v>
      </c>
      <c r="N8787" t="str">
        <f t="shared" si="549"/>
        <v>High</v>
      </c>
      <c r="O8787" t="str">
        <f t="shared" si="550"/>
        <v>High Balance</v>
      </c>
      <c r="P8787" t="str">
        <f t="shared" si="551"/>
        <v>New</v>
      </c>
    </row>
    <row r="8788" spans="1:16" x14ac:dyDescent="0.25">
      <c r="A8788">
        <v>2025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  <c r="M8788" t="str">
        <f t="shared" si="548"/>
        <v>&lt;30</v>
      </c>
      <c r="N8788" t="str">
        <f t="shared" si="549"/>
        <v>High</v>
      </c>
      <c r="O8788" t="str">
        <f t="shared" si="550"/>
        <v>High Balance</v>
      </c>
      <c r="P8788" t="str">
        <f t="shared" si="551"/>
        <v>Long-term</v>
      </c>
    </row>
    <row r="8789" spans="1:16" x14ac:dyDescent="0.25">
      <c r="A8789">
        <v>2025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  <c r="M8789" t="str">
        <f t="shared" si="548"/>
        <v>60+</v>
      </c>
      <c r="N8789" t="str">
        <f t="shared" si="549"/>
        <v>Medium</v>
      </c>
      <c r="O8789" t="str">
        <f t="shared" si="550"/>
        <v>High Balance</v>
      </c>
      <c r="P8789" t="str">
        <f t="shared" si="551"/>
        <v>New</v>
      </c>
    </row>
    <row r="8790" spans="1:16" x14ac:dyDescent="0.25">
      <c r="A8790">
        <v>2025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  <c r="M8790" t="str">
        <f t="shared" si="548"/>
        <v>30-45</v>
      </c>
      <c r="N8790" t="str">
        <f t="shared" si="549"/>
        <v>High</v>
      </c>
      <c r="O8790" t="str">
        <f t="shared" si="550"/>
        <v>High Balance</v>
      </c>
      <c r="P8790" t="str">
        <f t="shared" si="551"/>
        <v>New</v>
      </c>
    </row>
    <row r="8791" spans="1:16" x14ac:dyDescent="0.25">
      <c r="A8791">
        <v>2025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  <c r="M8791" t="str">
        <f t="shared" si="548"/>
        <v>30-45</v>
      </c>
      <c r="N8791" t="str">
        <f t="shared" si="549"/>
        <v>Low</v>
      </c>
      <c r="O8791" t="str">
        <f t="shared" si="550"/>
        <v>Zero Balance</v>
      </c>
      <c r="P8791" t="str">
        <f t="shared" si="551"/>
        <v>New</v>
      </c>
    </row>
    <row r="8792" spans="1:16" x14ac:dyDescent="0.25">
      <c r="A8792">
        <v>2025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  <c r="M8792" t="str">
        <f t="shared" si="548"/>
        <v>30-45</v>
      </c>
      <c r="N8792" t="str">
        <f t="shared" si="549"/>
        <v>Low</v>
      </c>
      <c r="O8792" t="str">
        <f t="shared" si="550"/>
        <v>Zero Balance</v>
      </c>
      <c r="P8792" t="str">
        <f t="shared" si="551"/>
        <v>Long-term</v>
      </c>
    </row>
    <row r="8793" spans="1:16" x14ac:dyDescent="0.25">
      <c r="A8793">
        <v>2025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  <c r="M8793" t="str">
        <f t="shared" si="548"/>
        <v>&lt;30</v>
      </c>
      <c r="N8793" t="str">
        <f t="shared" si="549"/>
        <v>High</v>
      </c>
      <c r="O8793" t="str">
        <f t="shared" si="550"/>
        <v>Zero Balance</v>
      </c>
      <c r="P8793" t="str">
        <f t="shared" si="551"/>
        <v>Long-term</v>
      </c>
    </row>
    <row r="8794" spans="1:16" x14ac:dyDescent="0.25">
      <c r="A8794">
        <v>2025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  <c r="M8794" t="str">
        <f t="shared" si="548"/>
        <v>30-45</v>
      </c>
      <c r="N8794" t="str">
        <f t="shared" si="549"/>
        <v>Low</v>
      </c>
      <c r="O8794" t="str">
        <f t="shared" si="550"/>
        <v>Zero Balance</v>
      </c>
      <c r="P8794" t="str">
        <f t="shared" si="551"/>
        <v>New</v>
      </c>
    </row>
    <row r="8795" spans="1:16" x14ac:dyDescent="0.25">
      <c r="A8795">
        <v>2025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  <c r="M8795" t="str">
        <f t="shared" si="548"/>
        <v>60+</v>
      </c>
      <c r="N8795" t="str">
        <f t="shared" si="549"/>
        <v>Medium</v>
      </c>
      <c r="O8795" t="str">
        <f t="shared" si="550"/>
        <v>High Balance</v>
      </c>
      <c r="P8795" t="str">
        <f t="shared" si="551"/>
        <v>Long-term</v>
      </c>
    </row>
    <row r="8796" spans="1:16" x14ac:dyDescent="0.25">
      <c r="A8796">
        <v>2025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  <c r="M8796" t="str">
        <f t="shared" si="548"/>
        <v>&lt;30</v>
      </c>
      <c r="N8796" t="str">
        <f t="shared" si="549"/>
        <v>High</v>
      </c>
      <c r="O8796" t="str">
        <f t="shared" si="550"/>
        <v>High Balance</v>
      </c>
      <c r="P8796" t="str">
        <f t="shared" si="551"/>
        <v>New</v>
      </c>
    </row>
    <row r="8797" spans="1:16" x14ac:dyDescent="0.25">
      <c r="A8797">
        <v>2025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  <c r="M8797" t="str">
        <f t="shared" si="548"/>
        <v>30-45</v>
      </c>
      <c r="N8797" t="str">
        <f t="shared" si="549"/>
        <v>Medium</v>
      </c>
      <c r="O8797" t="str">
        <f t="shared" si="550"/>
        <v>Zero Balance</v>
      </c>
      <c r="P8797" t="str">
        <f t="shared" si="551"/>
        <v>New</v>
      </c>
    </row>
    <row r="8798" spans="1:16" x14ac:dyDescent="0.25">
      <c r="A8798">
        <v>2025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  <c r="M8798" t="str">
        <f t="shared" si="548"/>
        <v>30-45</v>
      </c>
      <c r="N8798" t="str">
        <f t="shared" si="549"/>
        <v>High</v>
      </c>
      <c r="O8798" t="str">
        <f t="shared" si="550"/>
        <v>Zero Balance</v>
      </c>
      <c r="P8798" t="str">
        <f t="shared" si="551"/>
        <v>New</v>
      </c>
    </row>
    <row r="8799" spans="1:16" x14ac:dyDescent="0.25">
      <c r="A8799">
        <v>2025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  <c r="M8799" t="str">
        <f t="shared" si="548"/>
        <v>30-45</v>
      </c>
      <c r="N8799" t="str">
        <f t="shared" si="549"/>
        <v>High</v>
      </c>
      <c r="O8799" t="str">
        <f t="shared" si="550"/>
        <v>Zero Balance</v>
      </c>
      <c r="P8799" t="str">
        <f t="shared" si="551"/>
        <v>Long-term</v>
      </c>
    </row>
    <row r="8800" spans="1:16" x14ac:dyDescent="0.25">
      <c r="A8800">
        <v>2025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  <c r="M8800" t="str">
        <f t="shared" si="548"/>
        <v>&lt;30</v>
      </c>
      <c r="N8800" t="str">
        <f t="shared" si="549"/>
        <v>Medium</v>
      </c>
      <c r="O8800" t="str">
        <f t="shared" si="550"/>
        <v>Zero Balance</v>
      </c>
      <c r="P8800" t="str">
        <f t="shared" si="551"/>
        <v>Mid-term</v>
      </c>
    </row>
    <row r="8801" spans="1:16" x14ac:dyDescent="0.25">
      <c r="A8801">
        <v>2025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  <c r="M8801" t="str">
        <f t="shared" si="548"/>
        <v>30-45</v>
      </c>
      <c r="N8801" t="str">
        <f t="shared" si="549"/>
        <v>Low</v>
      </c>
      <c r="O8801" t="str">
        <f t="shared" si="550"/>
        <v>Zero Balance</v>
      </c>
      <c r="P8801" t="str">
        <f t="shared" si="551"/>
        <v>Mid-term</v>
      </c>
    </row>
    <row r="8802" spans="1:16" x14ac:dyDescent="0.25">
      <c r="A8802">
        <v>2025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  <c r="M8802" t="str">
        <f t="shared" si="548"/>
        <v>30-45</v>
      </c>
      <c r="N8802" t="str">
        <f t="shared" si="549"/>
        <v>Medium</v>
      </c>
      <c r="O8802" t="str">
        <f t="shared" si="550"/>
        <v>High Balance</v>
      </c>
      <c r="P8802" t="str">
        <f t="shared" si="551"/>
        <v>Long-term</v>
      </c>
    </row>
    <row r="8803" spans="1:16" x14ac:dyDescent="0.25">
      <c r="A8803">
        <v>2025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  <c r="M8803" t="str">
        <f t="shared" si="548"/>
        <v>46-60</v>
      </c>
      <c r="N8803" t="str">
        <f t="shared" si="549"/>
        <v>Medium</v>
      </c>
      <c r="O8803" t="str">
        <f t="shared" si="550"/>
        <v>High Balance</v>
      </c>
      <c r="P8803" t="str">
        <f t="shared" si="551"/>
        <v>Mid-term</v>
      </c>
    </row>
    <row r="8804" spans="1:16" x14ac:dyDescent="0.25">
      <c r="A8804">
        <v>2025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  <c r="M8804" t="str">
        <f t="shared" si="548"/>
        <v>30-45</v>
      </c>
      <c r="N8804" t="str">
        <f t="shared" si="549"/>
        <v>High</v>
      </c>
      <c r="O8804" t="str">
        <f t="shared" si="550"/>
        <v>Zero Balance</v>
      </c>
      <c r="P8804" t="str">
        <f t="shared" si="551"/>
        <v>Mid-term</v>
      </c>
    </row>
    <row r="8805" spans="1:16" x14ac:dyDescent="0.25">
      <c r="A8805">
        <v>2025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  <c r="M8805" t="str">
        <f t="shared" si="548"/>
        <v>30-45</v>
      </c>
      <c r="N8805" t="str">
        <f t="shared" si="549"/>
        <v>High</v>
      </c>
      <c r="O8805" t="str">
        <f t="shared" si="550"/>
        <v>High Balance</v>
      </c>
      <c r="P8805" t="str">
        <f t="shared" si="551"/>
        <v>Mid-term</v>
      </c>
    </row>
    <row r="8806" spans="1:16" x14ac:dyDescent="0.25">
      <c r="A8806">
        <v>2025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  <c r="M8806" t="str">
        <f t="shared" si="548"/>
        <v>30-45</v>
      </c>
      <c r="N8806" t="str">
        <f t="shared" si="549"/>
        <v>High</v>
      </c>
      <c r="O8806" t="str">
        <f t="shared" si="550"/>
        <v>Zero Balance</v>
      </c>
      <c r="P8806" t="str">
        <f t="shared" si="551"/>
        <v>New</v>
      </c>
    </row>
    <row r="8807" spans="1:16" x14ac:dyDescent="0.25">
      <c r="A8807">
        <v>2025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  <c r="M8807" t="str">
        <f t="shared" si="548"/>
        <v>30-45</v>
      </c>
      <c r="N8807" t="str">
        <f t="shared" si="549"/>
        <v>High</v>
      </c>
      <c r="O8807" t="str">
        <f t="shared" si="550"/>
        <v>Zero Balance</v>
      </c>
      <c r="P8807" t="str">
        <f t="shared" si="551"/>
        <v>Long-term</v>
      </c>
    </row>
    <row r="8808" spans="1:16" x14ac:dyDescent="0.25">
      <c r="A8808">
        <v>2025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  <c r="M8808" t="str">
        <f t="shared" si="548"/>
        <v>30-45</v>
      </c>
      <c r="N8808" t="str">
        <f t="shared" si="549"/>
        <v>Medium</v>
      </c>
      <c r="O8808" t="str">
        <f t="shared" si="550"/>
        <v>High Balance</v>
      </c>
      <c r="P8808" t="str">
        <f t="shared" si="551"/>
        <v>Mid-term</v>
      </c>
    </row>
    <row r="8809" spans="1:16" x14ac:dyDescent="0.25">
      <c r="A8809">
        <v>2025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  <c r="M8809" t="str">
        <f t="shared" si="548"/>
        <v>46-60</v>
      </c>
      <c r="N8809" t="str">
        <f t="shared" si="549"/>
        <v>Medium</v>
      </c>
      <c r="O8809" t="str">
        <f t="shared" si="550"/>
        <v>Low Balance</v>
      </c>
      <c r="P8809" t="str">
        <f t="shared" si="551"/>
        <v>New</v>
      </c>
    </row>
    <row r="8810" spans="1:16" x14ac:dyDescent="0.25">
      <c r="A8810">
        <v>2025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  <c r="M8810" t="str">
        <f t="shared" si="548"/>
        <v>30-45</v>
      </c>
      <c r="N8810" t="str">
        <f t="shared" si="549"/>
        <v>High</v>
      </c>
      <c r="O8810" t="str">
        <f t="shared" si="550"/>
        <v>High Balance</v>
      </c>
      <c r="P8810" t="str">
        <f t="shared" si="551"/>
        <v>Mid-term</v>
      </c>
    </row>
    <row r="8811" spans="1:16" x14ac:dyDescent="0.25">
      <c r="A8811">
        <v>2025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  <c r="M8811" t="str">
        <f t="shared" si="548"/>
        <v>30-45</v>
      </c>
      <c r="N8811" t="str">
        <f t="shared" si="549"/>
        <v>Medium</v>
      </c>
      <c r="O8811" t="str">
        <f t="shared" si="550"/>
        <v>High Balance</v>
      </c>
      <c r="P8811" t="str">
        <f t="shared" si="551"/>
        <v>Mid-term</v>
      </c>
    </row>
    <row r="8812" spans="1:16" x14ac:dyDescent="0.25">
      <c r="A8812">
        <v>2025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  <c r="M8812" t="str">
        <f t="shared" si="548"/>
        <v>&lt;30</v>
      </c>
      <c r="N8812" t="str">
        <f t="shared" si="549"/>
        <v>Medium</v>
      </c>
      <c r="O8812" t="str">
        <f t="shared" si="550"/>
        <v>High Balance</v>
      </c>
      <c r="P8812" t="str">
        <f t="shared" si="551"/>
        <v>Long-term</v>
      </c>
    </row>
    <row r="8813" spans="1:16" x14ac:dyDescent="0.25">
      <c r="A8813">
        <v>2025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  <c r="M8813" t="str">
        <f t="shared" si="548"/>
        <v>30-45</v>
      </c>
      <c r="N8813" t="str">
        <f t="shared" si="549"/>
        <v>Medium</v>
      </c>
      <c r="O8813" t="str">
        <f t="shared" si="550"/>
        <v>Low Balance</v>
      </c>
      <c r="P8813" t="str">
        <f t="shared" si="551"/>
        <v>Mid-term</v>
      </c>
    </row>
    <row r="8814" spans="1:16" x14ac:dyDescent="0.25">
      <c r="A8814">
        <v>2025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  <c r="M8814" t="str">
        <f t="shared" si="548"/>
        <v>&lt;30</v>
      </c>
      <c r="N8814" t="str">
        <f t="shared" si="549"/>
        <v>Medium</v>
      </c>
      <c r="O8814" t="str">
        <f t="shared" si="550"/>
        <v>High Balance</v>
      </c>
      <c r="P8814" t="str">
        <f t="shared" si="551"/>
        <v>New</v>
      </c>
    </row>
    <row r="8815" spans="1:16" x14ac:dyDescent="0.25">
      <c r="A8815">
        <v>2025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  <c r="M8815" t="str">
        <f t="shared" si="548"/>
        <v>&lt;30</v>
      </c>
      <c r="N8815" t="str">
        <f t="shared" si="549"/>
        <v>High</v>
      </c>
      <c r="O8815" t="str">
        <f t="shared" si="550"/>
        <v>High Balance</v>
      </c>
      <c r="P8815" t="str">
        <f t="shared" si="551"/>
        <v>Long-term</v>
      </c>
    </row>
    <row r="8816" spans="1:16" x14ac:dyDescent="0.25">
      <c r="A8816">
        <v>2025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  <c r="M8816" t="str">
        <f t="shared" si="548"/>
        <v>46-60</v>
      </c>
      <c r="N8816" t="str">
        <f t="shared" si="549"/>
        <v>High</v>
      </c>
      <c r="O8816" t="str">
        <f t="shared" si="550"/>
        <v>Zero Balance</v>
      </c>
      <c r="P8816" t="str">
        <f t="shared" si="551"/>
        <v>Mid-term</v>
      </c>
    </row>
    <row r="8817" spans="1:16" x14ac:dyDescent="0.25">
      <c r="A8817">
        <v>2025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  <c r="M8817" t="str">
        <f t="shared" si="548"/>
        <v>30-45</v>
      </c>
      <c r="N8817" t="str">
        <f t="shared" si="549"/>
        <v>Medium</v>
      </c>
      <c r="O8817" t="str">
        <f t="shared" si="550"/>
        <v>High Balance</v>
      </c>
      <c r="P8817" t="str">
        <f t="shared" si="551"/>
        <v>New</v>
      </c>
    </row>
    <row r="8818" spans="1:16" x14ac:dyDescent="0.25">
      <c r="A8818">
        <v>2025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  <c r="M8818" t="str">
        <f t="shared" si="548"/>
        <v>30-45</v>
      </c>
      <c r="N8818" t="str">
        <f t="shared" si="549"/>
        <v>Medium</v>
      </c>
      <c r="O8818" t="str">
        <f t="shared" si="550"/>
        <v>High Balance</v>
      </c>
      <c r="P8818" t="str">
        <f t="shared" si="551"/>
        <v>Mid-term</v>
      </c>
    </row>
    <row r="8819" spans="1:16" x14ac:dyDescent="0.25">
      <c r="A8819">
        <v>2025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  <c r="M8819" t="str">
        <f t="shared" si="548"/>
        <v>30-45</v>
      </c>
      <c r="N8819" t="str">
        <f t="shared" si="549"/>
        <v>Medium</v>
      </c>
      <c r="O8819" t="str">
        <f t="shared" si="550"/>
        <v>High Balance</v>
      </c>
      <c r="P8819" t="str">
        <f t="shared" si="551"/>
        <v>Mid-term</v>
      </c>
    </row>
    <row r="8820" spans="1:16" x14ac:dyDescent="0.25">
      <c r="A8820">
        <v>2025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  <c r="M8820" t="str">
        <f t="shared" si="548"/>
        <v>30-45</v>
      </c>
      <c r="N8820" t="str">
        <f t="shared" si="549"/>
        <v>Medium</v>
      </c>
      <c r="O8820" t="str">
        <f t="shared" si="550"/>
        <v>Zero Balance</v>
      </c>
      <c r="P8820" t="str">
        <f t="shared" si="551"/>
        <v>New</v>
      </c>
    </row>
    <row r="8821" spans="1:16" x14ac:dyDescent="0.25">
      <c r="A8821">
        <v>2025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  <c r="M8821" t="str">
        <f t="shared" si="548"/>
        <v>30-45</v>
      </c>
      <c r="N8821" t="str">
        <f t="shared" si="549"/>
        <v>Medium</v>
      </c>
      <c r="O8821" t="str">
        <f t="shared" si="550"/>
        <v>High Balance</v>
      </c>
      <c r="P8821" t="str">
        <f t="shared" si="551"/>
        <v>Long-term</v>
      </c>
    </row>
    <row r="8822" spans="1:16" x14ac:dyDescent="0.25">
      <c r="A8822">
        <v>2025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  <c r="M8822" t="str">
        <f t="shared" si="548"/>
        <v>30-45</v>
      </c>
      <c r="N8822" t="str">
        <f t="shared" si="549"/>
        <v>Medium</v>
      </c>
      <c r="O8822" t="str">
        <f t="shared" si="550"/>
        <v>High Balance</v>
      </c>
      <c r="P8822" t="str">
        <f t="shared" si="551"/>
        <v>Long-term</v>
      </c>
    </row>
    <row r="8823" spans="1:16" x14ac:dyDescent="0.25">
      <c r="A8823">
        <v>2025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  <c r="M8823" t="str">
        <f t="shared" si="548"/>
        <v>30-45</v>
      </c>
      <c r="N8823" t="str">
        <f t="shared" si="549"/>
        <v>Medium</v>
      </c>
      <c r="O8823" t="str">
        <f t="shared" si="550"/>
        <v>High Balance</v>
      </c>
      <c r="P8823" t="str">
        <f t="shared" si="551"/>
        <v>Mid-term</v>
      </c>
    </row>
    <row r="8824" spans="1:16" x14ac:dyDescent="0.25">
      <c r="A8824">
        <v>2025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  <c r="M8824" t="str">
        <f t="shared" si="548"/>
        <v>60+</v>
      </c>
      <c r="N8824" t="str">
        <f t="shared" si="549"/>
        <v>Medium</v>
      </c>
      <c r="O8824" t="str">
        <f t="shared" si="550"/>
        <v>Zero Balance</v>
      </c>
      <c r="P8824" t="str">
        <f t="shared" si="551"/>
        <v>Mid-term</v>
      </c>
    </row>
    <row r="8825" spans="1:16" x14ac:dyDescent="0.25">
      <c r="A8825">
        <v>2025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  <c r="M8825" t="str">
        <f t="shared" si="548"/>
        <v>46-60</v>
      </c>
      <c r="N8825" t="str">
        <f t="shared" si="549"/>
        <v>Medium</v>
      </c>
      <c r="O8825" t="str">
        <f t="shared" si="550"/>
        <v>High Balance</v>
      </c>
      <c r="P8825" t="str">
        <f t="shared" si="551"/>
        <v>New</v>
      </c>
    </row>
    <row r="8826" spans="1:16" x14ac:dyDescent="0.25">
      <c r="A8826">
        <v>2025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  <c r="M8826" t="str">
        <f t="shared" si="548"/>
        <v>30-45</v>
      </c>
      <c r="N8826" t="str">
        <f t="shared" si="549"/>
        <v>Medium</v>
      </c>
      <c r="O8826" t="str">
        <f t="shared" si="550"/>
        <v>Zero Balance</v>
      </c>
      <c r="P8826" t="str">
        <f t="shared" si="551"/>
        <v>Mid-term</v>
      </c>
    </row>
    <row r="8827" spans="1:16" x14ac:dyDescent="0.25">
      <c r="A8827">
        <v>2025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  <c r="M8827" t="str">
        <f t="shared" si="548"/>
        <v>46-60</v>
      </c>
      <c r="N8827" t="str">
        <f t="shared" si="549"/>
        <v>Medium</v>
      </c>
      <c r="O8827" t="str">
        <f t="shared" si="550"/>
        <v>High Balance</v>
      </c>
      <c r="P8827" t="str">
        <f t="shared" si="551"/>
        <v>Long-term</v>
      </c>
    </row>
    <row r="8828" spans="1:16" x14ac:dyDescent="0.25">
      <c r="A8828">
        <v>2025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  <c r="M8828" t="str">
        <f t="shared" si="548"/>
        <v>&lt;30</v>
      </c>
      <c r="N8828" t="str">
        <f t="shared" si="549"/>
        <v>Low</v>
      </c>
      <c r="O8828" t="str">
        <f t="shared" si="550"/>
        <v>Zero Balance</v>
      </c>
      <c r="P8828" t="str">
        <f t="shared" si="551"/>
        <v>Mid-term</v>
      </c>
    </row>
    <row r="8829" spans="1:16" x14ac:dyDescent="0.25">
      <c r="A8829">
        <v>2025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  <c r="M8829" t="str">
        <f t="shared" si="548"/>
        <v>30-45</v>
      </c>
      <c r="N8829" t="str">
        <f t="shared" si="549"/>
        <v>Medium</v>
      </c>
      <c r="O8829" t="str">
        <f t="shared" si="550"/>
        <v>Zero Balance</v>
      </c>
      <c r="P8829" t="str">
        <f t="shared" si="551"/>
        <v>Mid-term</v>
      </c>
    </row>
    <row r="8830" spans="1:16" x14ac:dyDescent="0.25">
      <c r="A8830">
        <v>2025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  <c r="M8830" t="str">
        <f t="shared" si="548"/>
        <v>30-45</v>
      </c>
      <c r="N8830" t="str">
        <f t="shared" si="549"/>
        <v>High</v>
      </c>
      <c r="O8830" t="str">
        <f t="shared" si="550"/>
        <v>Zero Balance</v>
      </c>
      <c r="P8830" t="str">
        <f t="shared" si="551"/>
        <v>New</v>
      </c>
    </row>
    <row r="8831" spans="1:16" x14ac:dyDescent="0.25">
      <c r="A8831">
        <v>2025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  <c r="M8831" t="str">
        <f t="shared" si="548"/>
        <v>30-45</v>
      </c>
      <c r="N8831" t="str">
        <f t="shared" si="549"/>
        <v>Medium</v>
      </c>
      <c r="O8831" t="str">
        <f t="shared" si="550"/>
        <v>Zero Balance</v>
      </c>
      <c r="P8831" t="str">
        <f t="shared" si="551"/>
        <v>New</v>
      </c>
    </row>
    <row r="8832" spans="1:16" x14ac:dyDescent="0.25">
      <c r="A8832">
        <v>2025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  <c r="M8832" t="str">
        <f t="shared" si="548"/>
        <v>30-45</v>
      </c>
      <c r="N8832" t="str">
        <f t="shared" si="549"/>
        <v>Medium</v>
      </c>
      <c r="O8832" t="str">
        <f t="shared" si="550"/>
        <v>High Balance</v>
      </c>
      <c r="P8832" t="str">
        <f t="shared" si="551"/>
        <v>Mid-term</v>
      </c>
    </row>
    <row r="8833" spans="1:16" x14ac:dyDescent="0.25">
      <c r="A8833">
        <v>2025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  <c r="M8833" t="str">
        <f t="shared" si="548"/>
        <v>30-45</v>
      </c>
      <c r="N8833" t="str">
        <f t="shared" si="549"/>
        <v>Medium</v>
      </c>
      <c r="O8833" t="str">
        <f t="shared" si="550"/>
        <v>Low Balance</v>
      </c>
      <c r="P8833" t="str">
        <f t="shared" si="551"/>
        <v>New</v>
      </c>
    </row>
    <row r="8834" spans="1:16" x14ac:dyDescent="0.25">
      <c r="A8834">
        <v>2025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  <c r="M8834" t="str">
        <f t="shared" si="548"/>
        <v>30-45</v>
      </c>
      <c r="N8834" t="str">
        <f t="shared" si="549"/>
        <v>High</v>
      </c>
      <c r="O8834" t="str">
        <f t="shared" si="550"/>
        <v>Zero Balance</v>
      </c>
      <c r="P8834" t="str">
        <f t="shared" si="551"/>
        <v>Mid-term</v>
      </c>
    </row>
    <row r="8835" spans="1:16" x14ac:dyDescent="0.25">
      <c r="A8835">
        <v>2025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  <c r="M8835" t="str">
        <f t="shared" ref="M8835:M8898" si="552">IF(E8835&lt;30,"&lt;30",IF(E8835&lt;=45,"30-45",IF(E8835&lt;=60,"46-60","60+")))</f>
        <v>46-60</v>
      </c>
      <c r="N8835" t="str">
        <f t="shared" ref="N8835:N8898" si="553">IF(B8835&lt;500,"Low",IF(B8835&lt;700,"Medium","High"))</f>
        <v>Medium</v>
      </c>
      <c r="O8835" t="str">
        <f t="shared" ref="O8835:O8898" si="554">IF(G8835=0,"Zero Balance",IF(G8835&lt;100000,"Low Balance","High Balance"))</f>
        <v>Low Balance</v>
      </c>
      <c r="P8835" t="str">
        <f t="shared" ref="P8835:P8898" si="555">IF(F8835&lt;=3,"New",IF(F8835&lt;=7,"Mid-term","Long-term"))</f>
        <v>Mid-term</v>
      </c>
    </row>
    <row r="8836" spans="1:16" x14ac:dyDescent="0.25">
      <c r="A8836">
        <v>2025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  <c r="M8836" t="str">
        <f t="shared" si="552"/>
        <v>30-45</v>
      </c>
      <c r="N8836" t="str">
        <f t="shared" si="553"/>
        <v>Medium</v>
      </c>
      <c r="O8836" t="str">
        <f t="shared" si="554"/>
        <v>High Balance</v>
      </c>
      <c r="P8836" t="str">
        <f t="shared" si="555"/>
        <v>New</v>
      </c>
    </row>
    <row r="8837" spans="1:16" x14ac:dyDescent="0.25">
      <c r="A8837">
        <v>2025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  <c r="M8837" t="str">
        <f t="shared" si="552"/>
        <v>30-45</v>
      </c>
      <c r="N8837" t="str">
        <f t="shared" si="553"/>
        <v>High</v>
      </c>
      <c r="O8837" t="str">
        <f t="shared" si="554"/>
        <v>Zero Balance</v>
      </c>
      <c r="P8837" t="str">
        <f t="shared" si="555"/>
        <v>Long-term</v>
      </c>
    </row>
    <row r="8838" spans="1:16" x14ac:dyDescent="0.25">
      <c r="A8838">
        <v>2025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  <c r="M8838" t="str">
        <f t="shared" si="552"/>
        <v>30-45</v>
      </c>
      <c r="N8838" t="str">
        <f t="shared" si="553"/>
        <v>High</v>
      </c>
      <c r="O8838" t="str">
        <f t="shared" si="554"/>
        <v>Zero Balance</v>
      </c>
      <c r="P8838" t="str">
        <f t="shared" si="555"/>
        <v>Mid-term</v>
      </c>
    </row>
    <row r="8839" spans="1:16" x14ac:dyDescent="0.25">
      <c r="A8839">
        <v>2025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  <c r="M8839" t="str">
        <f t="shared" si="552"/>
        <v>46-60</v>
      </c>
      <c r="N8839" t="str">
        <f t="shared" si="553"/>
        <v>Medium</v>
      </c>
      <c r="O8839" t="str">
        <f t="shared" si="554"/>
        <v>Zero Balance</v>
      </c>
      <c r="P8839" t="str">
        <f t="shared" si="555"/>
        <v>New</v>
      </c>
    </row>
    <row r="8840" spans="1:16" x14ac:dyDescent="0.25">
      <c r="A8840">
        <v>2025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  <c r="M8840" t="str">
        <f t="shared" si="552"/>
        <v>30-45</v>
      </c>
      <c r="N8840" t="str">
        <f t="shared" si="553"/>
        <v>Medium</v>
      </c>
      <c r="O8840" t="str">
        <f t="shared" si="554"/>
        <v>High Balance</v>
      </c>
      <c r="P8840" t="str">
        <f t="shared" si="555"/>
        <v>New</v>
      </c>
    </row>
    <row r="8841" spans="1:16" x14ac:dyDescent="0.25">
      <c r="A8841">
        <v>2025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  <c r="M8841" t="str">
        <f t="shared" si="552"/>
        <v>30-45</v>
      </c>
      <c r="N8841" t="str">
        <f t="shared" si="553"/>
        <v>Medium</v>
      </c>
      <c r="O8841" t="str">
        <f t="shared" si="554"/>
        <v>High Balance</v>
      </c>
      <c r="P8841" t="str">
        <f t="shared" si="555"/>
        <v>New</v>
      </c>
    </row>
    <row r="8842" spans="1:16" x14ac:dyDescent="0.25">
      <c r="A8842">
        <v>2025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  <c r="M8842" t="str">
        <f t="shared" si="552"/>
        <v>30-45</v>
      </c>
      <c r="N8842" t="str">
        <f t="shared" si="553"/>
        <v>High</v>
      </c>
      <c r="O8842" t="str">
        <f t="shared" si="554"/>
        <v>Zero Balance</v>
      </c>
      <c r="P8842" t="str">
        <f t="shared" si="555"/>
        <v>New</v>
      </c>
    </row>
    <row r="8843" spans="1:16" x14ac:dyDescent="0.25">
      <c r="A8843">
        <v>2025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  <c r="M8843" t="str">
        <f t="shared" si="552"/>
        <v>30-45</v>
      </c>
      <c r="N8843" t="str">
        <f t="shared" si="553"/>
        <v>Medium</v>
      </c>
      <c r="O8843" t="str">
        <f t="shared" si="554"/>
        <v>High Balance</v>
      </c>
      <c r="P8843" t="str">
        <f t="shared" si="555"/>
        <v>New</v>
      </c>
    </row>
    <row r="8844" spans="1:16" x14ac:dyDescent="0.25">
      <c r="A8844">
        <v>2025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  <c r="M8844" t="str">
        <f t="shared" si="552"/>
        <v>&lt;30</v>
      </c>
      <c r="N8844" t="str">
        <f t="shared" si="553"/>
        <v>Medium</v>
      </c>
      <c r="O8844" t="str">
        <f t="shared" si="554"/>
        <v>High Balance</v>
      </c>
      <c r="P8844" t="str">
        <f t="shared" si="555"/>
        <v>Long-term</v>
      </c>
    </row>
    <row r="8845" spans="1:16" x14ac:dyDescent="0.25">
      <c r="A8845">
        <v>2025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  <c r="M8845" t="str">
        <f t="shared" si="552"/>
        <v>30-45</v>
      </c>
      <c r="N8845" t="str">
        <f t="shared" si="553"/>
        <v>Medium</v>
      </c>
      <c r="O8845" t="str">
        <f t="shared" si="554"/>
        <v>High Balance</v>
      </c>
      <c r="P8845" t="str">
        <f t="shared" si="555"/>
        <v>Mid-term</v>
      </c>
    </row>
    <row r="8846" spans="1:16" x14ac:dyDescent="0.25">
      <c r="A8846">
        <v>2025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  <c r="M8846" t="str">
        <f t="shared" si="552"/>
        <v>30-45</v>
      </c>
      <c r="N8846" t="str">
        <f t="shared" si="553"/>
        <v>Medium</v>
      </c>
      <c r="O8846" t="str">
        <f t="shared" si="554"/>
        <v>Zero Balance</v>
      </c>
      <c r="P8846" t="str">
        <f t="shared" si="555"/>
        <v>Mid-term</v>
      </c>
    </row>
    <row r="8847" spans="1:16" x14ac:dyDescent="0.25">
      <c r="A8847">
        <v>2025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  <c r="M8847" t="str">
        <f t="shared" si="552"/>
        <v>30-45</v>
      </c>
      <c r="N8847" t="str">
        <f t="shared" si="553"/>
        <v>High</v>
      </c>
      <c r="O8847" t="str">
        <f t="shared" si="554"/>
        <v>High Balance</v>
      </c>
      <c r="P8847" t="str">
        <f t="shared" si="555"/>
        <v>New</v>
      </c>
    </row>
    <row r="8848" spans="1:16" x14ac:dyDescent="0.25">
      <c r="A8848">
        <v>2025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  <c r="M8848" t="str">
        <f t="shared" si="552"/>
        <v>46-60</v>
      </c>
      <c r="N8848" t="str">
        <f t="shared" si="553"/>
        <v>Medium</v>
      </c>
      <c r="O8848" t="str">
        <f t="shared" si="554"/>
        <v>Zero Balance</v>
      </c>
      <c r="P8848" t="str">
        <f t="shared" si="555"/>
        <v>New</v>
      </c>
    </row>
    <row r="8849" spans="1:16" x14ac:dyDescent="0.25">
      <c r="A8849">
        <v>2025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  <c r="M8849" t="str">
        <f t="shared" si="552"/>
        <v>30-45</v>
      </c>
      <c r="N8849" t="str">
        <f t="shared" si="553"/>
        <v>Low</v>
      </c>
      <c r="O8849" t="str">
        <f t="shared" si="554"/>
        <v>High Balance</v>
      </c>
      <c r="P8849" t="str">
        <f t="shared" si="555"/>
        <v>Long-term</v>
      </c>
    </row>
    <row r="8850" spans="1:16" x14ac:dyDescent="0.25">
      <c r="A8850">
        <v>2025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  <c r="M8850" t="str">
        <f t="shared" si="552"/>
        <v>&lt;30</v>
      </c>
      <c r="N8850" t="str">
        <f t="shared" si="553"/>
        <v>Medium</v>
      </c>
      <c r="O8850" t="str">
        <f t="shared" si="554"/>
        <v>Low Balance</v>
      </c>
      <c r="P8850" t="str">
        <f t="shared" si="555"/>
        <v>New</v>
      </c>
    </row>
    <row r="8851" spans="1:16" x14ac:dyDescent="0.25">
      <c r="A8851">
        <v>2025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  <c r="M8851" t="str">
        <f t="shared" si="552"/>
        <v>30-45</v>
      </c>
      <c r="N8851" t="str">
        <f t="shared" si="553"/>
        <v>Medium</v>
      </c>
      <c r="O8851" t="str">
        <f t="shared" si="554"/>
        <v>Low Balance</v>
      </c>
      <c r="P8851" t="str">
        <f t="shared" si="555"/>
        <v>Mid-term</v>
      </c>
    </row>
    <row r="8852" spans="1:16" x14ac:dyDescent="0.25">
      <c r="A8852">
        <v>2025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  <c r="M8852" t="str">
        <f t="shared" si="552"/>
        <v>46-60</v>
      </c>
      <c r="N8852" t="str">
        <f t="shared" si="553"/>
        <v>Medium</v>
      </c>
      <c r="O8852" t="str">
        <f t="shared" si="554"/>
        <v>Zero Balance</v>
      </c>
      <c r="P8852" t="str">
        <f t="shared" si="555"/>
        <v>Mid-term</v>
      </c>
    </row>
    <row r="8853" spans="1:16" x14ac:dyDescent="0.25">
      <c r="A8853">
        <v>2025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  <c r="M8853" t="str">
        <f t="shared" si="552"/>
        <v>30-45</v>
      </c>
      <c r="N8853" t="str">
        <f t="shared" si="553"/>
        <v>High</v>
      </c>
      <c r="O8853" t="str">
        <f t="shared" si="554"/>
        <v>High Balance</v>
      </c>
      <c r="P8853" t="str">
        <f t="shared" si="555"/>
        <v>Mid-term</v>
      </c>
    </row>
    <row r="8854" spans="1:16" x14ac:dyDescent="0.25">
      <c r="A8854">
        <v>2025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  <c r="M8854" t="str">
        <f t="shared" si="552"/>
        <v>30-45</v>
      </c>
      <c r="N8854" t="str">
        <f t="shared" si="553"/>
        <v>High</v>
      </c>
      <c r="O8854" t="str">
        <f t="shared" si="554"/>
        <v>Low Balance</v>
      </c>
      <c r="P8854" t="str">
        <f t="shared" si="555"/>
        <v>Long-term</v>
      </c>
    </row>
    <row r="8855" spans="1:16" x14ac:dyDescent="0.25">
      <c r="A8855">
        <v>2025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  <c r="M8855" t="str">
        <f t="shared" si="552"/>
        <v>30-45</v>
      </c>
      <c r="N8855" t="str">
        <f t="shared" si="553"/>
        <v>Medium</v>
      </c>
      <c r="O8855" t="str">
        <f t="shared" si="554"/>
        <v>Low Balance</v>
      </c>
      <c r="P8855" t="str">
        <f t="shared" si="555"/>
        <v>New</v>
      </c>
    </row>
    <row r="8856" spans="1:16" x14ac:dyDescent="0.25">
      <c r="A8856">
        <v>2025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  <c r="M8856" t="str">
        <f t="shared" si="552"/>
        <v>30-45</v>
      </c>
      <c r="N8856" t="str">
        <f t="shared" si="553"/>
        <v>Medium</v>
      </c>
      <c r="O8856" t="str">
        <f t="shared" si="554"/>
        <v>Zero Balance</v>
      </c>
      <c r="P8856" t="str">
        <f t="shared" si="555"/>
        <v>Mid-term</v>
      </c>
    </row>
    <row r="8857" spans="1:16" x14ac:dyDescent="0.25">
      <c r="A8857">
        <v>2025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  <c r="M8857" t="str">
        <f t="shared" si="552"/>
        <v>30-45</v>
      </c>
      <c r="N8857" t="str">
        <f t="shared" si="553"/>
        <v>Medium</v>
      </c>
      <c r="O8857" t="str">
        <f t="shared" si="554"/>
        <v>High Balance</v>
      </c>
      <c r="P8857" t="str">
        <f t="shared" si="555"/>
        <v>Long-term</v>
      </c>
    </row>
    <row r="8858" spans="1:16" x14ac:dyDescent="0.25">
      <c r="A8858">
        <v>2025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  <c r="M8858" t="str">
        <f t="shared" si="552"/>
        <v>&lt;30</v>
      </c>
      <c r="N8858" t="str">
        <f t="shared" si="553"/>
        <v>High</v>
      </c>
      <c r="O8858" t="str">
        <f t="shared" si="554"/>
        <v>Zero Balance</v>
      </c>
      <c r="P8858" t="str">
        <f t="shared" si="555"/>
        <v>Mid-term</v>
      </c>
    </row>
    <row r="8859" spans="1:16" x14ac:dyDescent="0.25">
      <c r="A8859">
        <v>2025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  <c r="M8859" t="str">
        <f t="shared" si="552"/>
        <v>30-45</v>
      </c>
      <c r="N8859" t="str">
        <f t="shared" si="553"/>
        <v>Medium</v>
      </c>
      <c r="O8859" t="str">
        <f t="shared" si="554"/>
        <v>Zero Balance</v>
      </c>
      <c r="P8859" t="str">
        <f t="shared" si="555"/>
        <v>Mid-term</v>
      </c>
    </row>
    <row r="8860" spans="1:16" x14ac:dyDescent="0.25">
      <c r="A8860">
        <v>2025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  <c r="M8860" t="str">
        <f t="shared" si="552"/>
        <v>30-45</v>
      </c>
      <c r="N8860" t="str">
        <f t="shared" si="553"/>
        <v>High</v>
      </c>
      <c r="O8860" t="str">
        <f t="shared" si="554"/>
        <v>Zero Balance</v>
      </c>
      <c r="P8860" t="str">
        <f t="shared" si="555"/>
        <v>New</v>
      </c>
    </row>
    <row r="8861" spans="1:16" x14ac:dyDescent="0.25">
      <c r="A8861">
        <v>2025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  <c r="M8861" t="str">
        <f t="shared" si="552"/>
        <v>30-45</v>
      </c>
      <c r="N8861" t="str">
        <f t="shared" si="553"/>
        <v>High</v>
      </c>
      <c r="O8861" t="str">
        <f t="shared" si="554"/>
        <v>Zero Balance</v>
      </c>
      <c r="P8861" t="str">
        <f t="shared" si="555"/>
        <v>Long-term</v>
      </c>
    </row>
    <row r="8862" spans="1:16" x14ac:dyDescent="0.25">
      <c r="A8862">
        <v>2025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  <c r="M8862" t="str">
        <f t="shared" si="552"/>
        <v>&lt;30</v>
      </c>
      <c r="N8862" t="str">
        <f t="shared" si="553"/>
        <v>High</v>
      </c>
      <c r="O8862" t="str">
        <f t="shared" si="554"/>
        <v>High Balance</v>
      </c>
      <c r="P8862" t="str">
        <f t="shared" si="555"/>
        <v>Mid-term</v>
      </c>
    </row>
    <row r="8863" spans="1:16" x14ac:dyDescent="0.25">
      <c r="A8863">
        <v>2025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  <c r="M8863" t="str">
        <f t="shared" si="552"/>
        <v>30-45</v>
      </c>
      <c r="N8863" t="str">
        <f t="shared" si="553"/>
        <v>Medium</v>
      </c>
      <c r="O8863" t="str">
        <f t="shared" si="554"/>
        <v>High Balance</v>
      </c>
      <c r="P8863" t="str">
        <f t="shared" si="555"/>
        <v>Mid-term</v>
      </c>
    </row>
    <row r="8864" spans="1:16" x14ac:dyDescent="0.25">
      <c r="A8864">
        <v>2025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  <c r="M8864" t="str">
        <f t="shared" si="552"/>
        <v>46-60</v>
      </c>
      <c r="N8864" t="str">
        <f t="shared" si="553"/>
        <v>High</v>
      </c>
      <c r="O8864" t="str">
        <f t="shared" si="554"/>
        <v>High Balance</v>
      </c>
      <c r="P8864" t="str">
        <f t="shared" si="555"/>
        <v>New</v>
      </c>
    </row>
    <row r="8865" spans="1:16" x14ac:dyDescent="0.25">
      <c r="A8865">
        <v>2025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  <c r="M8865" t="str">
        <f t="shared" si="552"/>
        <v>30-45</v>
      </c>
      <c r="N8865" t="str">
        <f t="shared" si="553"/>
        <v>Medium</v>
      </c>
      <c r="O8865" t="str">
        <f t="shared" si="554"/>
        <v>Low Balance</v>
      </c>
      <c r="P8865" t="str">
        <f t="shared" si="555"/>
        <v>Long-term</v>
      </c>
    </row>
    <row r="8866" spans="1:16" x14ac:dyDescent="0.25">
      <c r="A8866">
        <v>2025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  <c r="M8866" t="str">
        <f t="shared" si="552"/>
        <v>&lt;30</v>
      </c>
      <c r="N8866" t="str">
        <f t="shared" si="553"/>
        <v>High</v>
      </c>
      <c r="O8866" t="str">
        <f t="shared" si="554"/>
        <v>Zero Balance</v>
      </c>
      <c r="P8866" t="str">
        <f t="shared" si="555"/>
        <v>Mid-term</v>
      </c>
    </row>
    <row r="8867" spans="1:16" x14ac:dyDescent="0.25">
      <c r="A8867">
        <v>2025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  <c r="M8867" t="str">
        <f t="shared" si="552"/>
        <v>60+</v>
      </c>
      <c r="N8867" t="str">
        <f t="shared" si="553"/>
        <v>Medium</v>
      </c>
      <c r="O8867" t="str">
        <f t="shared" si="554"/>
        <v>Zero Balance</v>
      </c>
      <c r="P8867" t="str">
        <f t="shared" si="555"/>
        <v>New</v>
      </c>
    </row>
    <row r="8868" spans="1:16" x14ac:dyDescent="0.25">
      <c r="A8868">
        <v>2025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  <c r="M8868" t="str">
        <f t="shared" si="552"/>
        <v>30-45</v>
      </c>
      <c r="N8868" t="str">
        <f t="shared" si="553"/>
        <v>Medium</v>
      </c>
      <c r="O8868" t="str">
        <f t="shared" si="554"/>
        <v>High Balance</v>
      </c>
      <c r="P8868" t="str">
        <f t="shared" si="555"/>
        <v>New</v>
      </c>
    </row>
    <row r="8869" spans="1:16" x14ac:dyDescent="0.25">
      <c r="A8869">
        <v>2025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  <c r="M8869" t="str">
        <f t="shared" si="552"/>
        <v>30-45</v>
      </c>
      <c r="N8869" t="str">
        <f t="shared" si="553"/>
        <v>Low</v>
      </c>
      <c r="O8869" t="str">
        <f t="shared" si="554"/>
        <v>High Balance</v>
      </c>
      <c r="P8869" t="str">
        <f t="shared" si="555"/>
        <v>Mid-term</v>
      </c>
    </row>
    <row r="8870" spans="1:16" x14ac:dyDescent="0.25">
      <c r="A8870">
        <v>2025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  <c r="M8870" t="str">
        <f t="shared" si="552"/>
        <v>30-45</v>
      </c>
      <c r="N8870" t="str">
        <f t="shared" si="553"/>
        <v>Medium</v>
      </c>
      <c r="O8870" t="str">
        <f t="shared" si="554"/>
        <v>Zero Balance</v>
      </c>
      <c r="P8870" t="str">
        <f t="shared" si="555"/>
        <v>Long-term</v>
      </c>
    </row>
    <row r="8871" spans="1:16" x14ac:dyDescent="0.25">
      <c r="A8871">
        <v>2025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  <c r="M8871" t="str">
        <f t="shared" si="552"/>
        <v>30-45</v>
      </c>
      <c r="N8871" t="str">
        <f t="shared" si="553"/>
        <v>Medium</v>
      </c>
      <c r="O8871" t="str">
        <f t="shared" si="554"/>
        <v>High Balance</v>
      </c>
      <c r="P8871" t="str">
        <f t="shared" si="555"/>
        <v>New</v>
      </c>
    </row>
    <row r="8872" spans="1:16" x14ac:dyDescent="0.25">
      <c r="A8872">
        <v>2025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  <c r="M8872" t="str">
        <f t="shared" si="552"/>
        <v>30-45</v>
      </c>
      <c r="N8872" t="str">
        <f t="shared" si="553"/>
        <v>Medium</v>
      </c>
      <c r="O8872" t="str">
        <f t="shared" si="554"/>
        <v>High Balance</v>
      </c>
      <c r="P8872" t="str">
        <f t="shared" si="555"/>
        <v>Long-term</v>
      </c>
    </row>
    <row r="8873" spans="1:16" x14ac:dyDescent="0.25">
      <c r="A8873">
        <v>2025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  <c r="M8873" t="str">
        <f t="shared" si="552"/>
        <v>30-45</v>
      </c>
      <c r="N8873" t="str">
        <f t="shared" si="553"/>
        <v>Low</v>
      </c>
      <c r="O8873" t="str">
        <f t="shared" si="554"/>
        <v>Zero Balance</v>
      </c>
      <c r="P8873" t="str">
        <f t="shared" si="555"/>
        <v>New</v>
      </c>
    </row>
    <row r="8874" spans="1:16" x14ac:dyDescent="0.25">
      <c r="A8874">
        <v>2025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  <c r="M8874" t="str">
        <f t="shared" si="552"/>
        <v>30-45</v>
      </c>
      <c r="N8874" t="str">
        <f t="shared" si="553"/>
        <v>Medium</v>
      </c>
      <c r="O8874" t="str">
        <f t="shared" si="554"/>
        <v>Zero Balance</v>
      </c>
      <c r="P8874" t="str">
        <f t="shared" si="555"/>
        <v>New</v>
      </c>
    </row>
    <row r="8875" spans="1:16" x14ac:dyDescent="0.25">
      <c r="A8875">
        <v>2025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  <c r="M8875" t="str">
        <f t="shared" si="552"/>
        <v>30-45</v>
      </c>
      <c r="N8875" t="str">
        <f t="shared" si="553"/>
        <v>Medium</v>
      </c>
      <c r="O8875" t="str">
        <f t="shared" si="554"/>
        <v>High Balance</v>
      </c>
      <c r="P8875" t="str">
        <f t="shared" si="555"/>
        <v>New</v>
      </c>
    </row>
    <row r="8876" spans="1:16" x14ac:dyDescent="0.25">
      <c r="A8876">
        <v>2025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  <c r="M8876" t="str">
        <f t="shared" si="552"/>
        <v>46-60</v>
      </c>
      <c r="N8876" t="str">
        <f t="shared" si="553"/>
        <v>Medium</v>
      </c>
      <c r="O8876" t="str">
        <f t="shared" si="554"/>
        <v>Low Balance</v>
      </c>
      <c r="P8876" t="str">
        <f t="shared" si="555"/>
        <v>Mid-term</v>
      </c>
    </row>
    <row r="8877" spans="1:16" x14ac:dyDescent="0.25">
      <c r="A8877">
        <v>2025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  <c r="M8877" t="str">
        <f t="shared" si="552"/>
        <v>30-45</v>
      </c>
      <c r="N8877" t="str">
        <f t="shared" si="553"/>
        <v>High</v>
      </c>
      <c r="O8877" t="str">
        <f t="shared" si="554"/>
        <v>Low Balance</v>
      </c>
      <c r="P8877" t="str">
        <f t="shared" si="555"/>
        <v>Long-term</v>
      </c>
    </row>
    <row r="8878" spans="1:16" x14ac:dyDescent="0.25">
      <c r="A8878">
        <v>2025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  <c r="M8878" t="str">
        <f t="shared" si="552"/>
        <v>46-60</v>
      </c>
      <c r="N8878" t="str">
        <f t="shared" si="553"/>
        <v>Medium</v>
      </c>
      <c r="O8878" t="str">
        <f t="shared" si="554"/>
        <v>High Balance</v>
      </c>
      <c r="P8878" t="str">
        <f t="shared" si="555"/>
        <v>New</v>
      </c>
    </row>
    <row r="8879" spans="1:16" x14ac:dyDescent="0.25">
      <c r="A8879">
        <v>2025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  <c r="M8879" t="str">
        <f t="shared" si="552"/>
        <v>&lt;30</v>
      </c>
      <c r="N8879" t="str">
        <f t="shared" si="553"/>
        <v>High</v>
      </c>
      <c r="O8879" t="str">
        <f t="shared" si="554"/>
        <v>Low Balance</v>
      </c>
      <c r="P8879" t="str">
        <f t="shared" si="555"/>
        <v>New</v>
      </c>
    </row>
    <row r="8880" spans="1:16" x14ac:dyDescent="0.25">
      <c r="A8880">
        <v>2025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  <c r="M8880" t="str">
        <f t="shared" si="552"/>
        <v>46-60</v>
      </c>
      <c r="N8880" t="str">
        <f t="shared" si="553"/>
        <v>Medium</v>
      </c>
      <c r="O8880" t="str">
        <f t="shared" si="554"/>
        <v>High Balance</v>
      </c>
      <c r="P8880" t="str">
        <f t="shared" si="555"/>
        <v>Long-term</v>
      </c>
    </row>
    <row r="8881" spans="1:16" x14ac:dyDescent="0.25">
      <c r="A8881">
        <v>2025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  <c r="M8881" t="str">
        <f t="shared" si="552"/>
        <v>30-45</v>
      </c>
      <c r="N8881" t="str">
        <f t="shared" si="553"/>
        <v>High</v>
      </c>
      <c r="O8881" t="str">
        <f t="shared" si="554"/>
        <v>Zero Balance</v>
      </c>
      <c r="P8881" t="str">
        <f t="shared" si="555"/>
        <v>New</v>
      </c>
    </row>
    <row r="8882" spans="1:16" x14ac:dyDescent="0.25">
      <c r="A8882">
        <v>2025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  <c r="M8882" t="str">
        <f t="shared" si="552"/>
        <v>46-60</v>
      </c>
      <c r="N8882" t="str">
        <f t="shared" si="553"/>
        <v>Medium</v>
      </c>
      <c r="O8882" t="str">
        <f t="shared" si="554"/>
        <v>Zero Balance</v>
      </c>
      <c r="P8882" t="str">
        <f t="shared" si="555"/>
        <v>Mid-term</v>
      </c>
    </row>
    <row r="8883" spans="1:16" x14ac:dyDescent="0.25">
      <c r="A8883">
        <v>2025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  <c r="M8883" t="str">
        <f t="shared" si="552"/>
        <v>&lt;30</v>
      </c>
      <c r="N8883" t="str">
        <f t="shared" si="553"/>
        <v>High</v>
      </c>
      <c r="O8883" t="str">
        <f t="shared" si="554"/>
        <v>Low Balance</v>
      </c>
      <c r="P8883" t="str">
        <f t="shared" si="555"/>
        <v>New</v>
      </c>
    </row>
    <row r="8884" spans="1:16" x14ac:dyDescent="0.25">
      <c r="A8884">
        <v>2025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  <c r="M8884" t="str">
        <f t="shared" si="552"/>
        <v>30-45</v>
      </c>
      <c r="N8884" t="str">
        <f t="shared" si="553"/>
        <v>High</v>
      </c>
      <c r="O8884" t="str">
        <f t="shared" si="554"/>
        <v>Zero Balance</v>
      </c>
      <c r="P8884" t="str">
        <f t="shared" si="555"/>
        <v>New</v>
      </c>
    </row>
    <row r="8885" spans="1:16" x14ac:dyDescent="0.25">
      <c r="A8885">
        <v>2025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  <c r="M8885" t="str">
        <f t="shared" si="552"/>
        <v>&lt;30</v>
      </c>
      <c r="N8885" t="str">
        <f t="shared" si="553"/>
        <v>Low</v>
      </c>
      <c r="O8885" t="str">
        <f t="shared" si="554"/>
        <v>Zero Balance</v>
      </c>
      <c r="P8885" t="str">
        <f t="shared" si="555"/>
        <v>Mid-term</v>
      </c>
    </row>
    <row r="8886" spans="1:16" x14ac:dyDescent="0.25">
      <c r="A8886">
        <v>2025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  <c r="M8886" t="str">
        <f t="shared" si="552"/>
        <v>30-45</v>
      </c>
      <c r="N8886" t="str">
        <f t="shared" si="553"/>
        <v>Medium</v>
      </c>
      <c r="O8886" t="str">
        <f t="shared" si="554"/>
        <v>Low Balance</v>
      </c>
      <c r="P8886" t="str">
        <f t="shared" si="555"/>
        <v>New</v>
      </c>
    </row>
    <row r="8887" spans="1:16" x14ac:dyDescent="0.25">
      <c r="A8887">
        <v>2025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  <c r="M8887" t="str">
        <f t="shared" si="552"/>
        <v>30-45</v>
      </c>
      <c r="N8887" t="str">
        <f t="shared" si="553"/>
        <v>Medium</v>
      </c>
      <c r="O8887" t="str">
        <f t="shared" si="554"/>
        <v>High Balance</v>
      </c>
      <c r="P8887" t="str">
        <f t="shared" si="555"/>
        <v>Mid-term</v>
      </c>
    </row>
    <row r="8888" spans="1:16" x14ac:dyDescent="0.25">
      <c r="A8888">
        <v>2025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  <c r="M8888" t="str">
        <f t="shared" si="552"/>
        <v>30-45</v>
      </c>
      <c r="N8888" t="str">
        <f t="shared" si="553"/>
        <v>Medium</v>
      </c>
      <c r="O8888" t="str">
        <f t="shared" si="554"/>
        <v>Zero Balance</v>
      </c>
      <c r="P8888" t="str">
        <f t="shared" si="555"/>
        <v>New</v>
      </c>
    </row>
    <row r="8889" spans="1:16" x14ac:dyDescent="0.25">
      <c r="A8889">
        <v>2025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  <c r="M8889" t="str">
        <f t="shared" si="552"/>
        <v>30-45</v>
      </c>
      <c r="N8889" t="str">
        <f t="shared" si="553"/>
        <v>Low</v>
      </c>
      <c r="O8889" t="str">
        <f t="shared" si="554"/>
        <v>High Balance</v>
      </c>
      <c r="P8889" t="str">
        <f t="shared" si="555"/>
        <v>Long-term</v>
      </c>
    </row>
    <row r="8890" spans="1:16" x14ac:dyDescent="0.25">
      <c r="A8890">
        <v>2025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  <c r="M8890" t="str">
        <f t="shared" si="552"/>
        <v>&lt;30</v>
      </c>
      <c r="N8890" t="str">
        <f t="shared" si="553"/>
        <v>High</v>
      </c>
      <c r="O8890" t="str">
        <f t="shared" si="554"/>
        <v>High Balance</v>
      </c>
      <c r="P8890" t="str">
        <f t="shared" si="555"/>
        <v>New</v>
      </c>
    </row>
    <row r="8891" spans="1:16" x14ac:dyDescent="0.25">
      <c r="A8891">
        <v>2025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  <c r="M8891" t="str">
        <f t="shared" si="552"/>
        <v>30-45</v>
      </c>
      <c r="N8891" t="str">
        <f t="shared" si="553"/>
        <v>Medium</v>
      </c>
      <c r="O8891" t="str">
        <f t="shared" si="554"/>
        <v>High Balance</v>
      </c>
      <c r="P8891" t="str">
        <f t="shared" si="555"/>
        <v>Long-term</v>
      </c>
    </row>
    <row r="8892" spans="1:16" x14ac:dyDescent="0.25">
      <c r="A8892">
        <v>2025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  <c r="M8892" t="str">
        <f t="shared" si="552"/>
        <v>46-60</v>
      </c>
      <c r="N8892" t="str">
        <f t="shared" si="553"/>
        <v>Medium</v>
      </c>
      <c r="O8892" t="str">
        <f t="shared" si="554"/>
        <v>High Balance</v>
      </c>
      <c r="P8892" t="str">
        <f t="shared" si="555"/>
        <v>Long-term</v>
      </c>
    </row>
    <row r="8893" spans="1:16" x14ac:dyDescent="0.25">
      <c r="A8893">
        <v>2025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  <c r="M8893" t="str">
        <f t="shared" si="552"/>
        <v>30-45</v>
      </c>
      <c r="N8893" t="str">
        <f t="shared" si="553"/>
        <v>Medium</v>
      </c>
      <c r="O8893" t="str">
        <f t="shared" si="554"/>
        <v>High Balance</v>
      </c>
      <c r="P8893" t="str">
        <f t="shared" si="555"/>
        <v>Mid-term</v>
      </c>
    </row>
    <row r="8894" spans="1:16" x14ac:dyDescent="0.25">
      <c r="A8894">
        <v>2025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  <c r="M8894" t="str">
        <f t="shared" si="552"/>
        <v>30-45</v>
      </c>
      <c r="N8894" t="str">
        <f t="shared" si="553"/>
        <v>Medium</v>
      </c>
      <c r="O8894" t="str">
        <f t="shared" si="554"/>
        <v>Zero Balance</v>
      </c>
      <c r="P8894" t="str">
        <f t="shared" si="555"/>
        <v>Mid-term</v>
      </c>
    </row>
    <row r="8895" spans="1:16" x14ac:dyDescent="0.25">
      <c r="A8895">
        <v>2025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  <c r="M8895" t="str">
        <f t="shared" si="552"/>
        <v>46-60</v>
      </c>
      <c r="N8895" t="str">
        <f t="shared" si="553"/>
        <v>Medium</v>
      </c>
      <c r="O8895" t="str">
        <f t="shared" si="554"/>
        <v>Zero Balance</v>
      </c>
      <c r="P8895" t="str">
        <f t="shared" si="555"/>
        <v>Long-term</v>
      </c>
    </row>
    <row r="8896" spans="1:16" x14ac:dyDescent="0.25">
      <c r="A8896">
        <v>2025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  <c r="M8896" t="str">
        <f t="shared" si="552"/>
        <v>30-45</v>
      </c>
      <c r="N8896" t="str">
        <f t="shared" si="553"/>
        <v>Low</v>
      </c>
      <c r="O8896" t="str">
        <f t="shared" si="554"/>
        <v>Low Balance</v>
      </c>
      <c r="P8896" t="str">
        <f t="shared" si="555"/>
        <v>New</v>
      </c>
    </row>
    <row r="8897" spans="1:16" x14ac:dyDescent="0.25">
      <c r="A8897">
        <v>2025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  <c r="M8897" t="str">
        <f t="shared" si="552"/>
        <v>30-45</v>
      </c>
      <c r="N8897" t="str">
        <f t="shared" si="553"/>
        <v>Medium</v>
      </c>
      <c r="O8897" t="str">
        <f t="shared" si="554"/>
        <v>High Balance</v>
      </c>
      <c r="P8897" t="str">
        <f t="shared" si="555"/>
        <v>Long-term</v>
      </c>
    </row>
    <row r="8898" spans="1:16" x14ac:dyDescent="0.25">
      <c r="A8898">
        <v>2025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  <c r="M8898" t="str">
        <f t="shared" si="552"/>
        <v>30-45</v>
      </c>
      <c r="N8898" t="str">
        <f t="shared" si="553"/>
        <v>High</v>
      </c>
      <c r="O8898" t="str">
        <f t="shared" si="554"/>
        <v>Zero Balance</v>
      </c>
      <c r="P8898" t="str">
        <f t="shared" si="555"/>
        <v>New</v>
      </c>
    </row>
    <row r="8899" spans="1:16" x14ac:dyDescent="0.25">
      <c r="A8899">
        <v>2025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  <c r="M8899" t="str">
        <f t="shared" ref="M8899:M8962" si="556">IF(E8899&lt;30,"&lt;30",IF(E8899&lt;=45,"30-45",IF(E8899&lt;=60,"46-60","60+")))</f>
        <v>46-60</v>
      </c>
      <c r="N8899" t="str">
        <f t="shared" ref="N8899:N8962" si="557">IF(B8899&lt;500,"Low",IF(B8899&lt;700,"Medium","High"))</f>
        <v>Medium</v>
      </c>
      <c r="O8899" t="str">
        <f t="shared" ref="O8899:O8962" si="558">IF(G8899=0,"Zero Balance",IF(G8899&lt;100000,"Low Balance","High Balance"))</f>
        <v>High Balance</v>
      </c>
      <c r="P8899" t="str">
        <f t="shared" ref="P8899:P8962" si="559">IF(F8899&lt;=3,"New",IF(F8899&lt;=7,"Mid-term","Long-term"))</f>
        <v>Long-term</v>
      </c>
    </row>
    <row r="8900" spans="1:16" x14ac:dyDescent="0.25">
      <c r="A8900">
        <v>2025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  <c r="M8900" t="str">
        <f t="shared" si="556"/>
        <v>30-45</v>
      </c>
      <c r="N8900" t="str">
        <f t="shared" si="557"/>
        <v>High</v>
      </c>
      <c r="O8900" t="str">
        <f t="shared" si="558"/>
        <v>High Balance</v>
      </c>
      <c r="P8900" t="str">
        <f t="shared" si="559"/>
        <v>Mid-term</v>
      </c>
    </row>
    <row r="8901" spans="1:16" x14ac:dyDescent="0.25">
      <c r="A8901">
        <v>2025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  <c r="M8901" t="str">
        <f t="shared" si="556"/>
        <v>30-45</v>
      </c>
      <c r="N8901" t="str">
        <f t="shared" si="557"/>
        <v>Medium</v>
      </c>
      <c r="O8901" t="str">
        <f t="shared" si="558"/>
        <v>Zero Balance</v>
      </c>
      <c r="P8901" t="str">
        <f t="shared" si="559"/>
        <v>New</v>
      </c>
    </row>
    <row r="8902" spans="1:16" x14ac:dyDescent="0.25">
      <c r="A8902">
        <v>2025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  <c r="M8902" t="str">
        <f t="shared" si="556"/>
        <v>60+</v>
      </c>
      <c r="N8902" t="str">
        <f t="shared" si="557"/>
        <v>Medium</v>
      </c>
      <c r="O8902" t="str">
        <f t="shared" si="558"/>
        <v>Zero Balance</v>
      </c>
      <c r="P8902" t="str">
        <f t="shared" si="559"/>
        <v>New</v>
      </c>
    </row>
    <row r="8903" spans="1:16" x14ac:dyDescent="0.25">
      <c r="A8903">
        <v>2025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  <c r="M8903" t="str">
        <f t="shared" si="556"/>
        <v>46-60</v>
      </c>
      <c r="N8903" t="str">
        <f t="shared" si="557"/>
        <v>Medium</v>
      </c>
      <c r="O8903" t="str">
        <f t="shared" si="558"/>
        <v>High Balance</v>
      </c>
      <c r="P8903" t="str">
        <f t="shared" si="559"/>
        <v>New</v>
      </c>
    </row>
    <row r="8904" spans="1:16" x14ac:dyDescent="0.25">
      <c r="A8904">
        <v>2025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  <c r="M8904" t="str">
        <f t="shared" si="556"/>
        <v>30-45</v>
      </c>
      <c r="N8904" t="str">
        <f t="shared" si="557"/>
        <v>Low</v>
      </c>
      <c r="O8904" t="str">
        <f t="shared" si="558"/>
        <v>Zero Balance</v>
      </c>
      <c r="P8904" t="str">
        <f t="shared" si="559"/>
        <v>Mid-term</v>
      </c>
    </row>
    <row r="8905" spans="1:16" x14ac:dyDescent="0.25">
      <c r="A8905">
        <v>2025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  <c r="M8905" t="str">
        <f t="shared" si="556"/>
        <v>30-45</v>
      </c>
      <c r="N8905" t="str">
        <f t="shared" si="557"/>
        <v>Medium</v>
      </c>
      <c r="O8905" t="str">
        <f t="shared" si="558"/>
        <v>High Balance</v>
      </c>
      <c r="P8905" t="str">
        <f t="shared" si="559"/>
        <v>Long-term</v>
      </c>
    </row>
    <row r="8906" spans="1:16" x14ac:dyDescent="0.25">
      <c r="A8906">
        <v>2025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  <c r="M8906" t="str">
        <f t="shared" si="556"/>
        <v>30-45</v>
      </c>
      <c r="N8906" t="str">
        <f t="shared" si="557"/>
        <v>Medium</v>
      </c>
      <c r="O8906" t="str">
        <f t="shared" si="558"/>
        <v>Low Balance</v>
      </c>
      <c r="P8906" t="str">
        <f t="shared" si="559"/>
        <v>Mid-term</v>
      </c>
    </row>
    <row r="8907" spans="1:16" x14ac:dyDescent="0.25">
      <c r="A8907">
        <v>2025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  <c r="M8907" t="str">
        <f t="shared" si="556"/>
        <v>30-45</v>
      </c>
      <c r="N8907" t="str">
        <f t="shared" si="557"/>
        <v>Medium</v>
      </c>
      <c r="O8907" t="str">
        <f t="shared" si="558"/>
        <v>Zero Balance</v>
      </c>
      <c r="P8907" t="str">
        <f t="shared" si="559"/>
        <v>New</v>
      </c>
    </row>
    <row r="8908" spans="1:16" x14ac:dyDescent="0.25">
      <c r="A8908">
        <v>2025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  <c r="M8908" t="str">
        <f t="shared" si="556"/>
        <v>30-45</v>
      </c>
      <c r="N8908" t="str">
        <f t="shared" si="557"/>
        <v>Medium</v>
      </c>
      <c r="O8908" t="str">
        <f t="shared" si="558"/>
        <v>Zero Balance</v>
      </c>
      <c r="P8908" t="str">
        <f t="shared" si="559"/>
        <v>New</v>
      </c>
    </row>
    <row r="8909" spans="1:16" x14ac:dyDescent="0.25">
      <c r="A8909">
        <v>2025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  <c r="M8909" t="str">
        <f t="shared" si="556"/>
        <v>30-45</v>
      </c>
      <c r="N8909" t="str">
        <f t="shared" si="557"/>
        <v>High</v>
      </c>
      <c r="O8909" t="str">
        <f t="shared" si="558"/>
        <v>High Balance</v>
      </c>
      <c r="P8909" t="str">
        <f t="shared" si="559"/>
        <v>New</v>
      </c>
    </row>
    <row r="8910" spans="1:16" x14ac:dyDescent="0.25">
      <c r="A8910">
        <v>2025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  <c r="M8910" t="str">
        <f t="shared" si="556"/>
        <v>30-45</v>
      </c>
      <c r="N8910" t="str">
        <f t="shared" si="557"/>
        <v>Medium</v>
      </c>
      <c r="O8910" t="str">
        <f t="shared" si="558"/>
        <v>High Balance</v>
      </c>
      <c r="P8910" t="str">
        <f t="shared" si="559"/>
        <v>Long-term</v>
      </c>
    </row>
    <row r="8911" spans="1:16" x14ac:dyDescent="0.25">
      <c r="A8911">
        <v>2025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  <c r="M8911" t="str">
        <f t="shared" si="556"/>
        <v>&lt;30</v>
      </c>
      <c r="N8911" t="str">
        <f t="shared" si="557"/>
        <v>Medium</v>
      </c>
      <c r="O8911" t="str">
        <f t="shared" si="558"/>
        <v>Zero Balance</v>
      </c>
      <c r="P8911" t="str">
        <f t="shared" si="559"/>
        <v>Long-term</v>
      </c>
    </row>
    <row r="8912" spans="1:16" x14ac:dyDescent="0.25">
      <c r="A8912">
        <v>2025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  <c r="M8912" t="str">
        <f t="shared" si="556"/>
        <v>46-60</v>
      </c>
      <c r="N8912" t="str">
        <f t="shared" si="557"/>
        <v>Medium</v>
      </c>
      <c r="O8912" t="str">
        <f t="shared" si="558"/>
        <v>High Balance</v>
      </c>
      <c r="P8912" t="str">
        <f t="shared" si="559"/>
        <v>Mid-term</v>
      </c>
    </row>
    <row r="8913" spans="1:16" x14ac:dyDescent="0.25">
      <c r="A8913">
        <v>2025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  <c r="M8913" t="str">
        <f t="shared" si="556"/>
        <v>30-45</v>
      </c>
      <c r="N8913" t="str">
        <f t="shared" si="557"/>
        <v>High</v>
      </c>
      <c r="O8913" t="str">
        <f t="shared" si="558"/>
        <v>High Balance</v>
      </c>
      <c r="P8913" t="str">
        <f t="shared" si="559"/>
        <v>Long-term</v>
      </c>
    </row>
    <row r="8914" spans="1:16" x14ac:dyDescent="0.25">
      <c r="A8914">
        <v>2025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  <c r="M8914" t="str">
        <f t="shared" si="556"/>
        <v>&lt;30</v>
      </c>
      <c r="N8914" t="str">
        <f t="shared" si="557"/>
        <v>Medium</v>
      </c>
      <c r="O8914" t="str">
        <f t="shared" si="558"/>
        <v>High Balance</v>
      </c>
      <c r="P8914" t="str">
        <f t="shared" si="559"/>
        <v>Mid-term</v>
      </c>
    </row>
    <row r="8915" spans="1:16" x14ac:dyDescent="0.25">
      <c r="A8915">
        <v>2025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  <c r="M8915" t="str">
        <f t="shared" si="556"/>
        <v>30-45</v>
      </c>
      <c r="N8915" t="str">
        <f t="shared" si="557"/>
        <v>Low</v>
      </c>
      <c r="O8915" t="str">
        <f t="shared" si="558"/>
        <v>Zero Balance</v>
      </c>
      <c r="P8915" t="str">
        <f t="shared" si="559"/>
        <v>Mid-term</v>
      </c>
    </row>
    <row r="8916" spans="1:16" x14ac:dyDescent="0.25">
      <c r="A8916">
        <v>2025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  <c r="M8916" t="str">
        <f t="shared" si="556"/>
        <v>30-45</v>
      </c>
      <c r="N8916" t="str">
        <f t="shared" si="557"/>
        <v>Low</v>
      </c>
      <c r="O8916" t="str">
        <f t="shared" si="558"/>
        <v>Low Balance</v>
      </c>
      <c r="P8916" t="str">
        <f t="shared" si="559"/>
        <v>Mid-term</v>
      </c>
    </row>
    <row r="8917" spans="1:16" x14ac:dyDescent="0.25">
      <c r="A8917">
        <v>2025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  <c r="M8917" t="str">
        <f t="shared" si="556"/>
        <v>30-45</v>
      </c>
      <c r="N8917" t="str">
        <f t="shared" si="557"/>
        <v>Medium</v>
      </c>
      <c r="O8917" t="str">
        <f t="shared" si="558"/>
        <v>High Balance</v>
      </c>
      <c r="P8917" t="str">
        <f t="shared" si="559"/>
        <v>New</v>
      </c>
    </row>
    <row r="8918" spans="1:16" x14ac:dyDescent="0.25">
      <c r="A8918">
        <v>2025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  <c r="M8918" t="str">
        <f t="shared" si="556"/>
        <v>46-60</v>
      </c>
      <c r="N8918" t="str">
        <f t="shared" si="557"/>
        <v>Low</v>
      </c>
      <c r="O8918" t="str">
        <f t="shared" si="558"/>
        <v>Zero Balance</v>
      </c>
      <c r="P8918" t="str">
        <f t="shared" si="559"/>
        <v>Mid-term</v>
      </c>
    </row>
    <row r="8919" spans="1:16" x14ac:dyDescent="0.25">
      <c r="A8919">
        <v>2025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  <c r="M8919" t="str">
        <f t="shared" si="556"/>
        <v>60+</v>
      </c>
      <c r="N8919" t="str">
        <f t="shared" si="557"/>
        <v>Medium</v>
      </c>
      <c r="O8919" t="str">
        <f t="shared" si="558"/>
        <v>Zero Balance</v>
      </c>
      <c r="P8919" t="str">
        <f t="shared" si="559"/>
        <v>Mid-term</v>
      </c>
    </row>
    <row r="8920" spans="1:16" x14ac:dyDescent="0.25">
      <c r="A8920">
        <v>2025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  <c r="M8920" t="str">
        <f t="shared" si="556"/>
        <v>46-60</v>
      </c>
      <c r="N8920" t="str">
        <f t="shared" si="557"/>
        <v>Medium</v>
      </c>
      <c r="O8920" t="str">
        <f t="shared" si="558"/>
        <v>Zero Balance</v>
      </c>
      <c r="P8920" t="str">
        <f t="shared" si="559"/>
        <v>Mid-term</v>
      </c>
    </row>
    <row r="8921" spans="1:16" x14ac:dyDescent="0.25">
      <c r="A8921">
        <v>2025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  <c r="M8921" t="str">
        <f t="shared" si="556"/>
        <v>30-45</v>
      </c>
      <c r="N8921" t="str">
        <f t="shared" si="557"/>
        <v>Medium</v>
      </c>
      <c r="O8921" t="str">
        <f t="shared" si="558"/>
        <v>High Balance</v>
      </c>
      <c r="P8921" t="str">
        <f t="shared" si="559"/>
        <v>Long-term</v>
      </c>
    </row>
    <row r="8922" spans="1:16" x14ac:dyDescent="0.25">
      <c r="A8922">
        <v>2025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  <c r="M8922" t="str">
        <f t="shared" si="556"/>
        <v>30-45</v>
      </c>
      <c r="N8922" t="str">
        <f t="shared" si="557"/>
        <v>Medium</v>
      </c>
      <c r="O8922" t="str">
        <f t="shared" si="558"/>
        <v>Zero Balance</v>
      </c>
      <c r="P8922" t="str">
        <f t="shared" si="559"/>
        <v>New</v>
      </c>
    </row>
    <row r="8923" spans="1:16" x14ac:dyDescent="0.25">
      <c r="A8923">
        <v>2025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  <c r="M8923" t="str">
        <f t="shared" si="556"/>
        <v>30-45</v>
      </c>
      <c r="N8923" t="str">
        <f t="shared" si="557"/>
        <v>Low</v>
      </c>
      <c r="O8923" t="str">
        <f t="shared" si="558"/>
        <v>Zero Balance</v>
      </c>
      <c r="P8923" t="str">
        <f t="shared" si="559"/>
        <v>New</v>
      </c>
    </row>
    <row r="8924" spans="1:16" x14ac:dyDescent="0.25">
      <c r="A8924">
        <v>2025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  <c r="M8924" t="str">
        <f t="shared" si="556"/>
        <v>30-45</v>
      </c>
      <c r="N8924" t="str">
        <f t="shared" si="557"/>
        <v>Medium</v>
      </c>
      <c r="O8924" t="str">
        <f t="shared" si="558"/>
        <v>High Balance</v>
      </c>
      <c r="P8924" t="str">
        <f t="shared" si="559"/>
        <v>Long-term</v>
      </c>
    </row>
    <row r="8925" spans="1:16" x14ac:dyDescent="0.25">
      <c r="A8925">
        <v>2025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  <c r="M8925" t="str">
        <f t="shared" si="556"/>
        <v>46-60</v>
      </c>
      <c r="N8925" t="str">
        <f t="shared" si="557"/>
        <v>Medium</v>
      </c>
      <c r="O8925" t="str">
        <f t="shared" si="558"/>
        <v>High Balance</v>
      </c>
      <c r="P8925" t="str">
        <f t="shared" si="559"/>
        <v>Long-term</v>
      </c>
    </row>
    <row r="8926" spans="1:16" x14ac:dyDescent="0.25">
      <c r="A8926">
        <v>2025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  <c r="M8926" t="str">
        <f t="shared" si="556"/>
        <v>46-60</v>
      </c>
      <c r="N8926" t="str">
        <f t="shared" si="557"/>
        <v>Medium</v>
      </c>
      <c r="O8926" t="str">
        <f t="shared" si="558"/>
        <v>Zero Balance</v>
      </c>
      <c r="P8926" t="str">
        <f t="shared" si="559"/>
        <v>New</v>
      </c>
    </row>
    <row r="8927" spans="1:16" x14ac:dyDescent="0.25">
      <c r="A8927">
        <v>2025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  <c r="M8927" t="str">
        <f t="shared" si="556"/>
        <v>30-45</v>
      </c>
      <c r="N8927" t="str">
        <f t="shared" si="557"/>
        <v>Medium</v>
      </c>
      <c r="O8927" t="str">
        <f t="shared" si="558"/>
        <v>High Balance</v>
      </c>
      <c r="P8927" t="str">
        <f t="shared" si="559"/>
        <v>New</v>
      </c>
    </row>
    <row r="8928" spans="1:16" x14ac:dyDescent="0.25">
      <c r="A8928">
        <v>2025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  <c r="M8928" t="str">
        <f t="shared" si="556"/>
        <v>&lt;30</v>
      </c>
      <c r="N8928" t="str">
        <f t="shared" si="557"/>
        <v>Medium</v>
      </c>
      <c r="O8928" t="str">
        <f t="shared" si="558"/>
        <v>Zero Balance</v>
      </c>
      <c r="P8928" t="str">
        <f t="shared" si="559"/>
        <v>Long-term</v>
      </c>
    </row>
    <row r="8929" spans="1:16" x14ac:dyDescent="0.25">
      <c r="A8929">
        <v>2025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  <c r="M8929" t="str">
        <f t="shared" si="556"/>
        <v>30-45</v>
      </c>
      <c r="N8929" t="str">
        <f t="shared" si="557"/>
        <v>Medium</v>
      </c>
      <c r="O8929" t="str">
        <f t="shared" si="558"/>
        <v>Zero Balance</v>
      </c>
      <c r="P8929" t="str">
        <f t="shared" si="559"/>
        <v>New</v>
      </c>
    </row>
    <row r="8930" spans="1:16" x14ac:dyDescent="0.25">
      <c r="A8930">
        <v>2025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  <c r="M8930" t="str">
        <f t="shared" si="556"/>
        <v>&lt;30</v>
      </c>
      <c r="N8930" t="str">
        <f t="shared" si="557"/>
        <v>Medium</v>
      </c>
      <c r="O8930" t="str">
        <f t="shared" si="558"/>
        <v>Zero Balance</v>
      </c>
      <c r="P8930" t="str">
        <f t="shared" si="559"/>
        <v>New</v>
      </c>
    </row>
    <row r="8931" spans="1:16" x14ac:dyDescent="0.25">
      <c r="A8931">
        <v>2025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  <c r="M8931" t="str">
        <f t="shared" si="556"/>
        <v>30-45</v>
      </c>
      <c r="N8931" t="str">
        <f t="shared" si="557"/>
        <v>Medium</v>
      </c>
      <c r="O8931" t="str">
        <f t="shared" si="558"/>
        <v>Low Balance</v>
      </c>
      <c r="P8931" t="str">
        <f t="shared" si="559"/>
        <v>Mid-term</v>
      </c>
    </row>
    <row r="8932" spans="1:16" x14ac:dyDescent="0.25">
      <c r="A8932">
        <v>2025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  <c r="M8932" t="str">
        <f t="shared" si="556"/>
        <v>60+</v>
      </c>
      <c r="N8932" t="str">
        <f t="shared" si="557"/>
        <v>High</v>
      </c>
      <c r="O8932" t="str">
        <f t="shared" si="558"/>
        <v>High Balance</v>
      </c>
      <c r="P8932" t="str">
        <f t="shared" si="559"/>
        <v>Mid-term</v>
      </c>
    </row>
    <row r="8933" spans="1:16" x14ac:dyDescent="0.25">
      <c r="A8933">
        <v>2025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  <c r="M8933" t="str">
        <f t="shared" si="556"/>
        <v>46-60</v>
      </c>
      <c r="N8933" t="str">
        <f t="shared" si="557"/>
        <v>Medium</v>
      </c>
      <c r="O8933" t="str">
        <f t="shared" si="558"/>
        <v>Zero Balance</v>
      </c>
      <c r="P8933" t="str">
        <f t="shared" si="559"/>
        <v>Mid-term</v>
      </c>
    </row>
    <row r="8934" spans="1:16" x14ac:dyDescent="0.25">
      <c r="A8934">
        <v>2025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  <c r="M8934" t="str">
        <f t="shared" si="556"/>
        <v>&lt;30</v>
      </c>
      <c r="N8934" t="str">
        <f t="shared" si="557"/>
        <v>High</v>
      </c>
      <c r="O8934" t="str">
        <f t="shared" si="558"/>
        <v>High Balance</v>
      </c>
      <c r="P8934" t="str">
        <f t="shared" si="559"/>
        <v>Mid-term</v>
      </c>
    </row>
    <row r="8935" spans="1:16" x14ac:dyDescent="0.25">
      <c r="A8935">
        <v>2025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  <c r="M8935" t="str">
        <f t="shared" si="556"/>
        <v>30-45</v>
      </c>
      <c r="N8935" t="str">
        <f t="shared" si="557"/>
        <v>Medium</v>
      </c>
      <c r="O8935" t="str">
        <f t="shared" si="558"/>
        <v>Zero Balance</v>
      </c>
      <c r="P8935" t="str">
        <f t="shared" si="559"/>
        <v>Long-term</v>
      </c>
    </row>
    <row r="8936" spans="1:16" x14ac:dyDescent="0.25">
      <c r="A8936">
        <v>2025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  <c r="M8936" t="str">
        <f t="shared" si="556"/>
        <v>30-45</v>
      </c>
      <c r="N8936" t="str">
        <f t="shared" si="557"/>
        <v>High</v>
      </c>
      <c r="O8936" t="str">
        <f t="shared" si="558"/>
        <v>High Balance</v>
      </c>
      <c r="P8936" t="str">
        <f t="shared" si="559"/>
        <v>Mid-term</v>
      </c>
    </row>
    <row r="8937" spans="1:16" x14ac:dyDescent="0.25">
      <c r="A8937">
        <v>2025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  <c r="M8937" t="str">
        <f t="shared" si="556"/>
        <v>30-45</v>
      </c>
      <c r="N8937" t="str">
        <f t="shared" si="557"/>
        <v>Medium</v>
      </c>
      <c r="O8937" t="str">
        <f t="shared" si="558"/>
        <v>Zero Balance</v>
      </c>
      <c r="P8937" t="str">
        <f t="shared" si="559"/>
        <v>New</v>
      </c>
    </row>
    <row r="8938" spans="1:16" x14ac:dyDescent="0.25">
      <c r="A8938">
        <v>2025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  <c r="M8938" t="str">
        <f t="shared" si="556"/>
        <v>46-60</v>
      </c>
      <c r="N8938" t="str">
        <f t="shared" si="557"/>
        <v>Medium</v>
      </c>
      <c r="O8938" t="str">
        <f t="shared" si="558"/>
        <v>Low Balance</v>
      </c>
      <c r="P8938" t="str">
        <f t="shared" si="559"/>
        <v>Long-term</v>
      </c>
    </row>
    <row r="8939" spans="1:16" x14ac:dyDescent="0.25">
      <c r="A8939">
        <v>2025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  <c r="M8939" t="str">
        <f t="shared" si="556"/>
        <v>30-45</v>
      </c>
      <c r="N8939" t="str">
        <f t="shared" si="557"/>
        <v>High</v>
      </c>
      <c r="O8939" t="str">
        <f t="shared" si="558"/>
        <v>High Balance</v>
      </c>
      <c r="P8939" t="str">
        <f t="shared" si="559"/>
        <v>New</v>
      </c>
    </row>
    <row r="8940" spans="1:16" x14ac:dyDescent="0.25">
      <c r="A8940">
        <v>2025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  <c r="M8940" t="str">
        <f t="shared" si="556"/>
        <v>46-60</v>
      </c>
      <c r="N8940" t="str">
        <f t="shared" si="557"/>
        <v>Medium</v>
      </c>
      <c r="O8940" t="str">
        <f t="shared" si="558"/>
        <v>High Balance</v>
      </c>
      <c r="P8940" t="str">
        <f t="shared" si="559"/>
        <v>Long-term</v>
      </c>
    </row>
    <row r="8941" spans="1:16" x14ac:dyDescent="0.25">
      <c r="A8941">
        <v>2025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  <c r="M8941" t="str">
        <f t="shared" si="556"/>
        <v>30-45</v>
      </c>
      <c r="N8941" t="str">
        <f t="shared" si="557"/>
        <v>High</v>
      </c>
      <c r="O8941" t="str">
        <f t="shared" si="558"/>
        <v>Zero Balance</v>
      </c>
      <c r="P8941" t="str">
        <f t="shared" si="559"/>
        <v>Long-term</v>
      </c>
    </row>
    <row r="8942" spans="1:16" x14ac:dyDescent="0.25">
      <c r="A8942">
        <v>2025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  <c r="M8942" t="str">
        <f t="shared" si="556"/>
        <v>30-45</v>
      </c>
      <c r="N8942" t="str">
        <f t="shared" si="557"/>
        <v>Medium</v>
      </c>
      <c r="O8942" t="str">
        <f t="shared" si="558"/>
        <v>Zero Balance</v>
      </c>
      <c r="P8942" t="str">
        <f t="shared" si="559"/>
        <v>Mid-term</v>
      </c>
    </row>
    <row r="8943" spans="1:16" x14ac:dyDescent="0.25">
      <c r="A8943">
        <v>2025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  <c r="M8943" t="str">
        <f t="shared" si="556"/>
        <v>30-45</v>
      </c>
      <c r="N8943" t="str">
        <f t="shared" si="557"/>
        <v>High</v>
      </c>
      <c r="O8943" t="str">
        <f t="shared" si="558"/>
        <v>High Balance</v>
      </c>
      <c r="P8943" t="str">
        <f t="shared" si="559"/>
        <v>Mid-term</v>
      </c>
    </row>
    <row r="8944" spans="1:16" x14ac:dyDescent="0.25">
      <c r="A8944">
        <v>2025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  <c r="M8944" t="str">
        <f t="shared" si="556"/>
        <v>30-45</v>
      </c>
      <c r="N8944" t="str">
        <f t="shared" si="557"/>
        <v>Medium</v>
      </c>
      <c r="O8944" t="str">
        <f t="shared" si="558"/>
        <v>Low Balance</v>
      </c>
      <c r="P8944" t="str">
        <f t="shared" si="559"/>
        <v>Long-term</v>
      </c>
    </row>
    <row r="8945" spans="1:16" x14ac:dyDescent="0.25">
      <c r="A8945">
        <v>2025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  <c r="M8945" t="str">
        <f t="shared" si="556"/>
        <v>30-45</v>
      </c>
      <c r="N8945" t="str">
        <f t="shared" si="557"/>
        <v>Medium</v>
      </c>
      <c r="O8945" t="str">
        <f t="shared" si="558"/>
        <v>High Balance</v>
      </c>
      <c r="P8945" t="str">
        <f t="shared" si="559"/>
        <v>Long-term</v>
      </c>
    </row>
    <row r="8946" spans="1:16" x14ac:dyDescent="0.25">
      <c r="A8946">
        <v>2025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  <c r="M8946" t="str">
        <f t="shared" si="556"/>
        <v>46-60</v>
      </c>
      <c r="N8946" t="str">
        <f t="shared" si="557"/>
        <v>Medium</v>
      </c>
      <c r="O8946" t="str">
        <f t="shared" si="558"/>
        <v>High Balance</v>
      </c>
      <c r="P8946" t="str">
        <f t="shared" si="559"/>
        <v>New</v>
      </c>
    </row>
    <row r="8947" spans="1:16" x14ac:dyDescent="0.25">
      <c r="A8947">
        <v>2025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  <c r="M8947" t="str">
        <f t="shared" si="556"/>
        <v>30-45</v>
      </c>
      <c r="N8947" t="str">
        <f t="shared" si="557"/>
        <v>Medium</v>
      </c>
      <c r="O8947" t="str">
        <f t="shared" si="558"/>
        <v>High Balance</v>
      </c>
      <c r="P8947" t="str">
        <f t="shared" si="559"/>
        <v>New</v>
      </c>
    </row>
    <row r="8948" spans="1:16" x14ac:dyDescent="0.25">
      <c r="A8948">
        <v>2025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  <c r="M8948" t="str">
        <f t="shared" si="556"/>
        <v>&lt;30</v>
      </c>
      <c r="N8948" t="str">
        <f t="shared" si="557"/>
        <v>Medium</v>
      </c>
      <c r="O8948" t="str">
        <f t="shared" si="558"/>
        <v>Zero Balance</v>
      </c>
      <c r="P8948" t="str">
        <f t="shared" si="559"/>
        <v>Mid-term</v>
      </c>
    </row>
    <row r="8949" spans="1:16" x14ac:dyDescent="0.25">
      <c r="A8949">
        <v>2025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  <c r="M8949" t="str">
        <f t="shared" si="556"/>
        <v>30-45</v>
      </c>
      <c r="N8949" t="str">
        <f t="shared" si="557"/>
        <v>High</v>
      </c>
      <c r="O8949" t="str">
        <f t="shared" si="558"/>
        <v>High Balance</v>
      </c>
      <c r="P8949" t="str">
        <f t="shared" si="559"/>
        <v>New</v>
      </c>
    </row>
    <row r="8950" spans="1:16" x14ac:dyDescent="0.25">
      <c r="A8950">
        <v>2025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  <c r="M8950" t="str">
        <f t="shared" si="556"/>
        <v>46-60</v>
      </c>
      <c r="N8950" t="str">
        <f t="shared" si="557"/>
        <v>Medium</v>
      </c>
      <c r="O8950" t="str">
        <f t="shared" si="558"/>
        <v>Low Balance</v>
      </c>
      <c r="P8950" t="str">
        <f t="shared" si="559"/>
        <v>New</v>
      </c>
    </row>
    <row r="8951" spans="1:16" x14ac:dyDescent="0.25">
      <c r="A8951">
        <v>2025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  <c r="M8951" t="str">
        <f t="shared" si="556"/>
        <v>46-60</v>
      </c>
      <c r="N8951" t="str">
        <f t="shared" si="557"/>
        <v>High</v>
      </c>
      <c r="O8951" t="str">
        <f t="shared" si="558"/>
        <v>Zero Balance</v>
      </c>
      <c r="P8951" t="str">
        <f t="shared" si="559"/>
        <v>Long-term</v>
      </c>
    </row>
    <row r="8952" spans="1:16" x14ac:dyDescent="0.25">
      <c r="A8952">
        <v>2025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  <c r="M8952" t="str">
        <f t="shared" si="556"/>
        <v>30-45</v>
      </c>
      <c r="N8952" t="str">
        <f t="shared" si="557"/>
        <v>Low</v>
      </c>
      <c r="O8952" t="str">
        <f t="shared" si="558"/>
        <v>Zero Balance</v>
      </c>
      <c r="P8952" t="str">
        <f t="shared" si="559"/>
        <v>Mid-term</v>
      </c>
    </row>
    <row r="8953" spans="1:16" x14ac:dyDescent="0.25">
      <c r="A8953">
        <v>2025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  <c r="M8953" t="str">
        <f t="shared" si="556"/>
        <v>&lt;30</v>
      </c>
      <c r="N8953" t="str">
        <f t="shared" si="557"/>
        <v>High</v>
      </c>
      <c r="O8953" t="str">
        <f t="shared" si="558"/>
        <v>Low Balance</v>
      </c>
      <c r="P8953" t="str">
        <f t="shared" si="559"/>
        <v>Mid-term</v>
      </c>
    </row>
    <row r="8954" spans="1:16" x14ac:dyDescent="0.25">
      <c r="A8954">
        <v>2025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  <c r="M8954" t="str">
        <f t="shared" si="556"/>
        <v>46-60</v>
      </c>
      <c r="N8954" t="str">
        <f t="shared" si="557"/>
        <v>Medium</v>
      </c>
      <c r="O8954" t="str">
        <f t="shared" si="558"/>
        <v>High Balance</v>
      </c>
      <c r="P8954" t="str">
        <f t="shared" si="559"/>
        <v>Long-term</v>
      </c>
    </row>
    <row r="8955" spans="1:16" x14ac:dyDescent="0.25">
      <c r="A8955">
        <v>2025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  <c r="M8955" t="str">
        <f t="shared" si="556"/>
        <v>30-45</v>
      </c>
      <c r="N8955" t="str">
        <f t="shared" si="557"/>
        <v>High</v>
      </c>
      <c r="O8955" t="str">
        <f t="shared" si="558"/>
        <v>High Balance</v>
      </c>
      <c r="P8955" t="str">
        <f t="shared" si="559"/>
        <v>New</v>
      </c>
    </row>
    <row r="8956" spans="1:16" x14ac:dyDescent="0.25">
      <c r="A8956">
        <v>2025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  <c r="M8956" t="str">
        <f t="shared" si="556"/>
        <v>46-60</v>
      </c>
      <c r="N8956" t="str">
        <f t="shared" si="557"/>
        <v>Medium</v>
      </c>
      <c r="O8956" t="str">
        <f t="shared" si="558"/>
        <v>Zero Balance</v>
      </c>
      <c r="P8956" t="str">
        <f t="shared" si="559"/>
        <v>Long-term</v>
      </c>
    </row>
    <row r="8957" spans="1:16" x14ac:dyDescent="0.25">
      <c r="A8957">
        <v>2025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  <c r="M8957" t="str">
        <f t="shared" si="556"/>
        <v>46-60</v>
      </c>
      <c r="N8957" t="str">
        <f t="shared" si="557"/>
        <v>Medium</v>
      </c>
      <c r="O8957" t="str">
        <f t="shared" si="558"/>
        <v>Zero Balance</v>
      </c>
      <c r="P8957" t="str">
        <f t="shared" si="559"/>
        <v>Mid-term</v>
      </c>
    </row>
    <row r="8958" spans="1:16" x14ac:dyDescent="0.25">
      <c r="A8958">
        <v>2025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  <c r="M8958" t="str">
        <f t="shared" si="556"/>
        <v>30-45</v>
      </c>
      <c r="N8958" t="str">
        <f t="shared" si="557"/>
        <v>High</v>
      </c>
      <c r="O8958" t="str">
        <f t="shared" si="558"/>
        <v>Zero Balance</v>
      </c>
      <c r="P8958" t="str">
        <f t="shared" si="559"/>
        <v>Long-term</v>
      </c>
    </row>
    <row r="8959" spans="1:16" x14ac:dyDescent="0.25">
      <c r="A8959">
        <v>2025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  <c r="M8959" t="str">
        <f t="shared" si="556"/>
        <v>30-45</v>
      </c>
      <c r="N8959" t="str">
        <f t="shared" si="557"/>
        <v>Medium</v>
      </c>
      <c r="O8959" t="str">
        <f t="shared" si="558"/>
        <v>High Balance</v>
      </c>
      <c r="P8959" t="str">
        <f t="shared" si="559"/>
        <v>Mid-term</v>
      </c>
    </row>
    <row r="8960" spans="1:16" x14ac:dyDescent="0.25">
      <c r="A8960">
        <v>2025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  <c r="M8960" t="str">
        <f t="shared" si="556"/>
        <v>46-60</v>
      </c>
      <c r="N8960" t="str">
        <f t="shared" si="557"/>
        <v>Medium</v>
      </c>
      <c r="O8960" t="str">
        <f t="shared" si="558"/>
        <v>Zero Balance</v>
      </c>
      <c r="P8960" t="str">
        <f t="shared" si="559"/>
        <v>Long-term</v>
      </c>
    </row>
    <row r="8961" spans="1:16" x14ac:dyDescent="0.25">
      <c r="A8961">
        <v>2025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  <c r="M8961" t="str">
        <f t="shared" si="556"/>
        <v>&lt;30</v>
      </c>
      <c r="N8961" t="str">
        <f t="shared" si="557"/>
        <v>Medium</v>
      </c>
      <c r="O8961" t="str">
        <f t="shared" si="558"/>
        <v>High Balance</v>
      </c>
      <c r="P8961" t="str">
        <f t="shared" si="559"/>
        <v>New</v>
      </c>
    </row>
    <row r="8962" spans="1:16" x14ac:dyDescent="0.25">
      <c r="A8962">
        <v>2025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  <c r="M8962" t="str">
        <f t="shared" si="556"/>
        <v>&lt;30</v>
      </c>
      <c r="N8962" t="str">
        <f t="shared" si="557"/>
        <v>Medium</v>
      </c>
      <c r="O8962" t="str">
        <f t="shared" si="558"/>
        <v>High Balance</v>
      </c>
      <c r="P8962" t="str">
        <f t="shared" si="559"/>
        <v>Long-term</v>
      </c>
    </row>
    <row r="8963" spans="1:16" x14ac:dyDescent="0.25">
      <c r="A8963">
        <v>2025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  <c r="M8963" t="str">
        <f t="shared" ref="M8963:M9026" si="560">IF(E8963&lt;30,"&lt;30",IF(E8963&lt;=45,"30-45",IF(E8963&lt;=60,"46-60","60+")))</f>
        <v>30-45</v>
      </c>
      <c r="N8963" t="str">
        <f t="shared" ref="N8963:N9026" si="561">IF(B8963&lt;500,"Low",IF(B8963&lt;700,"Medium","High"))</f>
        <v>Medium</v>
      </c>
      <c r="O8963" t="str">
        <f t="shared" ref="O8963:O9026" si="562">IF(G8963=0,"Zero Balance",IF(G8963&lt;100000,"Low Balance","High Balance"))</f>
        <v>Zero Balance</v>
      </c>
      <c r="P8963" t="str">
        <f t="shared" ref="P8963:P9026" si="563">IF(F8963&lt;=3,"New",IF(F8963&lt;=7,"Mid-term","Long-term"))</f>
        <v>Long-term</v>
      </c>
    </row>
    <row r="8964" spans="1:16" x14ac:dyDescent="0.25">
      <c r="A8964">
        <v>2025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  <c r="M8964" t="str">
        <f t="shared" si="560"/>
        <v>30-45</v>
      </c>
      <c r="N8964" t="str">
        <f t="shared" si="561"/>
        <v>Medium</v>
      </c>
      <c r="O8964" t="str">
        <f t="shared" si="562"/>
        <v>High Balance</v>
      </c>
      <c r="P8964" t="str">
        <f t="shared" si="563"/>
        <v>New</v>
      </c>
    </row>
    <row r="8965" spans="1:16" x14ac:dyDescent="0.25">
      <c r="A8965">
        <v>2025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  <c r="M8965" t="str">
        <f t="shared" si="560"/>
        <v>46-60</v>
      </c>
      <c r="N8965" t="str">
        <f t="shared" si="561"/>
        <v>High</v>
      </c>
      <c r="O8965" t="str">
        <f t="shared" si="562"/>
        <v>High Balance</v>
      </c>
      <c r="P8965" t="str">
        <f t="shared" si="563"/>
        <v>New</v>
      </c>
    </row>
    <row r="8966" spans="1:16" x14ac:dyDescent="0.25">
      <c r="A8966">
        <v>2025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  <c r="M8966" t="str">
        <f t="shared" si="560"/>
        <v>30-45</v>
      </c>
      <c r="N8966" t="str">
        <f t="shared" si="561"/>
        <v>Low</v>
      </c>
      <c r="O8966" t="str">
        <f t="shared" si="562"/>
        <v>Low Balance</v>
      </c>
      <c r="P8966" t="str">
        <f t="shared" si="563"/>
        <v>Long-term</v>
      </c>
    </row>
    <row r="8967" spans="1:16" x14ac:dyDescent="0.25">
      <c r="A8967">
        <v>2025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  <c r="M8967" t="str">
        <f t="shared" si="560"/>
        <v>46-60</v>
      </c>
      <c r="N8967" t="str">
        <f t="shared" si="561"/>
        <v>Low</v>
      </c>
      <c r="O8967" t="str">
        <f t="shared" si="562"/>
        <v>High Balance</v>
      </c>
      <c r="P8967" t="str">
        <f t="shared" si="563"/>
        <v>Long-term</v>
      </c>
    </row>
    <row r="8968" spans="1:16" x14ac:dyDescent="0.25">
      <c r="A8968">
        <v>2025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  <c r="M8968" t="str">
        <f t="shared" si="560"/>
        <v>30-45</v>
      </c>
      <c r="N8968" t="str">
        <f t="shared" si="561"/>
        <v>High</v>
      </c>
      <c r="O8968" t="str">
        <f t="shared" si="562"/>
        <v>Low Balance</v>
      </c>
      <c r="P8968" t="str">
        <f t="shared" si="563"/>
        <v>Long-term</v>
      </c>
    </row>
    <row r="8969" spans="1:16" x14ac:dyDescent="0.25">
      <c r="A8969">
        <v>2025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  <c r="M8969" t="str">
        <f t="shared" si="560"/>
        <v>&lt;30</v>
      </c>
      <c r="N8969" t="str">
        <f t="shared" si="561"/>
        <v>High</v>
      </c>
      <c r="O8969" t="str">
        <f t="shared" si="562"/>
        <v>Zero Balance</v>
      </c>
      <c r="P8969" t="str">
        <f t="shared" si="563"/>
        <v>Mid-term</v>
      </c>
    </row>
    <row r="8970" spans="1:16" x14ac:dyDescent="0.25">
      <c r="A8970">
        <v>2025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  <c r="M8970" t="str">
        <f t="shared" si="560"/>
        <v>30-45</v>
      </c>
      <c r="N8970" t="str">
        <f t="shared" si="561"/>
        <v>High</v>
      </c>
      <c r="O8970" t="str">
        <f t="shared" si="562"/>
        <v>High Balance</v>
      </c>
      <c r="P8970" t="str">
        <f t="shared" si="563"/>
        <v>New</v>
      </c>
    </row>
    <row r="8971" spans="1:16" x14ac:dyDescent="0.25">
      <c r="A8971">
        <v>2025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  <c r="M8971" t="str">
        <f t="shared" si="560"/>
        <v>46-60</v>
      </c>
      <c r="N8971" t="str">
        <f t="shared" si="561"/>
        <v>Medium</v>
      </c>
      <c r="O8971" t="str">
        <f t="shared" si="562"/>
        <v>High Balance</v>
      </c>
      <c r="P8971" t="str">
        <f t="shared" si="563"/>
        <v>Mid-term</v>
      </c>
    </row>
    <row r="8972" spans="1:16" x14ac:dyDescent="0.25">
      <c r="A8972">
        <v>2025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  <c r="M8972" t="str">
        <f t="shared" si="560"/>
        <v>60+</v>
      </c>
      <c r="N8972" t="str">
        <f t="shared" si="561"/>
        <v>High</v>
      </c>
      <c r="O8972" t="str">
        <f t="shared" si="562"/>
        <v>Zero Balance</v>
      </c>
      <c r="P8972" t="str">
        <f t="shared" si="563"/>
        <v>New</v>
      </c>
    </row>
    <row r="8973" spans="1:16" x14ac:dyDescent="0.25">
      <c r="A8973">
        <v>2025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  <c r="M8973" t="str">
        <f t="shared" si="560"/>
        <v>30-45</v>
      </c>
      <c r="N8973" t="str">
        <f t="shared" si="561"/>
        <v>Low</v>
      </c>
      <c r="O8973" t="str">
        <f t="shared" si="562"/>
        <v>Zero Balance</v>
      </c>
      <c r="P8973" t="str">
        <f t="shared" si="563"/>
        <v>New</v>
      </c>
    </row>
    <row r="8974" spans="1:16" x14ac:dyDescent="0.25">
      <c r="A8974">
        <v>2025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  <c r="M8974" t="str">
        <f t="shared" si="560"/>
        <v>30-45</v>
      </c>
      <c r="N8974" t="str">
        <f t="shared" si="561"/>
        <v>Medium</v>
      </c>
      <c r="O8974" t="str">
        <f t="shared" si="562"/>
        <v>Low Balance</v>
      </c>
      <c r="P8974" t="str">
        <f t="shared" si="563"/>
        <v>Mid-term</v>
      </c>
    </row>
    <row r="8975" spans="1:16" x14ac:dyDescent="0.25">
      <c r="A8975">
        <v>2025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  <c r="M8975" t="str">
        <f t="shared" si="560"/>
        <v>30-45</v>
      </c>
      <c r="N8975" t="str">
        <f t="shared" si="561"/>
        <v>Medium</v>
      </c>
      <c r="O8975" t="str">
        <f t="shared" si="562"/>
        <v>High Balance</v>
      </c>
      <c r="P8975" t="str">
        <f t="shared" si="563"/>
        <v>New</v>
      </c>
    </row>
    <row r="8976" spans="1:16" x14ac:dyDescent="0.25">
      <c r="A8976">
        <v>2025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  <c r="M8976" t="str">
        <f t="shared" si="560"/>
        <v>30-45</v>
      </c>
      <c r="N8976" t="str">
        <f t="shared" si="561"/>
        <v>High</v>
      </c>
      <c r="O8976" t="str">
        <f t="shared" si="562"/>
        <v>Zero Balance</v>
      </c>
      <c r="P8976" t="str">
        <f t="shared" si="563"/>
        <v>New</v>
      </c>
    </row>
    <row r="8977" spans="1:16" x14ac:dyDescent="0.25">
      <c r="A8977">
        <v>2025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  <c r="M8977" t="str">
        <f t="shared" si="560"/>
        <v>30-45</v>
      </c>
      <c r="N8977" t="str">
        <f t="shared" si="561"/>
        <v>Medium</v>
      </c>
      <c r="O8977" t="str">
        <f t="shared" si="562"/>
        <v>High Balance</v>
      </c>
      <c r="P8977" t="str">
        <f t="shared" si="563"/>
        <v>New</v>
      </c>
    </row>
    <row r="8978" spans="1:16" x14ac:dyDescent="0.25">
      <c r="A8978">
        <v>2025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  <c r="M8978" t="str">
        <f t="shared" si="560"/>
        <v>&lt;30</v>
      </c>
      <c r="N8978" t="str">
        <f t="shared" si="561"/>
        <v>High</v>
      </c>
      <c r="O8978" t="str">
        <f t="shared" si="562"/>
        <v>Zero Balance</v>
      </c>
      <c r="P8978" t="str">
        <f t="shared" si="563"/>
        <v>New</v>
      </c>
    </row>
    <row r="8979" spans="1:16" x14ac:dyDescent="0.25">
      <c r="A8979">
        <v>2025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  <c r="M8979" t="str">
        <f t="shared" si="560"/>
        <v>30-45</v>
      </c>
      <c r="N8979" t="str">
        <f t="shared" si="561"/>
        <v>Medium</v>
      </c>
      <c r="O8979" t="str">
        <f t="shared" si="562"/>
        <v>Low Balance</v>
      </c>
      <c r="P8979" t="str">
        <f t="shared" si="563"/>
        <v>New</v>
      </c>
    </row>
    <row r="8980" spans="1:16" x14ac:dyDescent="0.25">
      <c r="A8980">
        <v>2025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  <c r="M8980" t="str">
        <f t="shared" si="560"/>
        <v>30-45</v>
      </c>
      <c r="N8980" t="str">
        <f t="shared" si="561"/>
        <v>Medium</v>
      </c>
      <c r="O8980" t="str">
        <f t="shared" si="562"/>
        <v>High Balance</v>
      </c>
      <c r="P8980" t="str">
        <f t="shared" si="563"/>
        <v>New</v>
      </c>
    </row>
    <row r="8981" spans="1:16" x14ac:dyDescent="0.25">
      <c r="A8981">
        <v>2025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  <c r="M8981" t="str">
        <f t="shared" si="560"/>
        <v>30-45</v>
      </c>
      <c r="N8981" t="str">
        <f t="shared" si="561"/>
        <v>Medium</v>
      </c>
      <c r="O8981" t="str">
        <f t="shared" si="562"/>
        <v>High Balance</v>
      </c>
      <c r="P8981" t="str">
        <f t="shared" si="563"/>
        <v>New</v>
      </c>
    </row>
    <row r="8982" spans="1:16" x14ac:dyDescent="0.25">
      <c r="A8982">
        <v>2025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  <c r="M8982" t="str">
        <f t="shared" si="560"/>
        <v>30-45</v>
      </c>
      <c r="N8982" t="str">
        <f t="shared" si="561"/>
        <v>Medium</v>
      </c>
      <c r="O8982" t="str">
        <f t="shared" si="562"/>
        <v>High Balance</v>
      </c>
      <c r="P8982" t="str">
        <f t="shared" si="563"/>
        <v>New</v>
      </c>
    </row>
    <row r="8983" spans="1:16" x14ac:dyDescent="0.25">
      <c r="A8983">
        <v>2025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  <c r="M8983" t="str">
        <f t="shared" si="560"/>
        <v>30-45</v>
      </c>
      <c r="N8983" t="str">
        <f t="shared" si="561"/>
        <v>Medium</v>
      </c>
      <c r="O8983" t="str">
        <f t="shared" si="562"/>
        <v>Zero Balance</v>
      </c>
      <c r="P8983" t="str">
        <f t="shared" si="563"/>
        <v>Mid-term</v>
      </c>
    </row>
    <row r="8984" spans="1:16" x14ac:dyDescent="0.25">
      <c r="A8984">
        <v>2025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  <c r="M8984" t="str">
        <f t="shared" si="560"/>
        <v>30-45</v>
      </c>
      <c r="N8984" t="str">
        <f t="shared" si="561"/>
        <v>Medium</v>
      </c>
      <c r="O8984" t="str">
        <f t="shared" si="562"/>
        <v>High Balance</v>
      </c>
      <c r="P8984" t="str">
        <f t="shared" si="563"/>
        <v>Long-term</v>
      </c>
    </row>
    <row r="8985" spans="1:16" x14ac:dyDescent="0.25">
      <c r="A8985">
        <v>2025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  <c r="M8985" t="str">
        <f t="shared" si="560"/>
        <v>30-45</v>
      </c>
      <c r="N8985" t="str">
        <f t="shared" si="561"/>
        <v>High</v>
      </c>
      <c r="O8985" t="str">
        <f t="shared" si="562"/>
        <v>Low Balance</v>
      </c>
      <c r="P8985" t="str">
        <f t="shared" si="563"/>
        <v>New</v>
      </c>
    </row>
    <row r="8986" spans="1:16" x14ac:dyDescent="0.25">
      <c r="A8986">
        <v>2025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  <c r="M8986" t="str">
        <f t="shared" si="560"/>
        <v>&lt;30</v>
      </c>
      <c r="N8986" t="str">
        <f t="shared" si="561"/>
        <v>Medium</v>
      </c>
      <c r="O8986" t="str">
        <f t="shared" si="562"/>
        <v>High Balance</v>
      </c>
      <c r="P8986" t="str">
        <f t="shared" si="563"/>
        <v>New</v>
      </c>
    </row>
    <row r="8987" spans="1:16" x14ac:dyDescent="0.25">
      <c r="A8987">
        <v>2025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  <c r="M8987" t="str">
        <f t="shared" si="560"/>
        <v>30-45</v>
      </c>
      <c r="N8987" t="str">
        <f t="shared" si="561"/>
        <v>Medium</v>
      </c>
      <c r="O8987" t="str">
        <f t="shared" si="562"/>
        <v>High Balance</v>
      </c>
      <c r="P8987" t="str">
        <f t="shared" si="563"/>
        <v>Mid-term</v>
      </c>
    </row>
    <row r="8988" spans="1:16" x14ac:dyDescent="0.25">
      <c r="A8988">
        <v>2025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  <c r="M8988" t="str">
        <f t="shared" si="560"/>
        <v>30-45</v>
      </c>
      <c r="N8988" t="str">
        <f t="shared" si="561"/>
        <v>High</v>
      </c>
      <c r="O8988" t="str">
        <f t="shared" si="562"/>
        <v>High Balance</v>
      </c>
      <c r="P8988" t="str">
        <f t="shared" si="563"/>
        <v>Mid-term</v>
      </c>
    </row>
    <row r="8989" spans="1:16" x14ac:dyDescent="0.25">
      <c r="A8989">
        <v>2025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  <c r="M8989" t="str">
        <f t="shared" si="560"/>
        <v>30-45</v>
      </c>
      <c r="N8989" t="str">
        <f t="shared" si="561"/>
        <v>High</v>
      </c>
      <c r="O8989" t="str">
        <f t="shared" si="562"/>
        <v>Low Balance</v>
      </c>
      <c r="P8989" t="str">
        <f t="shared" si="563"/>
        <v>Mid-term</v>
      </c>
    </row>
    <row r="8990" spans="1:16" x14ac:dyDescent="0.25">
      <c r="A8990">
        <v>2025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  <c r="M8990" t="str">
        <f t="shared" si="560"/>
        <v>30-45</v>
      </c>
      <c r="N8990" t="str">
        <f t="shared" si="561"/>
        <v>Medium</v>
      </c>
      <c r="O8990" t="str">
        <f t="shared" si="562"/>
        <v>High Balance</v>
      </c>
      <c r="P8990" t="str">
        <f t="shared" si="563"/>
        <v>Mid-term</v>
      </c>
    </row>
    <row r="8991" spans="1:16" x14ac:dyDescent="0.25">
      <c r="A8991">
        <v>2025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  <c r="M8991" t="str">
        <f t="shared" si="560"/>
        <v>30-45</v>
      </c>
      <c r="N8991" t="str">
        <f t="shared" si="561"/>
        <v>Medium</v>
      </c>
      <c r="O8991" t="str">
        <f t="shared" si="562"/>
        <v>High Balance</v>
      </c>
      <c r="P8991" t="str">
        <f t="shared" si="563"/>
        <v>Long-term</v>
      </c>
    </row>
    <row r="8992" spans="1:16" x14ac:dyDescent="0.25">
      <c r="A8992">
        <v>2025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  <c r="M8992" t="str">
        <f t="shared" si="560"/>
        <v>&lt;30</v>
      </c>
      <c r="N8992" t="str">
        <f t="shared" si="561"/>
        <v>High</v>
      </c>
      <c r="O8992" t="str">
        <f t="shared" si="562"/>
        <v>High Balance</v>
      </c>
      <c r="P8992" t="str">
        <f t="shared" si="563"/>
        <v>New</v>
      </c>
    </row>
    <row r="8993" spans="1:16" x14ac:dyDescent="0.25">
      <c r="A8993">
        <v>2025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  <c r="M8993" t="str">
        <f t="shared" si="560"/>
        <v>30-45</v>
      </c>
      <c r="N8993" t="str">
        <f t="shared" si="561"/>
        <v>Medium</v>
      </c>
      <c r="O8993" t="str">
        <f t="shared" si="562"/>
        <v>High Balance</v>
      </c>
      <c r="P8993" t="str">
        <f t="shared" si="563"/>
        <v>New</v>
      </c>
    </row>
    <row r="8994" spans="1:16" x14ac:dyDescent="0.25">
      <c r="A8994">
        <v>2025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  <c r="M8994" t="str">
        <f t="shared" si="560"/>
        <v>30-45</v>
      </c>
      <c r="N8994" t="str">
        <f t="shared" si="561"/>
        <v>Medium</v>
      </c>
      <c r="O8994" t="str">
        <f t="shared" si="562"/>
        <v>High Balance</v>
      </c>
      <c r="P8994" t="str">
        <f t="shared" si="563"/>
        <v>Long-term</v>
      </c>
    </row>
    <row r="8995" spans="1:16" x14ac:dyDescent="0.25">
      <c r="A8995">
        <v>2025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  <c r="M8995" t="str">
        <f t="shared" si="560"/>
        <v>30-45</v>
      </c>
      <c r="N8995" t="str">
        <f t="shared" si="561"/>
        <v>Medium</v>
      </c>
      <c r="O8995" t="str">
        <f t="shared" si="562"/>
        <v>Zero Balance</v>
      </c>
      <c r="P8995" t="str">
        <f t="shared" si="563"/>
        <v>Mid-term</v>
      </c>
    </row>
    <row r="8996" spans="1:16" x14ac:dyDescent="0.25">
      <c r="A8996">
        <v>2025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  <c r="M8996" t="str">
        <f t="shared" si="560"/>
        <v>30-45</v>
      </c>
      <c r="N8996" t="str">
        <f t="shared" si="561"/>
        <v>Medium</v>
      </c>
      <c r="O8996" t="str">
        <f t="shared" si="562"/>
        <v>High Balance</v>
      </c>
      <c r="P8996" t="str">
        <f t="shared" si="563"/>
        <v>Mid-term</v>
      </c>
    </row>
    <row r="8997" spans="1:16" x14ac:dyDescent="0.25">
      <c r="A8997">
        <v>2025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  <c r="M8997" t="str">
        <f t="shared" si="560"/>
        <v>&lt;30</v>
      </c>
      <c r="N8997" t="str">
        <f t="shared" si="561"/>
        <v>Medium</v>
      </c>
      <c r="O8997" t="str">
        <f t="shared" si="562"/>
        <v>Zero Balance</v>
      </c>
      <c r="P8997" t="str">
        <f t="shared" si="563"/>
        <v>Long-term</v>
      </c>
    </row>
    <row r="8998" spans="1:16" x14ac:dyDescent="0.25">
      <c r="A8998">
        <v>2025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  <c r="M8998" t="str">
        <f t="shared" si="560"/>
        <v>30-45</v>
      </c>
      <c r="N8998" t="str">
        <f t="shared" si="561"/>
        <v>Medium</v>
      </c>
      <c r="O8998" t="str">
        <f t="shared" si="562"/>
        <v>High Balance</v>
      </c>
      <c r="P8998" t="str">
        <f t="shared" si="563"/>
        <v>Mid-term</v>
      </c>
    </row>
    <row r="8999" spans="1:16" x14ac:dyDescent="0.25">
      <c r="A8999">
        <v>2025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  <c r="M8999" t="str">
        <f t="shared" si="560"/>
        <v>30-45</v>
      </c>
      <c r="N8999" t="str">
        <f t="shared" si="561"/>
        <v>High</v>
      </c>
      <c r="O8999" t="str">
        <f t="shared" si="562"/>
        <v>Zero Balance</v>
      </c>
      <c r="P8999" t="str">
        <f t="shared" si="563"/>
        <v>New</v>
      </c>
    </row>
    <row r="9000" spans="1:16" x14ac:dyDescent="0.25">
      <c r="A9000">
        <v>2025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  <c r="M9000" t="str">
        <f t="shared" si="560"/>
        <v>30-45</v>
      </c>
      <c r="N9000" t="str">
        <f t="shared" si="561"/>
        <v>Medium</v>
      </c>
      <c r="O9000" t="str">
        <f t="shared" si="562"/>
        <v>Low Balance</v>
      </c>
      <c r="P9000" t="str">
        <f t="shared" si="563"/>
        <v>Long-term</v>
      </c>
    </row>
    <row r="9001" spans="1:16" x14ac:dyDescent="0.25">
      <c r="A9001">
        <v>2025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  <c r="M9001" t="str">
        <f t="shared" si="560"/>
        <v>30-45</v>
      </c>
      <c r="N9001" t="str">
        <f t="shared" si="561"/>
        <v>High</v>
      </c>
      <c r="O9001" t="str">
        <f t="shared" si="562"/>
        <v>Zero Balance</v>
      </c>
      <c r="P9001" t="str">
        <f t="shared" si="563"/>
        <v>Long-term</v>
      </c>
    </row>
    <row r="9002" spans="1:16" x14ac:dyDescent="0.25">
      <c r="A9002">
        <v>2025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  <c r="M9002" t="str">
        <f t="shared" si="560"/>
        <v>30-45</v>
      </c>
      <c r="N9002" t="str">
        <f t="shared" si="561"/>
        <v>Medium</v>
      </c>
      <c r="O9002" t="str">
        <f t="shared" si="562"/>
        <v>Zero Balance</v>
      </c>
      <c r="P9002" t="str">
        <f t="shared" si="563"/>
        <v>Long-term</v>
      </c>
    </row>
    <row r="9003" spans="1:16" x14ac:dyDescent="0.25">
      <c r="A9003">
        <v>2025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  <c r="M9003" t="str">
        <f t="shared" si="560"/>
        <v>30-45</v>
      </c>
      <c r="N9003" t="str">
        <f t="shared" si="561"/>
        <v>Medium</v>
      </c>
      <c r="O9003" t="str">
        <f t="shared" si="562"/>
        <v>High Balance</v>
      </c>
      <c r="P9003" t="str">
        <f t="shared" si="563"/>
        <v>Mid-term</v>
      </c>
    </row>
    <row r="9004" spans="1:16" x14ac:dyDescent="0.25">
      <c r="A9004">
        <v>2025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  <c r="M9004" t="str">
        <f t="shared" si="560"/>
        <v>30-45</v>
      </c>
      <c r="N9004" t="str">
        <f t="shared" si="561"/>
        <v>Medium</v>
      </c>
      <c r="O9004" t="str">
        <f t="shared" si="562"/>
        <v>High Balance</v>
      </c>
      <c r="P9004" t="str">
        <f t="shared" si="563"/>
        <v>Mid-term</v>
      </c>
    </row>
    <row r="9005" spans="1:16" x14ac:dyDescent="0.25">
      <c r="A9005">
        <v>2025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  <c r="M9005" t="str">
        <f t="shared" si="560"/>
        <v>30-45</v>
      </c>
      <c r="N9005" t="str">
        <f t="shared" si="561"/>
        <v>Medium</v>
      </c>
      <c r="O9005" t="str">
        <f t="shared" si="562"/>
        <v>High Balance</v>
      </c>
      <c r="P9005" t="str">
        <f t="shared" si="563"/>
        <v>Mid-term</v>
      </c>
    </row>
    <row r="9006" spans="1:16" x14ac:dyDescent="0.25">
      <c r="A9006">
        <v>2025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  <c r="M9006" t="str">
        <f t="shared" si="560"/>
        <v>30-45</v>
      </c>
      <c r="N9006" t="str">
        <f t="shared" si="561"/>
        <v>High</v>
      </c>
      <c r="O9006" t="str">
        <f t="shared" si="562"/>
        <v>Zero Balance</v>
      </c>
      <c r="P9006" t="str">
        <f t="shared" si="563"/>
        <v>New</v>
      </c>
    </row>
    <row r="9007" spans="1:16" x14ac:dyDescent="0.25">
      <c r="A9007">
        <v>2025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  <c r="M9007" t="str">
        <f t="shared" si="560"/>
        <v>30-45</v>
      </c>
      <c r="N9007" t="str">
        <f t="shared" si="561"/>
        <v>High</v>
      </c>
      <c r="O9007" t="str">
        <f t="shared" si="562"/>
        <v>Zero Balance</v>
      </c>
      <c r="P9007" t="str">
        <f t="shared" si="563"/>
        <v>Mid-term</v>
      </c>
    </row>
    <row r="9008" spans="1:16" x14ac:dyDescent="0.25">
      <c r="A9008">
        <v>2025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  <c r="M9008" t="str">
        <f t="shared" si="560"/>
        <v>&lt;30</v>
      </c>
      <c r="N9008" t="str">
        <f t="shared" si="561"/>
        <v>Medium</v>
      </c>
      <c r="O9008" t="str">
        <f t="shared" si="562"/>
        <v>Zero Balance</v>
      </c>
      <c r="P9008" t="str">
        <f t="shared" si="563"/>
        <v>Long-term</v>
      </c>
    </row>
    <row r="9009" spans="1:16" x14ac:dyDescent="0.25">
      <c r="A9009">
        <v>2025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  <c r="M9009" t="str">
        <f t="shared" si="560"/>
        <v>30-45</v>
      </c>
      <c r="N9009" t="str">
        <f t="shared" si="561"/>
        <v>High</v>
      </c>
      <c r="O9009" t="str">
        <f t="shared" si="562"/>
        <v>Zero Balance</v>
      </c>
      <c r="P9009" t="str">
        <f t="shared" si="563"/>
        <v>Long-term</v>
      </c>
    </row>
    <row r="9010" spans="1:16" x14ac:dyDescent="0.25">
      <c r="A9010">
        <v>2025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  <c r="M9010" t="str">
        <f t="shared" si="560"/>
        <v>30-45</v>
      </c>
      <c r="N9010" t="str">
        <f t="shared" si="561"/>
        <v>Low</v>
      </c>
      <c r="O9010" t="str">
        <f t="shared" si="562"/>
        <v>High Balance</v>
      </c>
      <c r="P9010" t="str">
        <f t="shared" si="563"/>
        <v>Mid-term</v>
      </c>
    </row>
    <row r="9011" spans="1:16" x14ac:dyDescent="0.25">
      <c r="A9011">
        <v>2025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  <c r="M9011" t="str">
        <f t="shared" si="560"/>
        <v>46-60</v>
      </c>
      <c r="N9011" t="str">
        <f t="shared" si="561"/>
        <v>High</v>
      </c>
      <c r="O9011" t="str">
        <f t="shared" si="562"/>
        <v>High Balance</v>
      </c>
      <c r="P9011" t="str">
        <f t="shared" si="563"/>
        <v>Long-term</v>
      </c>
    </row>
    <row r="9012" spans="1:16" x14ac:dyDescent="0.25">
      <c r="A9012">
        <v>2025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  <c r="M9012" t="str">
        <f t="shared" si="560"/>
        <v>46-60</v>
      </c>
      <c r="N9012" t="str">
        <f t="shared" si="561"/>
        <v>Medium</v>
      </c>
      <c r="O9012" t="str">
        <f t="shared" si="562"/>
        <v>High Balance</v>
      </c>
      <c r="P9012" t="str">
        <f t="shared" si="563"/>
        <v>Long-term</v>
      </c>
    </row>
    <row r="9013" spans="1:16" x14ac:dyDescent="0.25">
      <c r="A9013">
        <v>2025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  <c r="M9013" t="str">
        <f t="shared" si="560"/>
        <v>30-45</v>
      </c>
      <c r="N9013" t="str">
        <f t="shared" si="561"/>
        <v>High</v>
      </c>
      <c r="O9013" t="str">
        <f t="shared" si="562"/>
        <v>High Balance</v>
      </c>
      <c r="P9013" t="str">
        <f t="shared" si="563"/>
        <v>Mid-term</v>
      </c>
    </row>
    <row r="9014" spans="1:16" x14ac:dyDescent="0.25">
      <c r="A9014">
        <v>2025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  <c r="M9014" t="str">
        <f t="shared" si="560"/>
        <v>30-45</v>
      </c>
      <c r="N9014" t="str">
        <f t="shared" si="561"/>
        <v>Medium</v>
      </c>
      <c r="O9014" t="str">
        <f t="shared" si="562"/>
        <v>Zero Balance</v>
      </c>
      <c r="P9014" t="str">
        <f t="shared" si="563"/>
        <v>New</v>
      </c>
    </row>
    <row r="9015" spans="1:16" x14ac:dyDescent="0.25">
      <c r="A9015">
        <v>2025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  <c r="M9015" t="str">
        <f t="shared" si="560"/>
        <v>30-45</v>
      </c>
      <c r="N9015" t="str">
        <f t="shared" si="561"/>
        <v>Medium</v>
      </c>
      <c r="O9015" t="str">
        <f t="shared" si="562"/>
        <v>Low Balance</v>
      </c>
      <c r="P9015" t="str">
        <f t="shared" si="563"/>
        <v>New</v>
      </c>
    </row>
    <row r="9016" spans="1:16" x14ac:dyDescent="0.25">
      <c r="A9016">
        <v>2025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  <c r="M9016" t="str">
        <f t="shared" si="560"/>
        <v>46-60</v>
      </c>
      <c r="N9016" t="str">
        <f t="shared" si="561"/>
        <v>Medium</v>
      </c>
      <c r="O9016" t="str">
        <f t="shared" si="562"/>
        <v>High Balance</v>
      </c>
      <c r="P9016" t="str">
        <f t="shared" si="563"/>
        <v>Mid-term</v>
      </c>
    </row>
    <row r="9017" spans="1:16" x14ac:dyDescent="0.25">
      <c r="A9017">
        <v>2025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  <c r="M9017" t="str">
        <f t="shared" si="560"/>
        <v>30-45</v>
      </c>
      <c r="N9017" t="str">
        <f t="shared" si="561"/>
        <v>Medium</v>
      </c>
      <c r="O9017" t="str">
        <f t="shared" si="562"/>
        <v>Zero Balance</v>
      </c>
      <c r="P9017" t="str">
        <f t="shared" si="563"/>
        <v>Mid-term</v>
      </c>
    </row>
    <row r="9018" spans="1:16" x14ac:dyDescent="0.25">
      <c r="A9018">
        <v>2025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  <c r="M9018" t="str">
        <f t="shared" si="560"/>
        <v>30-45</v>
      </c>
      <c r="N9018" t="str">
        <f t="shared" si="561"/>
        <v>Medium</v>
      </c>
      <c r="O9018" t="str">
        <f t="shared" si="562"/>
        <v>Zero Balance</v>
      </c>
      <c r="P9018" t="str">
        <f t="shared" si="563"/>
        <v>Mid-term</v>
      </c>
    </row>
    <row r="9019" spans="1:16" x14ac:dyDescent="0.25">
      <c r="A9019">
        <v>2025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  <c r="M9019" t="str">
        <f t="shared" si="560"/>
        <v>30-45</v>
      </c>
      <c r="N9019" t="str">
        <f t="shared" si="561"/>
        <v>High</v>
      </c>
      <c r="O9019" t="str">
        <f t="shared" si="562"/>
        <v>Low Balance</v>
      </c>
      <c r="P9019" t="str">
        <f t="shared" si="563"/>
        <v>Long-term</v>
      </c>
    </row>
    <row r="9020" spans="1:16" x14ac:dyDescent="0.25">
      <c r="A9020">
        <v>2025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  <c r="M9020" t="str">
        <f t="shared" si="560"/>
        <v>60+</v>
      </c>
      <c r="N9020" t="str">
        <f t="shared" si="561"/>
        <v>Medium</v>
      </c>
      <c r="O9020" t="str">
        <f t="shared" si="562"/>
        <v>Zero Balance</v>
      </c>
      <c r="P9020" t="str">
        <f t="shared" si="563"/>
        <v>Long-term</v>
      </c>
    </row>
    <row r="9021" spans="1:16" x14ac:dyDescent="0.25">
      <c r="A9021">
        <v>2025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  <c r="M9021" t="str">
        <f t="shared" si="560"/>
        <v>30-45</v>
      </c>
      <c r="N9021" t="str">
        <f t="shared" si="561"/>
        <v>Low</v>
      </c>
      <c r="O9021" t="str">
        <f t="shared" si="562"/>
        <v>Zero Balance</v>
      </c>
      <c r="P9021" t="str">
        <f t="shared" si="563"/>
        <v>New</v>
      </c>
    </row>
    <row r="9022" spans="1:16" x14ac:dyDescent="0.25">
      <c r="A9022">
        <v>2025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  <c r="M9022" t="str">
        <f t="shared" si="560"/>
        <v>30-45</v>
      </c>
      <c r="N9022" t="str">
        <f t="shared" si="561"/>
        <v>High</v>
      </c>
      <c r="O9022" t="str">
        <f t="shared" si="562"/>
        <v>High Balance</v>
      </c>
      <c r="P9022" t="str">
        <f t="shared" si="563"/>
        <v>Mid-term</v>
      </c>
    </row>
    <row r="9023" spans="1:16" x14ac:dyDescent="0.25">
      <c r="A9023">
        <v>2025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  <c r="M9023" t="str">
        <f t="shared" si="560"/>
        <v>60+</v>
      </c>
      <c r="N9023" t="str">
        <f t="shared" si="561"/>
        <v>Medium</v>
      </c>
      <c r="O9023" t="str">
        <f t="shared" si="562"/>
        <v>High Balance</v>
      </c>
      <c r="P9023" t="str">
        <f t="shared" si="563"/>
        <v>New</v>
      </c>
    </row>
    <row r="9024" spans="1:16" x14ac:dyDescent="0.25">
      <c r="A9024">
        <v>2025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  <c r="M9024" t="str">
        <f t="shared" si="560"/>
        <v>&lt;30</v>
      </c>
      <c r="N9024" t="str">
        <f t="shared" si="561"/>
        <v>High</v>
      </c>
      <c r="O9024" t="str">
        <f t="shared" si="562"/>
        <v>Zero Balance</v>
      </c>
      <c r="P9024" t="str">
        <f t="shared" si="563"/>
        <v>New</v>
      </c>
    </row>
    <row r="9025" spans="1:16" x14ac:dyDescent="0.25">
      <c r="A9025">
        <v>2025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  <c r="M9025" t="str">
        <f t="shared" si="560"/>
        <v>&lt;30</v>
      </c>
      <c r="N9025" t="str">
        <f t="shared" si="561"/>
        <v>Medium</v>
      </c>
      <c r="O9025" t="str">
        <f t="shared" si="562"/>
        <v>Zero Balance</v>
      </c>
      <c r="P9025" t="str">
        <f t="shared" si="563"/>
        <v>Mid-term</v>
      </c>
    </row>
    <row r="9026" spans="1:16" x14ac:dyDescent="0.25">
      <c r="A9026">
        <v>2025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  <c r="M9026" t="str">
        <f t="shared" si="560"/>
        <v>46-60</v>
      </c>
      <c r="N9026" t="str">
        <f t="shared" si="561"/>
        <v>Medium</v>
      </c>
      <c r="O9026" t="str">
        <f t="shared" si="562"/>
        <v>Low Balance</v>
      </c>
      <c r="P9026" t="str">
        <f t="shared" si="563"/>
        <v>Mid-term</v>
      </c>
    </row>
    <row r="9027" spans="1:16" x14ac:dyDescent="0.25">
      <c r="A9027">
        <v>2025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  <c r="M9027" t="str">
        <f t="shared" ref="M9027:M9090" si="564">IF(E9027&lt;30,"&lt;30",IF(E9027&lt;=45,"30-45",IF(E9027&lt;=60,"46-60","60+")))</f>
        <v>&lt;30</v>
      </c>
      <c r="N9027" t="str">
        <f t="shared" ref="N9027:N9090" si="565">IF(B9027&lt;500,"Low",IF(B9027&lt;700,"Medium","High"))</f>
        <v>Medium</v>
      </c>
      <c r="O9027" t="str">
        <f t="shared" ref="O9027:O9090" si="566">IF(G9027=0,"Zero Balance",IF(G9027&lt;100000,"Low Balance","High Balance"))</f>
        <v>Zero Balance</v>
      </c>
      <c r="P9027" t="str">
        <f t="shared" ref="P9027:P9090" si="567">IF(F9027&lt;=3,"New",IF(F9027&lt;=7,"Mid-term","Long-term"))</f>
        <v>New</v>
      </c>
    </row>
    <row r="9028" spans="1:16" x14ac:dyDescent="0.25">
      <c r="A9028">
        <v>2025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  <c r="M9028" t="str">
        <f t="shared" si="564"/>
        <v>30-45</v>
      </c>
      <c r="N9028" t="str">
        <f t="shared" si="565"/>
        <v>Medium</v>
      </c>
      <c r="O9028" t="str">
        <f t="shared" si="566"/>
        <v>Low Balance</v>
      </c>
      <c r="P9028" t="str">
        <f t="shared" si="567"/>
        <v>Mid-term</v>
      </c>
    </row>
    <row r="9029" spans="1:16" x14ac:dyDescent="0.25">
      <c r="A9029">
        <v>2025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  <c r="M9029" t="str">
        <f t="shared" si="564"/>
        <v>30-45</v>
      </c>
      <c r="N9029" t="str">
        <f t="shared" si="565"/>
        <v>High</v>
      </c>
      <c r="O9029" t="str">
        <f t="shared" si="566"/>
        <v>High Balance</v>
      </c>
      <c r="P9029" t="str">
        <f t="shared" si="567"/>
        <v>Long-term</v>
      </c>
    </row>
    <row r="9030" spans="1:16" x14ac:dyDescent="0.25">
      <c r="A9030">
        <v>2025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  <c r="M9030" t="str">
        <f t="shared" si="564"/>
        <v>30-45</v>
      </c>
      <c r="N9030" t="str">
        <f t="shared" si="565"/>
        <v>Medium</v>
      </c>
      <c r="O9030" t="str">
        <f t="shared" si="566"/>
        <v>Low Balance</v>
      </c>
      <c r="P9030" t="str">
        <f t="shared" si="567"/>
        <v>New</v>
      </c>
    </row>
    <row r="9031" spans="1:16" x14ac:dyDescent="0.25">
      <c r="A9031">
        <v>2025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  <c r="M9031" t="str">
        <f t="shared" si="564"/>
        <v>&lt;30</v>
      </c>
      <c r="N9031" t="str">
        <f t="shared" si="565"/>
        <v>Medium</v>
      </c>
      <c r="O9031" t="str">
        <f t="shared" si="566"/>
        <v>High Balance</v>
      </c>
      <c r="P9031" t="str">
        <f t="shared" si="567"/>
        <v>New</v>
      </c>
    </row>
    <row r="9032" spans="1:16" x14ac:dyDescent="0.25">
      <c r="A9032">
        <v>2025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  <c r="M9032" t="str">
        <f t="shared" si="564"/>
        <v>46-60</v>
      </c>
      <c r="N9032" t="str">
        <f t="shared" si="565"/>
        <v>Medium</v>
      </c>
      <c r="O9032" t="str">
        <f t="shared" si="566"/>
        <v>High Balance</v>
      </c>
      <c r="P9032" t="str">
        <f t="shared" si="567"/>
        <v>New</v>
      </c>
    </row>
    <row r="9033" spans="1:16" x14ac:dyDescent="0.25">
      <c r="A9033">
        <v>2025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  <c r="M9033" t="str">
        <f t="shared" si="564"/>
        <v>30-45</v>
      </c>
      <c r="N9033" t="str">
        <f t="shared" si="565"/>
        <v>Medium</v>
      </c>
      <c r="O9033" t="str">
        <f t="shared" si="566"/>
        <v>Zero Balance</v>
      </c>
      <c r="P9033" t="str">
        <f t="shared" si="567"/>
        <v>Mid-term</v>
      </c>
    </row>
    <row r="9034" spans="1:16" x14ac:dyDescent="0.25">
      <c r="A9034">
        <v>2025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  <c r="M9034" t="str">
        <f t="shared" si="564"/>
        <v>&lt;30</v>
      </c>
      <c r="N9034" t="str">
        <f t="shared" si="565"/>
        <v>High</v>
      </c>
      <c r="O9034" t="str">
        <f t="shared" si="566"/>
        <v>Zero Balance</v>
      </c>
      <c r="P9034" t="str">
        <f t="shared" si="567"/>
        <v>Mid-term</v>
      </c>
    </row>
    <row r="9035" spans="1:16" x14ac:dyDescent="0.25">
      <c r="A9035">
        <v>2025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  <c r="M9035" t="str">
        <f t="shared" si="564"/>
        <v>30-45</v>
      </c>
      <c r="N9035" t="str">
        <f t="shared" si="565"/>
        <v>High</v>
      </c>
      <c r="O9035" t="str">
        <f t="shared" si="566"/>
        <v>Low Balance</v>
      </c>
      <c r="P9035" t="str">
        <f t="shared" si="567"/>
        <v>New</v>
      </c>
    </row>
    <row r="9036" spans="1:16" x14ac:dyDescent="0.25">
      <c r="A9036">
        <v>2025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  <c r="M9036" t="str">
        <f t="shared" si="564"/>
        <v>46-60</v>
      </c>
      <c r="N9036" t="str">
        <f t="shared" si="565"/>
        <v>High</v>
      </c>
      <c r="O9036" t="str">
        <f t="shared" si="566"/>
        <v>High Balance</v>
      </c>
      <c r="P9036" t="str">
        <f t="shared" si="567"/>
        <v>New</v>
      </c>
    </row>
    <row r="9037" spans="1:16" x14ac:dyDescent="0.25">
      <c r="A9037">
        <v>2025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  <c r="M9037" t="str">
        <f t="shared" si="564"/>
        <v>30-45</v>
      </c>
      <c r="N9037" t="str">
        <f t="shared" si="565"/>
        <v>Medium</v>
      </c>
      <c r="O9037" t="str">
        <f t="shared" si="566"/>
        <v>Zero Balance</v>
      </c>
      <c r="P9037" t="str">
        <f t="shared" si="567"/>
        <v>New</v>
      </c>
    </row>
    <row r="9038" spans="1:16" x14ac:dyDescent="0.25">
      <c r="A9038">
        <v>2025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  <c r="M9038" t="str">
        <f t="shared" si="564"/>
        <v>30-45</v>
      </c>
      <c r="N9038" t="str">
        <f t="shared" si="565"/>
        <v>High</v>
      </c>
      <c r="O9038" t="str">
        <f t="shared" si="566"/>
        <v>High Balance</v>
      </c>
      <c r="P9038" t="str">
        <f t="shared" si="567"/>
        <v>New</v>
      </c>
    </row>
    <row r="9039" spans="1:16" x14ac:dyDescent="0.25">
      <c r="A9039">
        <v>2025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  <c r="M9039" t="str">
        <f t="shared" si="564"/>
        <v>30-45</v>
      </c>
      <c r="N9039" t="str">
        <f t="shared" si="565"/>
        <v>Medium</v>
      </c>
      <c r="O9039" t="str">
        <f t="shared" si="566"/>
        <v>High Balance</v>
      </c>
      <c r="P9039" t="str">
        <f t="shared" si="567"/>
        <v>New</v>
      </c>
    </row>
    <row r="9040" spans="1:16" x14ac:dyDescent="0.25">
      <c r="A9040">
        <v>2025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  <c r="M9040" t="str">
        <f t="shared" si="564"/>
        <v>46-60</v>
      </c>
      <c r="N9040" t="str">
        <f t="shared" si="565"/>
        <v>High</v>
      </c>
      <c r="O9040" t="str">
        <f t="shared" si="566"/>
        <v>Low Balance</v>
      </c>
      <c r="P9040" t="str">
        <f t="shared" si="567"/>
        <v>Long-term</v>
      </c>
    </row>
    <row r="9041" spans="1:16" x14ac:dyDescent="0.25">
      <c r="A9041">
        <v>2025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  <c r="M9041" t="str">
        <f t="shared" si="564"/>
        <v>30-45</v>
      </c>
      <c r="N9041" t="str">
        <f t="shared" si="565"/>
        <v>Medium</v>
      </c>
      <c r="O9041" t="str">
        <f t="shared" si="566"/>
        <v>Zero Balance</v>
      </c>
      <c r="P9041" t="str">
        <f t="shared" si="567"/>
        <v>New</v>
      </c>
    </row>
    <row r="9042" spans="1:16" x14ac:dyDescent="0.25">
      <c r="A9042">
        <v>2025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  <c r="M9042" t="str">
        <f t="shared" si="564"/>
        <v>30-45</v>
      </c>
      <c r="N9042" t="str">
        <f t="shared" si="565"/>
        <v>Medium</v>
      </c>
      <c r="O9042" t="str">
        <f t="shared" si="566"/>
        <v>High Balance</v>
      </c>
      <c r="P9042" t="str">
        <f t="shared" si="567"/>
        <v>New</v>
      </c>
    </row>
    <row r="9043" spans="1:16" x14ac:dyDescent="0.25">
      <c r="A9043">
        <v>2025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  <c r="M9043" t="str">
        <f t="shared" si="564"/>
        <v>46-60</v>
      </c>
      <c r="N9043" t="str">
        <f t="shared" si="565"/>
        <v>Medium</v>
      </c>
      <c r="O9043" t="str">
        <f t="shared" si="566"/>
        <v>High Balance</v>
      </c>
      <c r="P9043" t="str">
        <f t="shared" si="567"/>
        <v>Mid-term</v>
      </c>
    </row>
    <row r="9044" spans="1:16" x14ac:dyDescent="0.25">
      <c r="A9044">
        <v>2025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  <c r="M9044" t="str">
        <f t="shared" si="564"/>
        <v>&lt;30</v>
      </c>
      <c r="N9044" t="str">
        <f t="shared" si="565"/>
        <v>High</v>
      </c>
      <c r="O9044" t="str">
        <f t="shared" si="566"/>
        <v>High Balance</v>
      </c>
      <c r="P9044" t="str">
        <f t="shared" si="567"/>
        <v>Mid-term</v>
      </c>
    </row>
    <row r="9045" spans="1:16" x14ac:dyDescent="0.25">
      <c r="A9045">
        <v>2025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  <c r="M9045" t="str">
        <f t="shared" si="564"/>
        <v>30-45</v>
      </c>
      <c r="N9045" t="str">
        <f t="shared" si="565"/>
        <v>High</v>
      </c>
      <c r="O9045" t="str">
        <f t="shared" si="566"/>
        <v>Low Balance</v>
      </c>
      <c r="P9045" t="str">
        <f t="shared" si="567"/>
        <v>Mid-term</v>
      </c>
    </row>
    <row r="9046" spans="1:16" x14ac:dyDescent="0.25">
      <c r="A9046">
        <v>2025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  <c r="M9046" t="str">
        <f t="shared" si="564"/>
        <v>46-60</v>
      </c>
      <c r="N9046" t="str">
        <f t="shared" si="565"/>
        <v>Medium</v>
      </c>
      <c r="O9046" t="str">
        <f t="shared" si="566"/>
        <v>Zero Balance</v>
      </c>
      <c r="P9046" t="str">
        <f t="shared" si="567"/>
        <v>New</v>
      </c>
    </row>
    <row r="9047" spans="1:16" x14ac:dyDescent="0.25">
      <c r="A9047">
        <v>2025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  <c r="M9047" t="str">
        <f t="shared" si="564"/>
        <v>&lt;30</v>
      </c>
      <c r="N9047" t="str">
        <f t="shared" si="565"/>
        <v>High</v>
      </c>
      <c r="O9047" t="str">
        <f t="shared" si="566"/>
        <v>High Balance</v>
      </c>
      <c r="P9047" t="str">
        <f t="shared" si="567"/>
        <v>Mid-term</v>
      </c>
    </row>
    <row r="9048" spans="1:16" x14ac:dyDescent="0.25">
      <c r="A9048">
        <v>2025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  <c r="M9048" t="str">
        <f t="shared" si="564"/>
        <v>&lt;30</v>
      </c>
      <c r="N9048" t="str">
        <f t="shared" si="565"/>
        <v>Medium</v>
      </c>
      <c r="O9048" t="str">
        <f t="shared" si="566"/>
        <v>High Balance</v>
      </c>
      <c r="P9048" t="str">
        <f t="shared" si="567"/>
        <v>Mid-term</v>
      </c>
    </row>
    <row r="9049" spans="1:16" x14ac:dyDescent="0.25">
      <c r="A9049">
        <v>2025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  <c r="M9049" t="str">
        <f t="shared" si="564"/>
        <v>30-45</v>
      </c>
      <c r="N9049" t="str">
        <f t="shared" si="565"/>
        <v>Medium</v>
      </c>
      <c r="O9049" t="str">
        <f t="shared" si="566"/>
        <v>High Balance</v>
      </c>
      <c r="P9049" t="str">
        <f t="shared" si="567"/>
        <v>Long-term</v>
      </c>
    </row>
    <row r="9050" spans="1:16" x14ac:dyDescent="0.25">
      <c r="A9050">
        <v>2025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  <c r="M9050" t="str">
        <f t="shared" si="564"/>
        <v>30-45</v>
      </c>
      <c r="N9050" t="str">
        <f t="shared" si="565"/>
        <v>High</v>
      </c>
      <c r="O9050" t="str">
        <f t="shared" si="566"/>
        <v>High Balance</v>
      </c>
      <c r="P9050" t="str">
        <f t="shared" si="567"/>
        <v>Mid-term</v>
      </c>
    </row>
    <row r="9051" spans="1:16" x14ac:dyDescent="0.25">
      <c r="A9051">
        <v>2025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  <c r="M9051" t="str">
        <f t="shared" si="564"/>
        <v>30-45</v>
      </c>
      <c r="N9051" t="str">
        <f t="shared" si="565"/>
        <v>Medium</v>
      </c>
      <c r="O9051" t="str">
        <f t="shared" si="566"/>
        <v>Zero Balance</v>
      </c>
      <c r="P9051" t="str">
        <f t="shared" si="567"/>
        <v>Mid-term</v>
      </c>
    </row>
    <row r="9052" spans="1:16" x14ac:dyDescent="0.25">
      <c r="A9052">
        <v>2025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  <c r="M9052" t="str">
        <f t="shared" si="564"/>
        <v>30-45</v>
      </c>
      <c r="N9052" t="str">
        <f t="shared" si="565"/>
        <v>Medium</v>
      </c>
      <c r="O9052" t="str">
        <f t="shared" si="566"/>
        <v>High Balance</v>
      </c>
      <c r="P9052" t="str">
        <f t="shared" si="567"/>
        <v>Long-term</v>
      </c>
    </row>
    <row r="9053" spans="1:16" x14ac:dyDescent="0.25">
      <c r="A9053">
        <v>2025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  <c r="M9053" t="str">
        <f t="shared" si="564"/>
        <v>30-45</v>
      </c>
      <c r="N9053" t="str">
        <f t="shared" si="565"/>
        <v>Medium</v>
      </c>
      <c r="O9053" t="str">
        <f t="shared" si="566"/>
        <v>High Balance</v>
      </c>
      <c r="P9053" t="str">
        <f t="shared" si="567"/>
        <v>Mid-term</v>
      </c>
    </row>
    <row r="9054" spans="1:16" x14ac:dyDescent="0.25">
      <c r="A9054">
        <v>2025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  <c r="M9054" t="str">
        <f t="shared" si="564"/>
        <v>46-60</v>
      </c>
      <c r="N9054" t="str">
        <f t="shared" si="565"/>
        <v>High</v>
      </c>
      <c r="O9054" t="str">
        <f t="shared" si="566"/>
        <v>High Balance</v>
      </c>
      <c r="P9054" t="str">
        <f t="shared" si="567"/>
        <v>Mid-term</v>
      </c>
    </row>
    <row r="9055" spans="1:16" x14ac:dyDescent="0.25">
      <c r="A9055">
        <v>2025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  <c r="M9055" t="str">
        <f t="shared" si="564"/>
        <v>30-45</v>
      </c>
      <c r="N9055" t="str">
        <f t="shared" si="565"/>
        <v>High</v>
      </c>
      <c r="O9055" t="str">
        <f t="shared" si="566"/>
        <v>Zero Balance</v>
      </c>
      <c r="P9055" t="str">
        <f t="shared" si="567"/>
        <v>New</v>
      </c>
    </row>
    <row r="9056" spans="1:16" x14ac:dyDescent="0.25">
      <c r="A9056">
        <v>2025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  <c r="M9056" t="str">
        <f t="shared" si="564"/>
        <v>30-45</v>
      </c>
      <c r="N9056" t="str">
        <f t="shared" si="565"/>
        <v>Medium</v>
      </c>
      <c r="O9056" t="str">
        <f t="shared" si="566"/>
        <v>Zero Balance</v>
      </c>
      <c r="P9056" t="str">
        <f t="shared" si="567"/>
        <v>Mid-term</v>
      </c>
    </row>
    <row r="9057" spans="1:16" x14ac:dyDescent="0.25">
      <c r="A9057">
        <v>2025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  <c r="M9057" t="str">
        <f t="shared" si="564"/>
        <v>46-60</v>
      </c>
      <c r="N9057" t="str">
        <f t="shared" si="565"/>
        <v>Medium</v>
      </c>
      <c r="O9057" t="str">
        <f t="shared" si="566"/>
        <v>Zero Balance</v>
      </c>
      <c r="P9057" t="str">
        <f t="shared" si="567"/>
        <v>New</v>
      </c>
    </row>
    <row r="9058" spans="1:16" x14ac:dyDescent="0.25">
      <c r="A9058">
        <v>2025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  <c r="M9058" t="str">
        <f t="shared" si="564"/>
        <v>46-60</v>
      </c>
      <c r="N9058" t="str">
        <f t="shared" si="565"/>
        <v>High</v>
      </c>
      <c r="O9058" t="str">
        <f t="shared" si="566"/>
        <v>High Balance</v>
      </c>
      <c r="P9058" t="str">
        <f t="shared" si="567"/>
        <v>Long-term</v>
      </c>
    </row>
    <row r="9059" spans="1:16" x14ac:dyDescent="0.25">
      <c r="A9059">
        <v>2025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  <c r="M9059" t="str">
        <f t="shared" si="564"/>
        <v>30-45</v>
      </c>
      <c r="N9059" t="str">
        <f t="shared" si="565"/>
        <v>High</v>
      </c>
      <c r="O9059" t="str">
        <f t="shared" si="566"/>
        <v>High Balance</v>
      </c>
      <c r="P9059" t="str">
        <f t="shared" si="567"/>
        <v>New</v>
      </c>
    </row>
    <row r="9060" spans="1:16" x14ac:dyDescent="0.25">
      <c r="A9060">
        <v>2025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  <c r="M9060" t="str">
        <f t="shared" si="564"/>
        <v>46-60</v>
      </c>
      <c r="N9060" t="str">
        <f t="shared" si="565"/>
        <v>Low</v>
      </c>
      <c r="O9060" t="str">
        <f t="shared" si="566"/>
        <v>High Balance</v>
      </c>
      <c r="P9060" t="str">
        <f t="shared" si="567"/>
        <v>Mid-term</v>
      </c>
    </row>
    <row r="9061" spans="1:16" x14ac:dyDescent="0.25">
      <c r="A9061">
        <v>2025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  <c r="M9061" t="str">
        <f t="shared" si="564"/>
        <v>30-45</v>
      </c>
      <c r="N9061" t="str">
        <f t="shared" si="565"/>
        <v>Medium</v>
      </c>
      <c r="O9061" t="str">
        <f t="shared" si="566"/>
        <v>Low Balance</v>
      </c>
      <c r="P9061" t="str">
        <f t="shared" si="567"/>
        <v>Long-term</v>
      </c>
    </row>
    <row r="9062" spans="1:16" x14ac:dyDescent="0.25">
      <c r="A9062">
        <v>2025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  <c r="M9062" t="str">
        <f t="shared" si="564"/>
        <v>30-45</v>
      </c>
      <c r="N9062" t="str">
        <f t="shared" si="565"/>
        <v>Medium</v>
      </c>
      <c r="O9062" t="str">
        <f t="shared" si="566"/>
        <v>Zero Balance</v>
      </c>
      <c r="P9062" t="str">
        <f t="shared" si="567"/>
        <v>New</v>
      </c>
    </row>
    <row r="9063" spans="1:16" x14ac:dyDescent="0.25">
      <c r="A9063">
        <v>2025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  <c r="M9063" t="str">
        <f t="shared" si="564"/>
        <v>30-45</v>
      </c>
      <c r="N9063" t="str">
        <f t="shared" si="565"/>
        <v>Medium</v>
      </c>
      <c r="O9063" t="str">
        <f t="shared" si="566"/>
        <v>High Balance</v>
      </c>
      <c r="P9063" t="str">
        <f t="shared" si="567"/>
        <v>New</v>
      </c>
    </row>
    <row r="9064" spans="1:16" x14ac:dyDescent="0.25">
      <c r="A9064">
        <v>2025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  <c r="M9064" t="str">
        <f t="shared" si="564"/>
        <v>60+</v>
      </c>
      <c r="N9064" t="str">
        <f t="shared" si="565"/>
        <v>High</v>
      </c>
      <c r="O9064" t="str">
        <f t="shared" si="566"/>
        <v>Low Balance</v>
      </c>
      <c r="P9064" t="str">
        <f t="shared" si="567"/>
        <v>New</v>
      </c>
    </row>
    <row r="9065" spans="1:16" x14ac:dyDescent="0.25">
      <c r="A9065">
        <v>2025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  <c r="M9065" t="str">
        <f t="shared" si="564"/>
        <v>30-45</v>
      </c>
      <c r="N9065" t="str">
        <f t="shared" si="565"/>
        <v>Medium</v>
      </c>
      <c r="O9065" t="str">
        <f t="shared" si="566"/>
        <v>High Balance</v>
      </c>
      <c r="P9065" t="str">
        <f t="shared" si="567"/>
        <v>New</v>
      </c>
    </row>
    <row r="9066" spans="1:16" x14ac:dyDescent="0.25">
      <c r="A9066">
        <v>2025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  <c r="M9066" t="str">
        <f t="shared" si="564"/>
        <v>46-60</v>
      </c>
      <c r="N9066" t="str">
        <f t="shared" si="565"/>
        <v>Medium</v>
      </c>
      <c r="O9066" t="str">
        <f t="shared" si="566"/>
        <v>High Balance</v>
      </c>
      <c r="P9066" t="str">
        <f t="shared" si="567"/>
        <v>New</v>
      </c>
    </row>
    <row r="9067" spans="1:16" x14ac:dyDescent="0.25">
      <c r="A9067">
        <v>2025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  <c r="M9067" t="str">
        <f t="shared" si="564"/>
        <v>30-45</v>
      </c>
      <c r="N9067" t="str">
        <f t="shared" si="565"/>
        <v>Medium</v>
      </c>
      <c r="O9067" t="str">
        <f t="shared" si="566"/>
        <v>Zero Balance</v>
      </c>
      <c r="P9067" t="str">
        <f t="shared" si="567"/>
        <v>Mid-term</v>
      </c>
    </row>
    <row r="9068" spans="1:16" x14ac:dyDescent="0.25">
      <c r="A9068">
        <v>2025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  <c r="M9068" t="str">
        <f t="shared" si="564"/>
        <v>30-45</v>
      </c>
      <c r="N9068" t="str">
        <f t="shared" si="565"/>
        <v>Medium</v>
      </c>
      <c r="O9068" t="str">
        <f t="shared" si="566"/>
        <v>High Balance</v>
      </c>
      <c r="P9068" t="str">
        <f t="shared" si="567"/>
        <v>Mid-term</v>
      </c>
    </row>
    <row r="9069" spans="1:16" x14ac:dyDescent="0.25">
      <c r="A9069">
        <v>2025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  <c r="M9069" t="str">
        <f t="shared" si="564"/>
        <v>30-45</v>
      </c>
      <c r="N9069" t="str">
        <f t="shared" si="565"/>
        <v>High</v>
      </c>
      <c r="O9069" t="str">
        <f t="shared" si="566"/>
        <v>Low Balance</v>
      </c>
      <c r="P9069" t="str">
        <f t="shared" si="567"/>
        <v>Long-term</v>
      </c>
    </row>
    <row r="9070" spans="1:16" x14ac:dyDescent="0.25">
      <c r="A9070">
        <v>2025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  <c r="M9070" t="str">
        <f t="shared" si="564"/>
        <v>30-45</v>
      </c>
      <c r="N9070" t="str">
        <f t="shared" si="565"/>
        <v>High</v>
      </c>
      <c r="O9070" t="str">
        <f t="shared" si="566"/>
        <v>Zero Balance</v>
      </c>
      <c r="P9070" t="str">
        <f t="shared" si="567"/>
        <v>New</v>
      </c>
    </row>
    <row r="9071" spans="1:16" x14ac:dyDescent="0.25">
      <c r="A9071">
        <v>2025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  <c r="M9071" t="str">
        <f t="shared" si="564"/>
        <v>30-45</v>
      </c>
      <c r="N9071" t="str">
        <f t="shared" si="565"/>
        <v>Medium</v>
      </c>
      <c r="O9071" t="str">
        <f t="shared" si="566"/>
        <v>High Balance</v>
      </c>
      <c r="P9071" t="str">
        <f t="shared" si="567"/>
        <v>Mid-term</v>
      </c>
    </row>
    <row r="9072" spans="1:16" x14ac:dyDescent="0.25">
      <c r="A9072">
        <v>2025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  <c r="M9072" t="str">
        <f t="shared" si="564"/>
        <v>&lt;30</v>
      </c>
      <c r="N9072" t="str">
        <f t="shared" si="565"/>
        <v>Low</v>
      </c>
      <c r="O9072" t="str">
        <f t="shared" si="566"/>
        <v>High Balance</v>
      </c>
      <c r="P9072" t="str">
        <f t="shared" si="567"/>
        <v>New</v>
      </c>
    </row>
    <row r="9073" spans="1:16" x14ac:dyDescent="0.25">
      <c r="A9073">
        <v>2025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  <c r="M9073" t="str">
        <f t="shared" si="564"/>
        <v>30-45</v>
      </c>
      <c r="N9073" t="str">
        <f t="shared" si="565"/>
        <v>Low</v>
      </c>
      <c r="O9073" t="str">
        <f t="shared" si="566"/>
        <v>High Balance</v>
      </c>
      <c r="P9073" t="str">
        <f t="shared" si="567"/>
        <v>New</v>
      </c>
    </row>
    <row r="9074" spans="1:16" x14ac:dyDescent="0.25">
      <c r="A9074">
        <v>2025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  <c r="M9074" t="str">
        <f t="shared" si="564"/>
        <v>30-45</v>
      </c>
      <c r="N9074" t="str">
        <f t="shared" si="565"/>
        <v>Medium</v>
      </c>
      <c r="O9074" t="str">
        <f t="shared" si="566"/>
        <v>Low Balance</v>
      </c>
      <c r="P9074" t="str">
        <f t="shared" si="567"/>
        <v>Mid-term</v>
      </c>
    </row>
    <row r="9075" spans="1:16" x14ac:dyDescent="0.25">
      <c r="A9075">
        <v>2025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  <c r="M9075" t="str">
        <f t="shared" si="564"/>
        <v>46-60</v>
      </c>
      <c r="N9075" t="str">
        <f t="shared" si="565"/>
        <v>High</v>
      </c>
      <c r="O9075" t="str">
        <f t="shared" si="566"/>
        <v>High Balance</v>
      </c>
      <c r="P9075" t="str">
        <f t="shared" si="567"/>
        <v>Mid-term</v>
      </c>
    </row>
    <row r="9076" spans="1:16" x14ac:dyDescent="0.25">
      <c r="A9076">
        <v>2025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  <c r="M9076" t="str">
        <f t="shared" si="564"/>
        <v>30-45</v>
      </c>
      <c r="N9076" t="str">
        <f t="shared" si="565"/>
        <v>Medium</v>
      </c>
      <c r="O9076" t="str">
        <f t="shared" si="566"/>
        <v>Zero Balance</v>
      </c>
      <c r="P9076" t="str">
        <f t="shared" si="567"/>
        <v>Mid-term</v>
      </c>
    </row>
    <row r="9077" spans="1:16" x14ac:dyDescent="0.25">
      <c r="A9077">
        <v>2025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  <c r="M9077" t="str">
        <f t="shared" si="564"/>
        <v>30-45</v>
      </c>
      <c r="N9077" t="str">
        <f t="shared" si="565"/>
        <v>Medium</v>
      </c>
      <c r="O9077" t="str">
        <f t="shared" si="566"/>
        <v>Zero Balance</v>
      </c>
      <c r="P9077" t="str">
        <f t="shared" si="567"/>
        <v>Long-term</v>
      </c>
    </row>
    <row r="9078" spans="1:16" x14ac:dyDescent="0.25">
      <c r="A9078">
        <v>2025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  <c r="M9078" t="str">
        <f t="shared" si="564"/>
        <v>&lt;30</v>
      </c>
      <c r="N9078" t="str">
        <f t="shared" si="565"/>
        <v>Medium</v>
      </c>
      <c r="O9078" t="str">
        <f t="shared" si="566"/>
        <v>Low Balance</v>
      </c>
      <c r="P9078" t="str">
        <f t="shared" si="567"/>
        <v>New</v>
      </c>
    </row>
    <row r="9079" spans="1:16" x14ac:dyDescent="0.25">
      <c r="A9079">
        <v>2025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  <c r="M9079" t="str">
        <f t="shared" si="564"/>
        <v>30-45</v>
      </c>
      <c r="N9079" t="str">
        <f t="shared" si="565"/>
        <v>High</v>
      </c>
      <c r="O9079" t="str">
        <f t="shared" si="566"/>
        <v>High Balance</v>
      </c>
      <c r="P9079" t="str">
        <f t="shared" si="567"/>
        <v>Long-term</v>
      </c>
    </row>
    <row r="9080" spans="1:16" x14ac:dyDescent="0.25">
      <c r="A9080">
        <v>2025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  <c r="M9080" t="str">
        <f t="shared" si="564"/>
        <v>46-60</v>
      </c>
      <c r="N9080" t="str">
        <f t="shared" si="565"/>
        <v>Medium</v>
      </c>
      <c r="O9080" t="str">
        <f t="shared" si="566"/>
        <v>High Balance</v>
      </c>
      <c r="P9080" t="str">
        <f t="shared" si="567"/>
        <v>Mid-term</v>
      </c>
    </row>
    <row r="9081" spans="1:16" x14ac:dyDescent="0.25">
      <c r="A9081">
        <v>2025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  <c r="M9081" t="str">
        <f t="shared" si="564"/>
        <v>&lt;30</v>
      </c>
      <c r="N9081" t="str">
        <f t="shared" si="565"/>
        <v>Medium</v>
      </c>
      <c r="O9081" t="str">
        <f t="shared" si="566"/>
        <v>Zero Balance</v>
      </c>
      <c r="P9081" t="str">
        <f t="shared" si="567"/>
        <v>New</v>
      </c>
    </row>
    <row r="9082" spans="1:16" x14ac:dyDescent="0.25">
      <c r="A9082">
        <v>2025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  <c r="M9082" t="str">
        <f t="shared" si="564"/>
        <v>60+</v>
      </c>
      <c r="N9082" t="str">
        <f t="shared" si="565"/>
        <v>High</v>
      </c>
      <c r="O9082" t="str">
        <f t="shared" si="566"/>
        <v>Zero Balance</v>
      </c>
      <c r="P9082" t="str">
        <f t="shared" si="567"/>
        <v>Mid-term</v>
      </c>
    </row>
    <row r="9083" spans="1:16" x14ac:dyDescent="0.25">
      <c r="A9083">
        <v>2025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  <c r="M9083" t="str">
        <f t="shared" si="564"/>
        <v>46-60</v>
      </c>
      <c r="N9083" t="str">
        <f t="shared" si="565"/>
        <v>High</v>
      </c>
      <c r="O9083" t="str">
        <f t="shared" si="566"/>
        <v>High Balance</v>
      </c>
      <c r="P9083" t="str">
        <f t="shared" si="567"/>
        <v>Mid-term</v>
      </c>
    </row>
    <row r="9084" spans="1:16" x14ac:dyDescent="0.25">
      <c r="A9084">
        <v>2025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  <c r="M9084" t="str">
        <f t="shared" si="564"/>
        <v>30-45</v>
      </c>
      <c r="N9084" t="str">
        <f t="shared" si="565"/>
        <v>High</v>
      </c>
      <c r="O9084" t="str">
        <f t="shared" si="566"/>
        <v>High Balance</v>
      </c>
      <c r="P9084" t="str">
        <f t="shared" si="567"/>
        <v>Mid-term</v>
      </c>
    </row>
    <row r="9085" spans="1:16" x14ac:dyDescent="0.25">
      <c r="A9085">
        <v>2025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  <c r="M9085" t="str">
        <f t="shared" si="564"/>
        <v>30-45</v>
      </c>
      <c r="N9085" t="str">
        <f t="shared" si="565"/>
        <v>Low</v>
      </c>
      <c r="O9085" t="str">
        <f t="shared" si="566"/>
        <v>Zero Balance</v>
      </c>
      <c r="P9085" t="str">
        <f t="shared" si="567"/>
        <v>Long-term</v>
      </c>
    </row>
    <row r="9086" spans="1:16" x14ac:dyDescent="0.25">
      <c r="A9086">
        <v>2025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  <c r="M9086" t="str">
        <f t="shared" si="564"/>
        <v>46-60</v>
      </c>
      <c r="N9086" t="str">
        <f t="shared" si="565"/>
        <v>Medium</v>
      </c>
      <c r="O9086" t="str">
        <f t="shared" si="566"/>
        <v>Zero Balance</v>
      </c>
      <c r="P9086" t="str">
        <f t="shared" si="567"/>
        <v>Mid-term</v>
      </c>
    </row>
    <row r="9087" spans="1:16" x14ac:dyDescent="0.25">
      <c r="A9087">
        <v>2025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  <c r="M9087" t="str">
        <f t="shared" si="564"/>
        <v>30-45</v>
      </c>
      <c r="N9087" t="str">
        <f t="shared" si="565"/>
        <v>Medium</v>
      </c>
      <c r="O9087" t="str">
        <f t="shared" si="566"/>
        <v>Zero Balance</v>
      </c>
      <c r="P9087" t="str">
        <f t="shared" si="567"/>
        <v>Mid-term</v>
      </c>
    </row>
    <row r="9088" spans="1:16" x14ac:dyDescent="0.25">
      <c r="A9088">
        <v>2025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  <c r="M9088" t="str">
        <f t="shared" si="564"/>
        <v>&lt;30</v>
      </c>
      <c r="N9088" t="str">
        <f t="shared" si="565"/>
        <v>Medium</v>
      </c>
      <c r="O9088" t="str">
        <f t="shared" si="566"/>
        <v>Zero Balance</v>
      </c>
      <c r="P9088" t="str">
        <f t="shared" si="567"/>
        <v>New</v>
      </c>
    </row>
    <row r="9089" spans="1:16" x14ac:dyDescent="0.25">
      <c r="A9089">
        <v>2025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  <c r="M9089" t="str">
        <f t="shared" si="564"/>
        <v>30-45</v>
      </c>
      <c r="N9089" t="str">
        <f t="shared" si="565"/>
        <v>High</v>
      </c>
      <c r="O9089" t="str">
        <f t="shared" si="566"/>
        <v>Zero Balance</v>
      </c>
      <c r="P9089" t="str">
        <f t="shared" si="567"/>
        <v>New</v>
      </c>
    </row>
    <row r="9090" spans="1:16" x14ac:dyDescent="0.25">
      <c r="A9090">
        <v>2025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  <c r="M9090" t="str">
        <f t="shared" si="564"/>
        <v>30-45</v>
      </c>
      <c r="N9090" t="str">
        <f t="shared" si="565"/>
        <v>High</v>
      </c>
      <c r="O9090" t="str">
        <f t="shared" si="566"/>
        <v>High Balance</v>
      </c>
      <c r="P9090" t="str">
        <f t="shared" si="567"/>
        <v>Long-term</v>
      </c>
    </row>
    <row r="9091" spans="1:16" x14ac:dyDescent="0.25">
      <c r="A9091">
        <v>2025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  <c r="M9091" t="str">
        <f t="shared" ref="M9091:M9154" si="568">IF(E9091&lt;30,"&lt;30",IF(E9091&lt;=45,"30-45",IF(E9091&lt;=60,"46-60","60+")))</f>
        <v>30-45</v>
      </c>
      <c r="N9091" t="str">
        <f t="shared" ref="N9091:N9154" si="569">IF(B9091&lt;500,"Low",IF(B9091&lt;700,"Medium","High"))</f>
        <v>Medium</v>
      </c>
      <c r="O9091" t="str">
        <f t="shared" ref="O9091:O9154" si="570">IF(G9091=0,"Zero Balance",IF(G9091&lt;100000,"Low Balance","High Balance"))</f>
        <v>Low Balance</v>
      </c>
      <c r="P9091" t="str">
        <f t="shared" ref="P9091:P9154" si="571">IF(F9091&lt;=3,"New",IF(F9091&lt;=7,"Mid-term","Long-term"))</f>
        <v>Mid-term</v>
      </c>
    </row>
    <row r="9092" spans="1:16" x14ac:dyDescent="0.25">
      <c r="A9092">
        <v>2025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  <c r="M9092" t="str">
        <f t="shared" si="568"/>
        <v>30-45</v>
      </c>
      <c r="N9092" t="str">
        <f t="shared" si="569"/>
        <v>High</v>
      </c>
      <c r="O9092" t="str">
        <f t="shared" si="570"/>
        <v>Zero Balance</v>
      </c>
      <c r="P9092" t="str">
        <f t="shared" si="571"/>
        <v>Mid-term</v>
      </c>
    </row>
    <row r="9093" spans="1:16" x14ac:dyDescent="0.25">
      <c r="A9093">
        <v>2025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  <c r="M9093" t="str">
        <f t="shared" si="568"/>
        <v>30-45</v>
      </c>
      <c r="N9093" t="str">
        <f t="shared" si="569"/>
        <v>High</v>
      </c>
      <c r="O9093" t="str">
        <f t="shared" si="570"/>
        <v>High Balance</v>
      </c>
      <c r="P9093" t="str">
        <f t="shared" si="571"/>
        <v>Mid-term</v>
      </c>
    </row>
    <row r="9094" spans="1:16" x14ac:dyDescent="0.25">
      <c r="A9094">
        <v>2025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  <c r="M9094" t="str">
        <f t="shared" si="568"/>
        <v>30-45</v>
      </c>
      <c r="N9094" t="str">
        <f t="shared" si="569"/>
        <v>High</v>
      </c>
      <c r="O9094" t="str">
        <f t="shared" si="570"/>
        <v>High Balance</v>
      </c>
      <c r="P9094" t="str">
        <f t="shared" si="571"/>
        <v>New</v>
      </c>
    </row>
    <row r="9095" spans="1:16" x14ac:dyDescent="0.25">
      <c r="A9095">
        <v>2025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  <c r="M9095" t="str">
        <f t="shared" si="568"/>
        <v>30-45</v>
      </c>
      <c r="N9095" t="str">
        <f t="shared" si="569"/>
        <v>Medium</v>
      </c>
      <c r="O9095" t="str">
        <f t="shared" si="570"/>
        <v>Zero Balance</v>
      </c>
      <c r="P9095" t="str">
        <f t="shared" si="571"/>
        <v>Mid-term</v>
      </c>
    </row>
    <row r="9096" spans="1:16" x14ac:dyDescent="0.25">
      <c r="A9096">
        <v>2025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  <c r="M9096" t="str">
        <f t="shared" si="568"/>
        <v>30-45</v>
      </c>
      <c r="N9096" t="str">
        <f t="shared" si="569"/>
        <v>Medium</v>
      </c>
      <c r="O9096" t="str">
        <f t="shared" si="570"/>
        <v>Low Balance</v>
      </c>
      <c r="P9096" t="str">
        <f t="shared" si="571"/>
        <v>New</v>
      </c>
    </row>
    <row r="9097" spans="1:16" x14ac:dyDescent="0.25">
      <c r="A9097">
        <v>2025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  <c r="M9097" t="str">
        <f t="shared" si="568"/>
        <v>30-45</v>
      </c>
      <c r="N9097" t="str">
        <f t="shared" si="569"/>
        <v>High</v>
      </c>
      <c r="O9097" t="str">
        <f t="shared" si="570"/>
        <v>High Balance</v>
      </c>
      <c r="P9097" t="str">
        <f t="shared" si="571"/>
        <v>New</v>
      </c>
    </row>
    <row r="9098" spans="1:16" x14ac:dyDescent="0.25">
      <c r="A9098">
        <v>2025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  <c r="M9098" t="str">
        <f t="shared" si="568"/>
        <v>30-45</v>
      </c>
      <c r="N9098" t="str">
        <f t="shared" si="569"/>
        <v>Medium</v>
      </c>
      <c r="O9098" t="str">
        <f t="shared" si="570"/>
        <v>High Balance</v>
      </c>
      <c r="P9098" t="str">
        <f t="shared" si="571"/>
        <v>Long-term</v>
      </c>
    </row>
    <row r="9099" spans="1:16" x14ac:dyDescent="0.25">
      <c r="A9099">
        <v>2025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  <c r="M9099" t="str">
        <f t="shared" si="568"/>
        <v>30-45</v>
      </c>
      <c r="N9099" t="str">
        <f t="shared" si="569"/>
        <v>High</v>
      </c>
      <c r="O9099" t="str">
        <f t="shared" si="570"/>
        <v>Zero Balance</v>
      </c>
      <c r="P9099" t="str">
        <f t="shared" si="571"/>
        <v>Mid-term</v>
      </c>
    </row>
    <row r="9100" spans="1:16" x14ac:dyDescent="0.25">
      <c r="A9100">
        <v>2025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  <c r="M9100" t="str">
        <f t="shared" si="568"/>
        <v>30-45</v>
      </c>
      <c r="N9100" t="str">
        <f t="shared" si="569"/>
        <v>Low</v>
      </c>
      <c r="O9100" t="str">
        <f t="shared" si="570"/>
        <v>High Balance</v>
      </c>
      <c r="P9100" t="str">
        <f t="shared" si="571"/>
        <v>Mid-term</v>
      </c>
    </row>
    <row r="9101" spans="1:16" x14ac:dyDescent="0.25">
      <c r="A9101">
        <v>2025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  <c r="M9101" t="str">
        <f t="shared" si="568"/>
        <v>&lt;30</v>
      </c>
      <c r="N9101" t="str">
        <f t="shared" si="569"/>
        <v>High</v>
      </c>
      <c r="O9101" t="str">
        <f t="shared" si="570"/>
        <v>Zero Balance</v>
      </c>
      <c r="P9101" t="str">
        <f t="shared" si="571"/>
        <v>New</v>
      </c>
    </row>
    <row r="9102" spans="1:16" x14ac:dyDescent="0.25">
      <c r="A9102">
        <v>2025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  <c r="M9102" t="str">
        <f t="shared" si="568"/>
        <v>30-45</v>
      </c>
      <c r="N9102" t="str">
        <f t="shared" si="569"/>
        <v>Medium</v>
      </c>
      <c r="O9102" t="str">
        <f t="shared" si="570"/>
        <v>Zero Balance</v>
      </c>
      <c r="P9102" t="str">
        <f t="shared" si="571"/>
        <v>Mid-term</v>
      </c>
    </row>
    <row r="9103" spans="1:16" x14ac:dyDescent="0.25">
      <c r="A9103">
        <v>2025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  <c r="M9103" t="str">
        <f t="shared" si="568"/>
        <v>30-45</v>
      </c>
      <c r="N9103" t="str">
        <f t="shared" si="569"/>
        <v>Medium</v>
      </c>
      <c r="O9103" t="str">
        <f t="shared" si="570"/>
        <v>High Balance</v>
      </c>
      <c r="P9103" t="str">
        <f t="shared" si="571"/>
        <v>Mid-term</v>
      </c>
    </row>
    <row r="9104" spans="1:16" x14ac:dyDescent="0.25">
      <c r="A9104">
        <v>2025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  <c r="M9104" t="str">
        <f t="shared" si="568"/>
        <v>60+</v>
      </c>
      <c r="N9104" t="str">
        <f t="shared" si="569"/>
        <v>Low</v>
      </c>
      <c r="O9104" t="str">
        <f t="shared" si="570"/>
        <v>High Balance</v>
      </c>
      <c r="P9104" t="str">
        <f t="shared" si="571"/>
        <v>New</v>
      </c>
    </row>
    <row r="9105" spans="1:16" x14ac:dyDescent="0.25">
      <c r="A9105">
        <v>2025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  <c r="M9105" t="str">
        <f t="shared" si="568"/>
        <v>&lt;30</v>
      </c>
      <c r="N9105" t="str">
        <f t="shared" si="569"/>
        <v>Medium</v>
      </c>
      <c r="O9105" t="str">
        <f t="shared" si="570"/>
        <v>Zero Balance</v>
      </c>
      <c r="P9105" t="str">
        <f t="shared" si="571"/>
        <v>New</v>
      </c>
    </row>
    <row r="9106" spans="1:16" x14ac:dyDescent="0.25">
      <c r="A9106">
        <v>2025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  <c r="M9106" t="str">
        <f t="shared" si="568"/>
        <v>30-45</v>
      </c>
      <c r="N9106" t="str">
        <f t="shared" si="569"/>
        <v>Medium</v>
      </c>
      <c r="O9106" t="str">
        <f t="shared" si="570"/>
        <v>Low Balance</v>
      </c>
      <c r="P9106" t="str">
        <f t="shared" si="571"/>
        <v>Mid-term</v>
      </c>
    </row>
    <row r="9107" spans="1:16" x14ac:dyDescent="0.25">
      <c r="A9107">
        <v>2025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  <c r="M9107" t="str">
        <f t="shared" si="568"/>
        <v>30-45</v>
      </c>
      <c r="N9107" t="str">
        <f t="shared" si="569"/>
        <v>Medium</v>
      </c>
      <c r="O9107" t="str">
        <f t="shared" si="570"/>
        <v>High Balance</v>
      </c>
      <c r="P9107" t="str">
        <f t="shared" si="571"/>
        <v>Mid-term</v>
      </c>
    </row>
    <row r="9108" spans="1:16" x14ac:dyDescent="0.25">
      <c r="A9108">
        <v>2025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  <c r="M9108" t="str">
        <f t="shared" si="568"/>
        <v>46-60</v>
      </c>
      <c r="N9108" t="str">
        <f t="shared" si="569"/>
        <v>Medium</v>
      </c>
      <c r="O9108" t="str">
        <f t="shared" si="570"/>
        <v>High Balance</v>
      </c>
      <c r="P9108" t="str">
        <f t="shared" si="571"/>
        <v>Long-term</v>
      </c>
    </row>
    <row r="9109" spans="1:16" x14ac:dyDescent="0.25">
      <c r="A9109">
        <v>2025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  <c r="M9109" t="str">
        <f t="shared" si="568"/>
        <v>30-45</v>
      </c>
      <c r="N9109" t="str">
        <f t="shared" si="569"/>
        <v>Medium</v>
      </c>
      <c r="O9109" t="str">
        <f t="shared" si="570"/>
        <v>Zero Balance</v>
      </c>
      <c r="P9109" t="str">
        <f t="shared" si="571"/>
        <v>Long-term</v>
      </c>
    </row>
    <row r="9110" spans="1:16" x14ac:dyDescent="0.25">
      <c r="A9110">
        <v>2025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  <c r="M9110" t="str">
        <f t="shared" si="568"/>
        <v>30-45</v>
      </c>
      <c r="N9110" t="str">
        <f t="shared" si="569"/>
        <v>High</v>
      </c>
      <c r="O9110" t="str">
        <f t="shared" si="570"/>
        <v>Low Balance</v>
      </c>
      <c r="P9110" t="str">
        <f t="shared" si="571"/>
        <v>Long-term</v>
      </c>
    </row>
    <row r="9111" spans="1:16" x14ac:dyDescent="0.25">
      <c r="A9111">
        <v>2025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  <c r="M9111" t="str">
        <f t="shared" si="568"/>
        <v>30-45</v>
      </c>
      <c r="N9111" t="str">
        <f t="shared" si="569"/>
        <v>Medium</v>
      </c>
      <c r="O9111" t="str">
        <f t="shared" si="570"/>
        <v>Zero Balance</v>
      </c>
      <c r="P9111" t="str">
        <f t="shared" si="571"/>
        <v>Long-term</v>
      </c>
    </row>
    <row r="9112" spans="1:16" x14ac:dyDescent="0.25">
      <c r="A9112">
        <v>2025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  <c r="M9112" t="str">
        <f t="shared" si="568"/>
        <v>&lt;30</v>
      </c>
      <c r="N9112" t="str">
        <f t="shared" si="569"/>
        <v>Medium</v>
      </c>
      <c r="O9112" t="str">
        <f t="shared" si="570"/>
        <v>High Balance</v>
      </c>
      <c r="P9112" t="str">
        <f t="shared" si="571"/>
        <v>Long-term</v>
      </c>
    </row>
    <row r="9113" spans="1:16" x14ac:dyDescent="0.25">
      <c r="A9113">
        <v>2025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  <c r="M9113" t="str">
        <f t="shared" si="568"/>
        <v>30-45</v>
      </c>
      <c r="N9113" t="str">
        <f t="shared" si="569"/>
        <v>Medium</v>
      </c>
      <c r="O9113" t="str">
        <f t="shared" si="570"/>
        <v>Low Balance</v>
      </c>
      <c r="P9113" t="str">
        <f t="shared" si="571"/>
        <v>Mid-term</v>
      </c>
    </row>
    <row r="9114" spans="1:16" x14ac:dyDescent="0.25">
      <c r="A9114">
        <v>2025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  <c r="M9114" t="str">
        <f t="shared" si="568"/>
        <v>60+</v>
      </c>
      <c r="N9114" t="str">
        <f t="shared" si="569"/>
        <v>High</v>
      </c>
      <c r="O9114" t="str">
        <f t="shared" si="570"/>
        <v>Zero Balance</v>
      </c>
      <c r="P9114" t="str">
        <f t="shared" si="571"/>
        <v>Long-term</v>
      </c>
    </row>
    <row r="9115" spans="1:16" x14ac:dyDescent="0.25">
      <c r="A9115">
        <v>2025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  <c r="M9115" t="str">
        <f t="shared" si="568"/>
        <v>&lt;30</v>
      </c>
      <c r="N9115" t="str">
        <f t="shared" si="569"/>
        <v>Medium</v>
      </c>
      <c r="O9115" t="str">
        <f t="shared" si="570"/>
        <v>Low Balance</v>
      </c>
      <c r="P9115" t="str">
        <f t="shared" si="571"/>
        <v>New</v>
      </c>
    </row>
    <row r="9116" spans="1:16" x14ac:dyDescent="0.25">
      <c r="A9116">
        <v>2025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  <c r="M9116" t="str">
        <f t="shared" si="568"/>
        <v>30-45</v>
      </c>
      <c r="N9116" t="str">
        <f t="shared" si="569"/>
        <v>Medium</v>
      </c>
      <c r="O9116" t="str">
        <f t="shared" si="570"/>
        <v>Zero Balance</v>
      </c>
      <c r="P9116" t="str">
        <f t="shared" si="571"/>
        <v>Mid-term</v>
      </c>
    </row>
    <row r="9117" spans="1:16" x14ac:dyDescent="0.25">
      <c r="A9117">
        <v>2025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  <c r="M9117" t="str">
        <f t="shared" si="568"/>
        <v>30-45</v>
      </c>
      <c r="N9117" t="str">
        <f t="shared" si="569"/>
        <v>Medium</v>
      </c>
      <c r="O9117" t="str">
        <f t="shared" si="570"/>
        <v>High Balance</v>
      </c>
      <c r="P9117" t="str">
        <f t="shared" si="571"/>
        <v>New</v>
      </c>
    </row>
    <row r="9118" spans="1:16" x14ac:dyDescent="0.25">
      <c r="A9118">
        <v>2025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  <c r="M9118" t="str">
        <f t="shared" si="568"/>
        <v>60+</v>
      </c>
      <c r="N9118" t="str">
        <f t="shared" si="569"/>
        <v>Medium</v>
      </c>
      <c r="O9118" t="str">
        <f t="shared" si="570"/>
        <v>Zero Balance</v>
      </c>
      <c r="P9118" t="str">
        <f t="shared" si="571"/>
        <v>New</v>
      </c>
    </row>
    <row r="9119" spans="1:16" x14ac:dyDescent="0.25">
      <c r="A9119">
        <v>2025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  <c r="M9119" t="str">
        <f t="shared" si="568"/>
        <v>30-45</v>
      </c>
      <c r="N9119" t="str">
        <f t="shared" si="569"/>
        <v>High</v>
      </c>
      <c r="O9119" t="str">
        <f t="shared" si="570"/>
        <v>Zero Balance</v>
      </c>
      <c r="P9119" t="str">
        <f t="shared" si="571"/>
        <v>Mid-term</v>
      </c>
    </row>
    <row r="9120" spans="1:16" x14ac:dyDescent="0.25">
      <c r="A9120">
        <v>2025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  <c r="M9120" t="str">
        <f t="shared" si="568"/>
        <v>&lt;30</v>
      </c>
      <c r="N9120" t="str">
        <f t="shared" si="569"/>
        <v>High</v>
      </c>
      <c r="O9120" t="str">
        <f t="shared" si="570"/>
        <v>Zero Balance</v>
      </c>
      <c r="P9120" t="str">
        <f t="shared" si="571"/>
        <v>Mid-term</v>
      </c>
    </row>
    <row r="9121" spans="1:16" x14ac:dyDescent="0.25">
      <c r="A9121">
        <v>2025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  <c r="M9121" t="str">
        <f t="shared" si="568"/>
        <v>30-45</v>
      </c>
      <c r="N9121" t="str">
        <f t="shared" si="569"/>
        <v>High</v>
      </c>
      <c r="O9121" t="str">
        <f t="shared" si="570"/>
        <v>High Balance</v>
      </c>
      <c r="P9121" t="str">
        <f t="shared" si="571"/>
        <v>Mid-term</v>
      </c>
    </row>
    <row r="9122" spans="1:16" x14ac:dyDescent="0.25">
      <c r="A9122">
        <v>2025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  <c r="M9122" t="str">
        <f t="shared" si="568"/>
        <v>46-60</v>
      </c>
      <c r="N9122" t="str">
        <f t="shared" si="569"/>
        <v>High</v>
      </c>
      <c r="O9122" t="str">
        <f t="shared" si="570"/>
        <v>Low Balance</v>
      </c>
      <c r="P9122" t="str">
        <f t="shared" si="571"/>
        <v>Mid-term</v>
      </c>
    </row>
    <row r="9123" spans="1:16" x14ac:dyDescent="0.25">
      <c r="A9123">
        <v>2025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  <c r="M9123" t="str">
        <f t="shared" si="568"/>
        <v>30-45</v>
      </c>
      <c r="N9123" t="str">
        <f t="shared" si="569"/>
        <v>Medium</v>
      </c>
      <c r="O9123" t="str">
        <f t="shared" si="570"/>
        <v>Zero Balance</v>
      </c>
      <c r="P9123" t="str">
        <f t="shared" si="571"/>
        <v>New</v>
      </c>
    </row>
    <row r="9124" spans="1:16" x14ac:dyDescent="0.25">
      <c r="A9124">
        <v>2025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  <c r="M9124" t="str">
        <f t="shared" si="568"/>
        <v>&lt;30</v>
      </c>
      <c r="N9124" t="str">
        <f t="shared" si="569"/>
        <v>Medium</v>
      </c>
      <c r="O9124" t="str">
        <f t="shared" si="570"/>
        <v>Low Balance</v>
      </c>
      <c r="P9124" t="str">
        <f t="shared" si="571"/>
        <v>New</v>
      </c>
    </row>
    <row r="9125" spans="1:16" x14ac:dyDescent="0.25">
      <c r="A9125">
        <v>2025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  <c r="M9125" t="str">
        <f t="shared" si="568"/>
        <v>30-45</v>
      </c>
      <c r="N9125" t="str">
        <f t="shared" si="569"/>
        <v>High</v>
      </c>
      <c r="O9125" t="str">
        <f t="shared" si="570"/>
        <v>High Balance</v>
      </c>
      <c r="P9125" t="str">
        <f t="shared" si="571"/>
        <v>Mid-term</v>
      </c>
    </row>
    <row r="9126" spans="1:16" x14ac:dyDescent="0.25">
      <c r="A9126">
        <v>2025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  <c r="M9126" t="str">
        <f t="shared" si="568"/>
        <v>30-45</v>
      </c>
      <c r="N9126" t="str">
        <f t="shared" si="569"/>
        <v>Medium</v>
      </c>
      <c r="O9126" t="str">
        <f t="shared" si="570"/>
        <v>High Balance</v>
      </c>
      <c r="P9126" t="str">
        <f t="shared" si="571"/>
        <v>Mid-term</v>
      </c>
    </row>
    <row r="9127" spans="1:16" x14ac:dyDescent="0.25">
      <c r="A9127">
        <v>2025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  <c r="M9127" t="str">
        <f t="shared" si="568"/>
        <v>30-45</v>
      </c>
      <c r="N9127" t="str">
        <f t="shared" si="569"/>
        <v>High</v>
      </c>
      <c r="O9127" t="str">
        <f t="shared" si="570"/>
        <v>Zero Balance</v>
      </c>
      <c r="P9127" t="str">
        <f t="shared" si="571"/>
        <v>New</v>
      </c>
    </row>
    <row r="9128" spans="1:16" x14ac:dyDescent="0.25">
      <c r="A9128">
        <v>2025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  <c r="M9128" t="str">
        <f t="shared" si="568"/>
        <v>46-60</v>
      </c>
      <c r="N9128" t="str">
        <f t="shared" si="569"/>
        <v>High</v>
      </c>
      <c r="O9128" t="str">
        <f t="shared" si="570"/>
        <v>Low Balance</v>
      </c>
      <c r="P9128" t="str">
        <f t="shared" si="571"/>
        <v>Mid-term</v>
      </c>
    </row>
    <row r="9129" spans="1:16" x14ac:dyDescent="0.25">
      <c r="A9129">
        <v>2025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  <c r="M9129" t="str">
        <f t="shared" si="568"/>
        <v>30-45</v>
      </c>
      <c r="N9129" t="str">
        <f t="shared" si="569"/>
        <v>Medium</v>
      </c>
      <c r="O9129" t="str">
        <f t="shared" si="570"/>
        <v>High Balance</v>
      </c>
      <c r="P9129" t="str">
        <f t="shared" si="571"/>
        <v>Long-term</v>
      </c>
    </row>
    <row r="9130" spans="1:16" x14ac:dyDescent="0.25">
      <c r="A9130">
        <v>2025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  <c r="M9130" t="str">
        <f t="shared" si="568"/>
        <v>30-45</v>
      </c>
      <c r="N9130" t="str">
        <f t="shared" si="569"/>
        <v>Medium</v>
      </c>
      <c r="O9130" t="str">
        <f t="shared" si="570"/>
        <v>High Balance</v>
      </c>
      <c r="P9130" t="str">
        <f t="shared" si="571"/>
        <v>New</v>
      </c>
    </row>
    <row r="9131" spans="1:16" x14ac:dyDescent="0.25">
      <c r="A9131">
        <v>2025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  <c r="M9131" t="str">
        <f t="shared" si="568"/>
        <v>30-45</v>
      </c>
      <c r="N9131" t="str">
        <f t="shared" si="569"/>
        <v>High</v>
      </c>
      <c r="O9131" t="str">
        <f t="shared" si="570"/>
        <v>Low Balance</v>
      </c>
      <c r="P9131" t="str">
        <f t="shared" si="571"/>
        <v>Mid-term</v>
      </c>
    </row>
    <row r="9132" spans="1:16" x14ac:dyDescent="0.25">
      <c r="A9132">
        <v>2025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  <c r="M9132" t="str">
        <f t="shared" si="568"/>
        <v>30-45</v>
      </c>
      <c r="N9132" t="str">
        <f t="shared" si="569"/>
        <v>High</v>
      </c>
      <c r="O9132" t="str">
        <f t="shared" si="570"/>
        <v>High Balance</v>
      </c>
      <c r="P9132" t="str">
        <f t="shared" si="571"/>
        <v>Mid-term</v>
      </c>
    </row>
    <row r="9133" spans="1:16" x14ac:dyDescent="0.25">
      <c r="A9133">
        <v>2025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  <c r="M9133" t="str">
        <f t="shared" si="568"/>
        <v>&lt;30</v>
      </c>
      <c r="N9133" t="str">
        <f t="shared" si="569"/>
        <v>High</v>
      </c>
      <c r="O9133" t="str">
        <f t="shared" si="570"/>
        <v>High Balance</v>
      </c>
      <c r="P9133" t="str">
        <f t="shared" si="571"/>
        <v>Mid-term</v>
      </c>
    </row>
    <row r="9134" spans="1:16" x14ac:dyDescent="0.25">
      <c r="A9134">
        <v>2025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  <c r="M9134" t="str">
        <f t="shared" si="568"/>
        <v>30-45</v>
      </c>
      <c r="N9134" t="str">
        <f t="shared" si="569"/>
        <v>Medium</v>
      </c>
      <c r="O9134" t="str">
        <f t="shared" si="570"/>
        <v>Zero Balance</v>
      </c>
      <c r="P9134" t="str">
        <f t="shared" si="571"/>
        <v>Mid-term</v>
      </c>
    </row>
    <row r="9135" spans="1:16" x14ac:dyDescent="0.25">
      <c r="A9135">
        <v>2025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  <c r="M9135" t="str">
        <f t="shared" si="568"/>
        <v>30-45</v>
      </c>
      <c r="N9135" t="str">
        <f t="shared" si="569"/>
        <v>High</v>
      </c>
      <c r="O9135" t="str">
        <f t="shared" si="570"/>
        <v>High Balance</v>
      </c>
      <c r="P9135" t="str">
        <f t="shared" si="571"/>
        <v>New</v>
      </c>
    </row>
    <row r="9136" spans="1:16" x14ac:dyDescent="0.25">
      <c r="A9136">
        <v>2025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  <c r="M9136" t="str">
        <f t="shared" si="568"/>
        <v>30-45</v>
      </c>
      <c r="N9136" t="str">
        <f t="shared" si="569"/>
        <v>Low</v>
      </c>
      <c r="O9136" t="str">
        <f t="shared" si="570"/>
        <v>Zero Balance</v>
      </c>
      <c r="P9136" t="str">
        <f t="shared" si="571"/>
        <v>New</v>
      </c>
    </row>
    <row r="9137" spans="1:16" x14ac:dyDescent="0.25">
      <c r="A9137">
        <v>2025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  <c r="M9137" t="str">
        <f t="shared" si="568"/>
        <v>46-60</v>
      </c>
      <c r="N9137" t="str">
        <f t="shared" si="569"/>
        <v>High</v>
      </c>
      <c r="O9137" t="str">
        <f t="shared" si="570"/>
        <v>Low Balance</v>
      </c>
      <c r="P9137" t="str">
        <f t="shared" si="571"/>
        <v>Mid-term</v>
      </c>
    </row>
    <row r="9138" spans="1:16" x14ac:dyDescent="0.25">
      <c r="A9138">
        <v>2025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  <c r="M9138" t="str">
        <f t="shared" si="568"/>
        <v>&lt;30</v>
      </c>
      <c r="N9138" t="str">
        <f t="shared" si="569"/>
        <v>Medium</v>
      </c>
      <c r="O9138" t="str">
        <f t="shared" si="570"/>
        <v>Low Balance</v>
      </c>
      <c r="P9138" t="str">
        <f t="shared" si="571"/>
        <v>Mid-term</v>
      </c>
    </row>
    <row r="9139" spans="1:16" x14ac:dyDescent="0.25">
      <c r="A9139">
        <v>2025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  <c r="M9139" t="str">
        <f t="shared" si="568"/>
        <v>30-45</v>
      </c>
      <c r="N9139" t="str">
        <f t="shared" si="569"/>
        <v>Medium</v>
      </c>
      <c r="O9139" t="str">
        <f t="shared" si="570"/>
        <v>High Balance</v>
      </c>
      <c r="P9139" t="str">
        <f t="shared" si="571"/>
        <v>New</v>
      </c>
    </row>
    <row r="9140" spans="1:16" x14ac:dyDescent="0.25">
      <c r="A9140">
        <v>2025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  <c r="M9140" t="str">
        <f t="shared" si="568"/>
        <v>46-60</v>
      </c>
      <c r="N9140" t="str">
        <f t="shared" si="569"/>
        <v>Medium</v>
      </c>
      <c r="O9140" t="str">
        <f t="shared" si="570"/>
        <v>High Balance</v>
      </c>
      <c r="P9140" t="str">
        <f t="shared" si="571"/>
        <v>Long-term</v>
      </c>
    </row>
    <row r="9141" spans="1:16" x14ac:dyDescent="0.25">
      <c r="A9141">
        <v>2025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  <c r="M9141" t="str">
        <f t="shared" si="568"/>
        <v>&lt;30</v>
      </c>
      <c r="N9141" t="str">
        <f t="shared" si="569"/>
        <v>Medium</v>
      </c>
      <c r="O9141" t="str">
        <f t="shared" si="570"/>
        <v>Zero Balance</v>
      </c>
      <c r="P9141" t="str">
        <f t="shared" si="571"/>
        <v>Mid-term</v>
      </c>
    </row>
    <row r="9142" spans="1:16" x14ac:dyDescent="0.25">
      <c r="A9142">
        <v>2025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  <c r="M9142" t="str">
        <f t="shared" si="568"/>
        <v>&lt;30</v>
      </c>
      <c r="N9142" t="str">
        <f t="shared" si="569"/>
        <v>Low</v>
      </c>
      <c r="O9142" t="str">
        <f t="shared" si="570"/>
        <v>Zero Balance</v>
      </c>
      <c r="P9142" t="str">
        <f t="shared" si="571"/>
        <v>Mid-term</v>
      </c>
    </row>
    <row r="9143" spans="1:16" x14ac:dyDescent="0.25">
      <c r="A9143">
        <v>2025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  <c r="M9143" t="str">
        <f t="shared" si="568"/>
        <v>30-45</v>
      </c>
      <c r="N9143" t="str">
        <f t="shared" si="569"/>
        <v>High</v>
      </c>
      <c r="O9143" t="str">
        <f t="shared" si="570"/>
        <v>Low Balance</v>
      </c>
      <c r="P9143" t="str">
        <f t="shared" si="571"/>
        <v>Long-term</v>
      </c>
    </row>
    <row r="9144" spans="1:16" x14ac:dyDescent="0.25">
      <c r="A9144">
        <v>2025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  <c r="M9144" t="str">
        <f t="shared" si="568"/>
        <v>30-45</v>
      </c>
      <c r="N9144" t="str">
        <f t="shared" si="569"/>
        <v>Low</v>
      </c>
      <c r="O9144" t="str">
        <f t="shared" si="570"/>
        <v>High Balance</v>
      </c>
      <c r="P9144" t="str">
        <f t="shared" si="571"/>
        <v>Long-term</v>
      </c>
    </row>
    <row r="9145" spans="1:16" x14ac:dyDescent="0.25">
      <c r="A9145">
        <v>2025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  <c r="M9145" t="str">
        <f t="shared" si="568"/>
        <v>30-45</v>
      </c>
      <c r="N9145" t="str">
        <f t="shared" si="569"/>
        <v>Medium</v>
      </c>
      <c r="O9145" t="str">
        <f t="shared" si="570"/>
        <v>High Balance</v>
      </c>
      <c r="P9145" t="str">
        <f t="shared" si="571"/>
        <v>Long-term</v>
      </c>
    </row>
    <row r="9146" spans="1:16" x14ac:dyDescent="0.25">
      <c r="A9146">
        <v>2025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  <c r="M9146" t="str">
        <f t="shared" si="568"/>
        <v>30-45</v>
      </c>
      <c r="N9146" t="str">
        <f t="shared" si="569"/>
        <v>High</v>
      </c>
      <c r="O9146" t="str">
        <f t="shared" si="570"/>
        <v>High Balance</v>
      </c>
      <c r="P9146" t="str">
        <f t="shared" si="571"/>
        <v>Long-term</v>
      </c>
    </row>
    <row r="9147" spans="1:16" x14ac:dyDescent="0.25">
      <c r="A9147">
        <v>2025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  <c r="M9147" t="str">
        <f t="shared" si="568"/>
        <v>30-45</v>
      </c>
      <c r="N9147" t="str">
        <f t="shared" si="569"/>
        <v>High</v>
      </c>
      <c r="O9147" t="str">
        <f t="shared" si="570"/>
        <v>High Balance</v>
      </c>
      <c r="P9147" t="str">
        <f t="shared" si="571"/>
        <v>Mid-term</v>
      </c>
    </row>
    <row r="9148" spans="1:16" x14ac:dyDescent="0.25">
      <c r="A9148">
        <v>2025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  <c r="M9148" t="str">
        <f t="shared" si="568"/>
        <v>30-45</v>
      </c>
      <c r="N9148" t="str">
        <f t="shared" si="569"/>
        <v>Medium</v>
      </c>
      <c r="O9148" t="str">
        <f t="shared" si="570"/>
        <v>Low Balance</v>
      </c>
      <c r="P9148" t="str">
        <f t="shared" si="571"/>
        <v>Mid-term</v>
      </c>
    </row>
    <row r="9149" spans="1:16" x14ac:dyDescent="0.25">
      <c r="A9149">
        <v>2025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  <c r="M9149" t="str">
        <f t="shared" si="568"/>
        <v>30-45</v>
      </c>
      <c r="N9149" t="str">
        <f t="shared" si="569"/>
        <v>Medium</v>
      </c>
      <c r="O9149" t="str">
        <f t="shared" si="570"/>
        <v>Low Balance</v>
      </c>
      <c r="P9149" t="str">
        <f t="shared" si="571"/>
        <v>Long-term</v>
      </c>
    </row>
    <row r="9150" spans="1:16" x14ac:dyDescent="0.25">
      <c r="A9150">
        <v>2025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  <c r="M9150" t="str">
        <f t="shared" si="568"/>
        <v>30-45</v>
      </c>
      <c r="N9150" t="str">
        <f t="shared" si="569"/>
        <v>Medium</v>
      </c>
      <c r="O9150" t="str">
        <f t="shared" si="570"/>
        <v>Zero Balance</v>
      </c>
      <c r="P9150" t="str">
        <f t="shared" si="571"/>
        <v>Long-term</v>
      </c>
    </row>
    <row r="9151" spans="1:16" x14ac:dyDescent="0.25">
      <c r="A9151">
        <v>2025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  <c r="M9151" t="str">
        <f t="shared" si="568"/>
        <v>30-45</v>
      </c>
      <c r="N9151" t="str">
        <f t="shared" si="569"/>
        <v>Medium</v>
      </c>
      <c r="O9151" t="str">
        <f t="shared" si="570"/>
        <v>High Balance</v>
      </c>
      <c r="P9151" t="str">
        <f t="shared" si="571"/>
        <v>Mid-term</v>
      </c>
    </row>
    <row r="9152" spans="1:16" x14ac:dyDescent="0.25">
      <c r="A9152">
        <v>2025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  <c r="M9152" t="str">
        <f t="shared" si="568"/>
        <v>&lt;30</v>
      </c>
      <c r="N9152" t="str">
        <f t="shared" si="569"/>
        <v>High</v>
      </c>
      <c r="O9152" t="str">
        <f t="shared" si="570"/>
        <v>High Balance</v>
      </c>
      <c r="P9152" t="str">
        <f t="shared" si="571"/>
        <v>Mid-term</v>
      </c>
    </row>
    <row r="9153" spans="1:16" x14ac:dyDescent="0.25">
      <c r="A9153">
        <v>2025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  <c r="M9153" t="str">
        <f t="shared" si="568"/>
        <v>46-60</v>
      </c>
      <c r="N9153" t="str">
        <f t="shared" si="569"/>
        <v>Medium</v>
      </c>
      <c r="O9153" t="str">
        <f t="shared" si="570"/>
        <v>Zero Balance</v>
      </c>
      <c r="P9153" t="str">
        <f t="shared" si="571"/>
        <v>New</v>
      </c>
    </row>
    <row r="9154" spans="1:16" x14ac:dyDescent="0.25">
      <c r="A9154">
        <v>2025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  <c r="M9154" t="str">
        <f t="shared" si="568"/>
        <v>&lt;30</v>
      </c>
      <c r="N9154" t="str">
        <f t="shared" si="569"/>
        <v>High</v>
      </c>
      <c r="O9154" t="str">
        <f t="shared" si="570"/>
        <v>Low Balance</v>
      </c>
      <c r="P9154" t="str">
        <f t="shared" si="571"/>
        <v>Mid-term</v>
      </c>
    </row>
    <row r="9155" spans="1:16" x14ac:dyDescent="0.25">
      <c r="A9155">
        <v>2025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  <c r="M9155" t="str">
        <f t="shared" ref="M9155:M9218" si="572">IF(E9155&lt;30,"&lt;30",IF(E9155&lt;=45,"30-45",IF(E9155&lt;=60,"46-60","60+")))</f>
        <v>30-45</v>
      </c>
      <c r="N9155" t="str">
        <f t="shared" ref="N9155:N9218" si="573">IF(B9155&lt;500,"Low",IF(B9155&lt;700,"Medium","High"))</f>
        <v>Medium</v>
      </c>
      <c r="O9155" t="str">
        <f t="shared" ref="O9155:O9218" si="574">IF(G9155=0,"Zero Balance",IF(G9155&lt;100000,"Low Balance","High Balance"))</f>
        <v>High Balance</v>
      </c>
      <c r="P9155" t="str">
        <f t="shared" ref="P9155:P9218" si="575">IF(F9155&lt;=3,"New",IF(F9155&lt;=7,"Mid-term","Long-term"))</f>
        <v>Long-term</v>
      </c>
    </row>
    <row r="9156" spans="1:16" x14ac:dyDescent="0.25">
      <c r="A9156">
        <v>2025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  <c r="M9156" t="str">
        <f t="shared" si="572"/>
        <v>&lt;30</v>
      </c>
      <c r="N9156" t="str">
        <f t="shared" si="573"/>
        <v>Medium</v>
      </c>
      <c r="O9156" t="str">
        <f t="shared" si="574"/>
        <v>High Balance</v>
      </c>
      <c r="P9156" t="str">
        <f t="shared" si="575"/>
        <v>Mid-term</v>
      </c>
    </row>
    <row r="9157" spans="1:16" x14ac:dyDescent="0.25">
      <c r="A9157">
        <v>2025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  <c r="M9157" t="str">
        <f t="shared" si="572"/>
        <v>30-45</v>
      </c>
      <c r="N9157" t="str">
        <f t="shared" si="573"/>
        <v>Medium</v>
      </c>
      <c r="O9157" t="str">
        <f t="shared" si="574"/>
        <v>High Balance</v>
      </c>
      <c r="P9157" t="str">
        <f t="shared" si="575"/>
        <v>New</v>
      </c>
    </row>
    <row r="9158" spans="1:16" x14ac:dyDescent="0.25">
      <c r="A9158">
        <v>2025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  <c r="M9158" t="str">
        <f t="shared" si="572"/>
        <v>46-60</v>
      </c>
      <c r="N9158" t="str">
        <f t="shared" si="573"/>
        <v>Medium</v>
      </c>
      <c r="O9158" t="str">
        <f t="shared" si="574"/>
        <v>High Balance</v>
      </c>
      <c r="P9158" t="str">
        <f t="shared" si="575"/>
        <v>New</v>
      </c>
    </row>
    <row r="9159" spans="1:16" x14ac:dyDescent="0.25">
      <c r="A9159">
        <v>2025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  <c r="M9159" t="str">
        <f t="shared" si="572"/>
        <v>30-45</v>
      </c>
      <c r="N9159" t="str">
        <f t="shared" si="573"/>
        <v>High</v>
      </c>
      <c r="O9159" t="str">
        <f t="shared" si="574"/>
        <v>High Balance</v>
      </c>
      <c r="P9159" t="str">
        <f t="shared" si="575"/>
        <v>Mid-term</v>
      </c>
    </row>
    <row r="9160" spans="1:16" x14ac:dyDescent="0.25">
      <c r="A9160">
        <v>2025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  <c r="M9160" t="str">
        <f t="shared" si="572"/>
        <v>30-45</v>
      </c>
      <c r="N9160" t="str">
        <f t="shared" si="573"/>
        <v>Medium</v>
      </c>
      <c r="O9160" t="str">
        <f t="shared" si="574"/>
        <v>High Balance</v>
      </c>
      <c r="P9160" t="str">
        <f t="shared" si="575"/>
        <v>Long-term</v>
      </c>
    </row>
    <row r="9161" spans="1:16" x14ac:dyDescent="0.25">
      <c r="A9161">
        <v>2025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  <c r="M9161" t="str">
        <f t="shared" si="572"/>
        <v>30-45</v>
      </c>
      <c r="N9161" t="str">
        <f t="shared" si="573"/>
        <v>Medium</v>
      </c>
      <c r="O9161" t="str">
        <f t="shared" si="574"/>
        <v>High Balance</v>
      </c>
      <c r="P9161" t="str">
        <f t="shared" si="575"/>
        <v>Mid-term</v>
      </c>
    </row>
    <row r="9162" spans="1:16" x14ac:dyDescent="0.25">
      <c r="A9162">
        <v>2025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  <c r="M9162" t="str">
        <f t="shared" si="572"/>
        <v>&lt;30</v>
      </c>
      <c r="N9162" t="str">
        <f t="shared" si="573"/>
        <v>High</v>
      </c>
      <c r="O9162" t="str">
        <f t="shared" si="574"/>
        <v>Zero Balance</v>
      </c>
      <c r="P9162" t="str">
        <f t="shared" si="575"/>
        <v>Mid-term</v>
      </c>
    </row>
    <row r="9163" spans="1:16" x14ac:dyDescent="0.25">
      <c r="A9163">
        <v>2025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  <c r="M9163" t="str">
        <f t="shared" si="572"/>
        <v>30-45</v>
      </c>
      <c r="N9163" t="str">
        <f t="shared" si="573"/>
        <v>Medium</v>
      </c>
      <c r="O9163" t="str">
        <f t="shared" si="574"/>
        <v>High Balance</v>
      </c>
      <c r="P9163" t="str">
        <f t="shared" si="575"/>
        <v>Long-term</v>
      </c>
    </row>
    <row r="9164" spans="1:16" x14ac:dyDescent="0.25">
      <c r="A9164">
        <v>2025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  <c r="M9164" t="str">
        <f t="shared" si="572"/>
        <v>60+</v>
      </c>
      <c r="N9164" t="str">
        <f t="shared" si="573"/>
        <v>Medium</v>
      </c>
      <c r="O9164" t="str">
        <f t="shared" si="574"/>
        <v>High Balance</v>
      </c>
      <c r="P9164" t="str">
        <f t="shared" si="575"/>
        <v>Mid-term</v>
      </c>
    </row>
    <row r="9165" spans="1:16" x14ac:dyDescent="0.25">
      <c r="A9165">
        <v>2025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  <c r="M9165" t="str">
        <f t="shared" si="572"/>
        <v>46-60</v>
      </c>
      <c r="N9165" t="str">
        <f t="shared" si="573"/>
        <v>Medium</v>
      </c>
      <c r="O9165" t="str">
        <f t="shared" si="574"/>
        <v>Zero Balance</v>
      </c>
      <c r="P9165" t="str">
        <f t="shared" si="575"/>
        <v>Mid-term</v>
      </c>
    </row>
    <row r="9166" spans="1:16" x14ac:dyDescent="0.25">
      <c r="A9166">
        <v>2025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  <c r="M9166" t="str">
        <f t="shared" si="572"/>
        <v>30-45</v>
      </c>
      <c r="N9166" t="str">
        <f t="shared" si="573"/>
        <v>Medium</v>
      </c>
      <c r="O9166" t="str">
        <f t="shared" si="574"/>
        <v>Zero Balance</v>
      </c>
      <c r="P9166" t="str">
        <f t="shared" si="575"/>
        <v>Mid-term</v>
      </c>
    </row>
    <row r="9167" spans="1:16" x14ac:dyDescent="0.25">
      <c r="A9167">
        <v>2025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  <c r="M9167" t="str">
        <f t="shared" si="572"/>
        <v>46-60</v>
      </c>
      <c r="N9167" t="str">
        <f t="shared" si="573"/>
        <v>Medium</v>
      </c>
      <c r="O9167" t="str">
        <f t="shared" si="574"/>
        <v>High Balance</v>
      </c>
      <c r="P9167" t="str">
        <f t="shared" si="575"/>
        <v>New</v>
      </c>
    </row>
    <row r="9168" spans="1:16" x14ac:dyDescent="0.25">
      <c r="A9168">
        <v>2025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  <c r="M9168" t="str">
        <f t="shared" si="572"/>
        <v>30-45</v>
      </c>
      <c r="N9168" t="str">
        <f t="shared" si="573"/>
        <v>Medium</v>
      </c>
      <c r="O9168" t="str">
        <f t="shared" si="574"/>
        <v>High Balance</v>
      </c>
      <c r="P9168" t="str">
        <f t="shared" si="575"/>
        <v>New</v>
      </c>
    </row>
    <row r="9169" spans="1:16" x14ac:dyDescent="0.25">
      <c r="A9169">
        <v>2025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  <c r="M9169" t="str">
        <f t="shared" si="572"/>
        <v>&lt;30</v>
      </c>
      <c r="N9169" t="str">
        <f t="shared" si="573"/>
        <v>Medium</v>
      </c>
      <c r="O9169" t="str">
        <f t="shared" si="574"/>
        <v>Zero Balance</v>
      </c>
      <c r="P9169" t="str">
        <f t="shared" si="575"/>
        <v>New</v>
      </c>
    </row>
    <row r="9170" spans="1:16" x14ac:dyDescent="0.25">
      <c r="A9170">
        <v>2025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  <c r="M9170" t="str">
        <f t="shared" si="572"/>
        <v>30-45</v>
      </c>
      <c r="N9170" t="str">
        <f t="shared" si="573"/>
        <v>Medium</v>
      </c>
      <c r="O9170" t="str">
        <f t="shared" si="574"/>
        <v>High Balance</v>
      </c>
      <c r="P9170" t="str">
        <f t="shared" si="575"/>
        <v>Long-term</v>
      </c>
    </row>
    <row r="9171" spans="1:16" x14ac:dyDescent="0.25">
      <c r="A9171">
        <v>2025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  <c r="M9171" t="str">
        <f t="shared" si="572"/>
        <v>30-45</v>
      </c>
      <c r="N9171" t="str">
        <f t="shared" si="573"/>
        <v>High</v>
      </c>
      <c r="O9171" t="str">
        <f t="shared" si="574"/>
        <v>Zero Balance</v>
      </c>
      <c r="P9171" t="str">
        <f t="shared" si="575"/>
        <v>Mid-term</v>
      </c>
    </row>
    <row r="9172" spans="1:16" x14ac:dyDescent="0.25">
      <c r="A9172">
        <v>2025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  <c r="M9172" t="str">
        <f t="shared" si="572"/>
        <v>30-45</v>
      </c>
      <c r="N9172" t="str">
        <f t="shared" si="573"/>
        <v>Medium</v>
      </c>
      <c r="O9172" t="str">
        <f t="shared" si="574"/>
        <v>Zero Balance</v>
      </c>
      <c r="P9172" t="str">
        <f t="shared" si="575"/>
        <v>New</v>
      </c>
    </row>
    <row r="9173" spans="1:16" x14ac:dyDescent="0.25">
      <c r="A9173">
        <v>2025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  <c r="M9173" t="str">
        <f t="shared" si="572"/>
        <v>46-60</v>
      </c>
      <c r="N9173" t="str">
        <f t="shared" si="573"/>
        <v>Low</v>
      </c>
      <c r="O9173" t="str">
        <f t="shared" si="574"/>
        <v>Zero Balance</v>
      </c>
      <c r="P9173" t="str">
        <f t="shared" si="575"/>
        <v>Long-term</v>
      </c>
    </row>
    <row r="9174" spans="1:16" x14ac:dyDescent="0.25">
      <c r="A9174">
        <v>2025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  <c r="M9174" t="str">
        <f t="shared" si="572"/>
        <v>30-45</v>
      </c>
      <c r="N9174" t="str">
        <f t="shared" si="573"/>
        <v>High</v>
      </c>
      <c r="O9174" t="str">
        <f t="shared" si="574"/>
        <v>High Balance</v>
      </c>
      <c r="P9174" t="str">
        <f t="shared" si="575"/>
        <v>Long-term</v>
      </c>
    </row>
    <row r="9175" spans="1:16" x14ac:dyDescent="0.25">
      <c r="A9175">
        <v>2025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  <c r="M9175" t="str">
        <f t="shared" si="572"/>
        <v>30-45</v>
      </c>
      <c r="N9175" t="str">
        <f t="shared" si="573"/>
        <v>Medium</v>
      </c>
      <c r="O9175" t="str">
        <f t="shared" si="574"/>
        <v>High Balance</v>
      </c>
      <c r="P9175" t="str">
        <f t="shared" si="575"/>
        <v>Long-term</v>
      </c>
    </row>
    <row r="9176" spans="1:16" x14ac:dyDescent="0.25">
      <c r="A9176">
        <v>2025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  <c r="M9176" t="str">
        <f t="shared" si="572"/>
        <v>60+</v>
      </c>
      <c r="N9176" t="str">
        <f t="shared" si="573"/>
        <v>Medium</v>
      </c>
      <c r="O9176" t="str">
        <f t="shared" si="574"/>
        <v>Zero Balance</v>
      </c>
      <c r="P9176" t="str">
        <f t="shared" si="575"/>
        <v>New</v>
      </c>
    </row>
    <row r="9177" spans="1:16" x14ac:dyDescent="0.25">
      <c r="A9177">
        <v>2025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  <c r="M9177" t="str">
        <f t="shared" si="572"/>
        <v>30-45</v>
      </c>
      <c r="N9177" t="str">
        <f t="shared" si="573"/>
        <v>Medium</v>
      </c>
      <c r="O9177" t="str">
        <f t="shared" si="574"/>
        <v>High Balance</v>
      </c>
      <c r="P9177" t="str">
        <f t="shared" si="575"/>
        <v>Mid-term</v>
      </c>
    </row>
    <row r="9178" spans="1:16" x14ac:dyDescent="0.25">
      <c r="A9178">
        <v>2025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  <c r="M9178" t="str">
        <f t="shared" si="572"/>
        <v>30-45</v>
      </c>
      <c r="N9178" t="str">
        <f t="shared" si="573"/>
        <v>Medium</v>
      </c>
      <c r="O9178" t="str">
        <f t="shared" si="574"/>
        <v>Zero Balance</v>
      </c>
      <c r="P9178" t="str">
        <f t="shared" si="575"/>
        <v>Long-term</v>
      </c>
    </row>
    <row r="9179" spans="1:16" x14ac:dyDescent="0.25">
      <c r="A9179">
        <v>2025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  <c r="M9179" t="str">
        <f t="shared" si="572"/>
        <v>&lt;30</v>
      </c>
      <c r="N9179" t="str">
        <f t="shared" si="573"/>
        <v>Low</v>
      </c>
      <c r="O9179" t="str">
        <f t="shared" si="574"/>
        <v>High Balance</v>
      </c>
      <c r="P9179" t="str">
        <f t="shared" si="575"/>
        <v>New</v>
      </c>
    </row>
    <row r="9180" spans="1:16" x14ac:dyDescent="0.25">
      <c r="A9180">
        <v>2025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  <c r="M9180" t="str">
        <f t="shared" si="572"/>
        <v>30-45</v>
      </c>
      <c r="N9180" t="str">
        <f t="shared" si="573"/>
        <v>High</v>
      </c>
      <c r="O9180" t="str">
        <f t="shared" si="574"/>
        <v>High Balance</v>
      </c>
      <c r="P9180" t="str">
        <f t="shared" si="575"/>
        <v>Mid-term</v>
      </c>
    </row>
    <row r="9181" spans="1:16" x14ac:dyDescent="0.25">
      <c r="A9181">
        <v>2025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  <c r="M9181" t="str">
        <f t="shared" si="572"/>
        <v>30-45</v>
      </c>
      <c r="N9181" t="str">
        <f t="shared" si="573"/>
        <v>Medium</v>
      </c>
      <c r="O9181" t="str">
        <f t="shared" si="574"/>
        <v>High Balance</v>
      </c>
      <c r="P9181" t="str">
        <f t="shared" si="575"/>
        <v>Long-term</v>
      </c>
    </row>
    <row r="9182" spans="1:16" x14ac:dyDescent="0.25">
      <c r="A9182">
        <v>2025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  <c r="M9182" t="str">
        <f t="shared" si="572"/>
        <v>30-45</v>
      </c>
      <c r="N9182" t="str">
        <f t="shared" si="573"/>
        <v>Medium</v>
      </c>
      <c r="O9182" t="str">
        <f t="shared" si="574"/>
        <v>Zero Balance</v>
      </c>
      <c r="P9182" t="str">
        <f t="shared" si="575"/>
        <v>New</v>
      </c>
    </row>
    <row r="9183" spans="1:16" x14ac:dyDescent="0.25">
      <c r="A9183">
        <v>2025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  <c r="M9183" t="str">
        <f t="shared" si="572"/>
        <v>46-60</v>
      </c>
      <c r="N9183" t="str">
        <f t="shared" si="573"/>
        <v>Medium</v>
      </c>
      <c r="O9183" t="str">
        <f t="shared" si="574"/>
        <v>Zero Balance</v>
      </c>
      <c r="P9183" t="str">
        <f t="shared" si="575"/>
        <v>New</v>
      </c>
    </row>
    <row r="9184" spans="1:16" x14ac:dyDescent="0.25">
      <c r="A9184">
        <v>2025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  <c r="M9184" t="str">
        <f t="shared" si="572"/>
        <v>&lt;30</v>
      </c>
      <c r="N9184" t="str">
        <f t="shared" si="573"/>
        <v>Medium</v>
      </c>
      <c r="O9184" t="str">
        <f t="shared" si="574"/>
        <v>High Balance</v>
      </c>
      <c r="P9184" t="str">
        <f t="shared" si="575"/>
        <v>New</v>
      </c>
    </row>
    <row r="9185" spans="1:16" x14ac:dyDescent="0.25">
      <c r="A9185">
        <v>2025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  <c r="M9185" t="str">
        <f t="shared" si="572"/>
        <v>30-45</v>
      </c>
      <c r="N9185" t="str">
        <f t="shared" si="573"/>
        <v>Medium</v>
      </c>
      <c r="O9185" t="str">
        <f t="shared" si="574"/>
        <v>Zero Balance</v>
      </c>
      <c r="P9185" t="str">
        <f t="shared" si="575"/>
        <v>Mid-term</v>
      </c>
    </row>
    <row r="9186" spans="1:16" x14ac:dyDescent="0.25">
      <c r="A9186">
        <v>2025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  <c r="M9186" t="str">
        <f t="shared" si="572"/>
        <v>46-60</v>
      </c>
      <c r="N9186" t="str">
        <f t="shared" si="573"/>
        <v>Medium</v>
      </c>
      <c r="O9186" t="str">
        <f t="shared" si="574"/>
        <v>Zero Balance</v>
      </c>
      <c r="P9186" t="str">
        <f t="shared" si="575"/>
        <v>Mid-term</v>
      </c>
    </row>
    <row r="9187" spans="1:16" x14ac:dyDescent="0.25">
      <c r="A9187">
        <v>2025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  <c r="M9187" t="str">
        <f t="shared" si="572"/>
        <v>30-45</v>
      </c>
      <c r="N9187" t="str">
        <f t="shared" si="573"/>
        <v>Medium</v>
      </c>
      <c r="O9187" t="str">
        <f t="shared" si="574"/>
        <v>High Balance</v>
      </c>
      <c r="P9187" t="str">
        <f t="shared" si="575"/>
        <v>Mid-term</v>
      </c>
    </row>
    <row r="9188" spans="1:16" x14ac:dyDescent="0.25">
      <c r="A9188">
        <v>2025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  <c r="M9188" t="str">
        <f t="shared" si="572"/>
        <v>46-60</v>
      </c>
      <c r="N9188" t="str">
        <f t="shared" si="573"/>
        <v>Medium</v>
      </c>
      <c r="O9188" t="str">
        <f t="shared" si="574"/>
        <v>High Balance</v>
      </c>
      <c r="P9188" t="str">
        <f t="shared" si="575"/>
        <v>New</v>
      </c>
    </row>
    <row r="9189" spans="1:16" x14ac:dyDescent="0.25">
      <c r="A9189">
        <v>2025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  <c r="M9189" t="str">
        <f t="shared" si="572"/>
        <v>30-45</v>
      </c>
      <c r="N9189" t="str">
        <f t="shared" si="573"/>
        <v>Medium</v>
      </c>
      <c r="O9189" t="str">
        <f t="shared" si="574"/>
        <v>Low Balance</v>
      </c>
      <c r="P9189" t="str">
        <f t="shared" si="575"/>
        <v>Mid-term</v>
      </c>
    </row>
    <row r="9190" spans="1:16" x14ac:dyDescent="0.25">
      <c r="A9190">
        <v>2025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  <c r="M9190" t="str">
        <f t="shared" si="572"/>
        <v>&lt;30</v>
      </c>
      <c r="N9190" t="str">
        <f t="shared" si="573"/>
        <v>Medium</v>
      </c>
      <c r="O9190" t="str">
        <f t="shared" si="574"/>
        <v>Zero Balance</v>
      </c>
      <c r="P9190" t="str">
        <f t="shared" si="575"/>
        <v>Mid-term</v>
      </c>
    </row>
    <row r="9191" spans="1:16" x14ac:dyDescent="0.25">
      <c r="A9191">
        <v>2025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  <c r="M9191" t="str">
        <f t="shared" si="572"/>
        <v>30-45</v>
      </c>
      <c r="N9191" t="str">
        <f t="shared" si="573"/>
        <v>Medium</v>
      </c>
      <c r="O9191" t="str">
        <f t="shared" si="574"/>
        <v>High Balance</v>
      </c>
      <c r="P9191" t="str">
        <f t="shared" si="575"/>
        <v>Long-term</v>
      </c>
    </row>
    <row r="9192" spans="1:16" x14ac:dyDescent="0.25">
      <c r="A9192">
        <v>2025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  <c r="M9192" t="str">
        <f t="shared" si="572"/>
        <v>46-60</v>
      </c>
      <c r="N9192" t="str">
        <f t="shared" si="573"/>
        <v>Medium</v>
      </c>
      <c r="O9192" t="str">
        <f t="shared" si="574"/>
        <v>Zero Balance</v>
      </c>
      <c r="P9192" t="str">
        <f t="shared" si="575"/>
        <v>Long-term</v>
      </c>
    </row>
    <row r="9193" spans="1:16" x14ac:dyDescent="0.25">
      <c r="A9193">
        <v>2025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  <c r="M9193" t="str">
        <f t="shared" si="572"/>
        <v>30-45</v>
      </c>
      <c r="N9193" t="str">
        <f t="shared" si="573"/>
        <v>Medium</v>
      </c>
      <c r="O9193" t="str">
        <f t="shared" si="574"/>
        <v>High Balance</v>
      </c>
      <c r="P9193" t="str">
        <f t="shared" si="575"/>
        <v>Mid-term</v>
      </c>
    </row>
    <row r="9194" spans="1:16" x14ac:dyDescent="0.25">
      <c r="A9194">
        <v>2025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  <c r="M9194" t="str">
        <f t="shared" si="572"/>
        <v>46-60</v>
      </c>
      <c r="N9194" t="str">
        <f t="shared" si="573"/>
        <v>High</v>
      </c>
      <c r="O9194" t="str">
        <f t="shared" si="574"/>
        <v>Low Balance</v>
      </c>
      <c r="P9194" t="str">
        <f t="shared" si="575"/>
        <v>New</v>
      </c>
    </row>
    <row r="9195" spans="1:16" x14ac:dyDescent="0.25">
      <c r="A9195">
        <v>2025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  <c r="M9195" t="str">
        <f t="shared" si="572"/>
        <v>&lt;30</v>
      </c>
      <c r="N9195" t="str">
        <f t="shared" si="573"/>
        <v>Medium</v>
      </c>
      <c r="O9195" t="str">
        <f t="shared" si="574"/>
        <v>High Balance</v>
      </c>
      <c r="P9195" t="str">
        <f t="shared" si="575"/>
        <v>Long-term</v>
      </c>
    </row>
    <row r="9196" spans="1:16" x14ac:dyDescent="0.25">
      <c r="A9196">
        <v>2025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  <c r="M9196" t="str">
        <f t="shared" si="572"/>
        <v>30-45</v>
      </c>
      <c r="N9196" t="str">
        <f t="shared" si="573"/>
        <v>Medium</v>
      </c>
      <c r="O9196" t="str">
        <f t="shared" si="574"/>
        <v>High Balance</v>
      </c>
      <c r="P9196" t="str">
        <f t="shared" si="575"/>
        <v>Mid-term</v>
      </c>
    </row>
    <row r="9197" spans="1:16" x14ac:dyDescent="0.25">
      <c r="A9197">
        <v>2025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  <c r="M9197" t="str">
        <f t="shared" si="572"/>
        <v>&lt;30</v>
      </c>
      <c r="N9197" t="str">
        <f t="shared" si="573"/>
        <v>Medium</v>
      </c>
      <c r="O9197" t="str">
        <f t="shared" si="574"/>
        <v>High Balance</v>
      </c>
      <c r="P9197" t="str">
        <f t="shared" si="575"/>
        <v>Mid-term</v>
      </c>
    </row>
    <row r="9198" spans="1:16" x14ac:dyDescent="0.25">
      <c r="A9198">
        <v>2025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  <c r="M9198" t="str">
        <f t="shared" si="572"/>
        <v>30-45</v>
      </c>
      <c r="N9198" t="str">
        <f t="shared" si="573"/>
        <v>High</v>
      </c>
      <c r="O9198" t="str">
        <f t="shared" si="574"/>
        <v>Zero Balance</v>
      </c>
      <c r="P9198" t="str">
        <f t="shared" si="575"/>
        <v>Long-term</v>
      </c>
    </row>
    <row r="9199" spans="1:16" x14ac:dyDescent="0.25">
      <c r="A9199">
        <v>2025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  <c r="M9199" t="str">
        <f t="shared" si="572"/>
        <v>30-45</v>
      </c>
      <c r="N9199" t="str">
        <f t="shared" si="573"/>
        <v>Medium</v>
      </c>
      <c r="O9199" t="str">
        <f t="shared" si="574"/>
        <v>Low Balance</v>
      </c>
      <c r="P9199" t="str">
        <f t="shared" si="575"/>
        <v>New</v>
      </c>
    </row>
    <row r="9200" spans="1:16" x14ac:dyDescent="0.25">
      <c r="A9200">
        <v>2025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  <c r="M9200" t="str">
        <f t="shared" si="572"/>
        <v>&lt;30</v>
      </c>
      <c r="N9200" t="str">
        <f t="shared" si="573"/>
        <v>Low</v>
      </c>
      <c r="O9200" t="str">
        <f t="shared" si="574"/>
        <v>High Balance</v>
      </c>
      <c r="P9200" t="str">
        <f t="shared" si="575"/>
        <v>Mid-term</v>
      </c>
    </row>
    <row r="9201" spans="1:16" x14ac:dyDescent="0.25">
      <c r="A9201">
        <v>2025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  <c r="M9201" t="str">
        <f t="shared" si="572"/>
        <v>&lt;30</v>
      </c>
      <c r="N9201" t="str">
        <f t="shared" si="573"/>
        <v>Medium</v>
      </c>
      <c r="O9201" t="str">
        <f t="shared" si="574"/>
        <v>Zero Balance</v>
      </c>
      <c r="P9201" t="str">
        <f t="shared" si="575"/>
        <v>Mid-term</v>
      </c>
    </row>
    <row r="9202" spans="1:16" x14ac:dyDescent="0.25">
      <c r="A9202">
        <v>2025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  <c r="M9202" t="str">
        <f t="shared" si="572"/>
        <v>30-45</v>
      </c>
      <c r="N9202" t="str">
        <f t="shared" si="573"/>
        <v>High</v>
      </c>
      <c r="O9202" t="str">
        <f t="shared" si="574"/>
        <v>Zero Balance</v>
      </c>
      <c r="P9202" t="str">
        <f t="shared" si="575"/>
        <v>Mid-term</v>
      </c>
    </row>
    <row r="9203" spans="1:16" x14ac:dyDescent="0.25">
      <c r="A9203">
        <v>2025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  <c r="M9203" t="str">
        <f t="shared" si="572"/>
        <v>30-45</v>
      </c>
      <c r="N9203" t="str">
        <f t="shared" si="573"/>
        <v>Low</v>
      </c>
      <c r="O9203" t="str">
        <f t="shared" si="574"/>
        <v>High Balance</v>
      </c>
      <c r="P9203" t="str">
        <f t="shared" si="575"/>
        <v>New</v>
      </c>
    </row>
    <row r="9204" spans="1:16" x14ac:dyDescent="0.25">
      <c r="A9204">
        <v>2025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  <c r="M9204" t="str">
        <f t="shared" si="572"/>
        <v>30-45</v>
      </c>
      <c r="N9204" t="str">
        <f t="shared" si="573"/>
        <v>Medium</v>
      </c>
      <c r="O9204" t="str">
        <f t="shared" si="574"/>
        <v>High Balance</v>
      </c>
      <c r="P9204" t="str">
        <f t="shared" si="575"/>
        <v>Long-term</v>
      </c>
    </row>
    <row r="9205" spans="1:16" x14ac:dyDescent="0.25">
      <c r="A9205">
        <v>2025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  <c r="M9205" t="str">
        <f t="shared" si="572"/>
        <v>46-60</v>
      </c>
      <c r="N9205" t="str">
        <f t="shared" si="573"/>
        <v>High</v>
      </c>
      <c r="O9205" t="str">
        <f t="shared" si="574"/>
        <v>Zero Balance</v>
      </c>
      <c r="P9205" t="str">
        <f t="shared" si="575"/>
        <v>Mid-term</v>
      </c>
    </row>
    <row r="9206" spans="1:16" x14ac:dyDescent="0.25">
      <c r="A9206">
        <v>2025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  <c r="M9206" t="str">
        <f t="shared" si="572"/>
        <v>30-45</v>
      </c>
      <c r="N9206" t="str">
        <f t="shared" si="573"/>
        <v>Medium</v>
      </c>
      <c r="O9206" t="str">
        <f t="shared" si="574"/>
        <v>Zero Balance</v>
      </c>
      <c r="P9206" t="str">
        <f t="shared" si="575"/>
        <v>Mid-term</v>
      </c>
    </row>
    <row r="9207" spans="1:16" x14ac:dyDescent="0.25">
      <c r="A9207">
        <v>2025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  <c r="M9207" t="str">
        <f t="shared" si="572"/>
        <v>30-45</v>
      </c>
      <c r="N9207" t="str">
        <f t="shared" si="573"/>
        <v>Medium</v>
      </c>
      <c r="O9207" t="str">
        <f t="shared" si="574"/>
        <v>High Balance</v>
      </c>
      <c r="P9207" t="str">
        <f t="shared" si="575"/>
        <v>New</v>
      </c>
    </row>
    <row r="9208" spans="1:16" x14ac:dyDescent="0.25">
      <c r="A9208">
        <v>2025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  <c r="M9208" t="str">
        <f t="shared" si="572"/>
        <v>46-60</v>
      </c>
      <c r="N9208" t="str">
        <f t="shared" si="573"/>
        <v>Medium</v>
      </c>
      <c r="O9208" t="str">
        <f t="shared" si="574"/>
        <v>High Balance</v>
      </c>
      <c r="P9208" t="str">
        <f t="shared" si="575"/>
        <v>New</v>
      </c>
    </row>
    <row r="9209" spans="1:16" x14ac:dyDescent="0.25">
      <c r="A9209">
        <v>2025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  <c r="M9209" t="str">
        <f t="shared" si="572"/>
        <v>46-60</v>
      </c>
      <c r="N9209" t="str">
        <f t="shared" si="573"/>
        <v>Medium</v>
      </c>
      <c r="O9209" t="str">
        <f t="shared" si="574"/>
        <v>High Balance</v>
      </c>
      <c r="P9209" t="str">
        <f t="shared" si="575"/>
        <v>Mid-term</v>
      </c>
    </row>
    <row r="9210" spans="1:16" x14ac:dyDescent="0.25">
      <c r="A9210">
        <v>2025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  <c r="M9210" t="str">
        <f t="shared" si="572"/>
        <v>30-45</v>
      </c>
      <c r="N9210" t="str">
        <f t="shared" si="573"/>
        <v>High</v>
      </c>
      <c r="O9210" t="str">
        <f t="shared" si="574"/>
        <v>Zero Balance</v>
      </c>
      <c r="P9210" t="str">
        <f t="shared" si="575"/>
        <v>New</v>
      </c>
    </row>
    <row r="9211" spans="1:16" x14ac:dyDescent="0.25">
      <c r="A9211">
        <v>2025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  <c r="M9211" t="str">
        <f t="shared" si="572"/>
        <v>&lt;30</v>
      </c>
      <c r="N9211" t="str">
        <f t="shared" si="573"/>
        <v>Medium</v>
      </c>
      <c r="O9211" t="str">
        <f t="shared" si="574"/>
        <v>High Balance</v>
      </c>
      <c r="P9211" t="str">
        <f t="shared" si="575"/>
        <v>New</v>
      </c>
    </row>
    <row r="9212" spans="1:16" x14ac:dyDescent="0.25">
      <c r="A9212">
        <v>2025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  <c r="M9212" t="str">
        <f t="shared" si="572"/>
        <v>30-45</v>
      </c>
      <c r="N9212" t="str">
        <f t="shared" si="573"/>
        <v>Low</v>
      </c>
      <c r="O9212" t="str">
        <f t="shared" si="574"/>
        <v>Zero Balance</v>
      </c>
      <c r="P9212" t="str">
        <f t="shared" si="575"/>
        <v>New</v>
      </c>
    </row>
    <row r="9213" spans="1:16" x14ac:dyDescent="0.25">
      <c r="A9213">
        <v>2025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  <c r="M9213" t="str">
        <f t="shared" si="572"/>
        <v>30-45</v>
      </c>
      <c r="N9213" t="str">
        <f t="shared" si="573"/>
        <v>Low</v>
      </c>
      <c r="O9213" t="str">
        <f t="shared" si="574"/>
        <v>Zero Balance</v>
      </c>
      <c r="P9213" t="str">
        <f t="shared" si="575"/>
        <v>Mid-term</v>
      </c>
    </row>
    <row r="9214" spans="1:16" x14ac:dyDescent="0.25">
      <c r="A9214">
        <v>2025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  <c r="M9214" t="str">
        <f t="shared" si="572"/>
        <v>30-45</v>
      </c>
      <c r="N9214" t="str">
        <f t="shared" si="573"/>
        <v>Medium</v>
      </c>
      <c r="O9214" t="str">
        <f t="shared" si="574"/>
        <v>Zero Balance</v>
      </c>
      <c r="P9214" t="str">
        <f t="shared" si="575"/>
        <v>Long-term</v>
      </c>
    </row>
    <row r="9215" spans="1:16" x14ac:dyDescent="0.25">
      <c r="A9215">
        <v>2025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  <c r="M9215" t="str">
        <f t="shared" si="572"/>
        <v>30-45</v>
      </c>
      <c r="N9215" t="str">
        <f t="shared" si="573"/>
        <v>Medium</v>
      </c>
      <c r="O9215" t="str">
        <f t="shared" si="574"/>
        <v>Low Balance</v>
      </c>
      <c r="P9215" t="str">
        <f t="shared" si="575"/>
        <v>Mid-term</v>
      </c>
    </row>
    <row r="9216" spans="1:16" x14ac:dyDescent="0.25">
      <c r="A9216">
        <v>2025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  <c r="M9216" t="str">
        <f t="shared" si="572"/>
        <v>30-45</v>
      </c>
      <c r="N9216" t="str">
        <f t="shared" si="573"/>
        <v>Medium</v>
      </c>
      <c r="O9216" t="str">
        <f t="shared" si="574"/>
        <v>Zero Balance</v>
      </c>
      <c r="P9216" t="str">
        <f t="shared" si="575"/>
        <v>Long-term</v>
      </c>
    </row>
    <row r="9217" spans="1:16" x14ac:dyDescent="0.25">
      <c r="A9217">
        <v>2025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  <c r="M9217" t="str">
        <f t="shared" si="572"/>
        <v>30-45</v>
      </c>
      <c r="N9217" t="str">
        <f t="shared" si="573"/>
        <v>Medium</v>
      </c>
      <c r="O9217" t="str">
        <f t="shared" si="574"/>
        <v>High Balance</v>
      </c>
      <c r="P9217" t="str">
        <f t="shared" si="575"/>
        <v>Long-term</v>
      </c>
    </row>
    <row r="9218" spans="1:16" x14ac:dyDescent="0.25">
      <c r="A9218">
        <v>2025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  <c r="M9218" t="str">
        <f t="shared" si="572"/>
        <v>30-45</v>
      </c>
      <c r="N9218" t="str">
        <f t="shared" si="573"/>
        <v>High</v>
      </c>
      <c r="O9218" t="str">
        <f t="shared" si="574"/>
        <v>Zero Balance</v>
      </c>
      <c r="P9218" t="str">
        <f t="shared" si="575"/>
        <v>Long-term</v>
      </c>
    </row>
    <row r="9219" spans="1:16" x14ac:dyDescent="0.25">
      <c r="A9219">
        <v>2025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  <c r="M9219" t="str">
        <f t="shared" ref="M9219:M9282" si="576">IF(E9219&lt;30,"&lt;30",IF(E9219&lt;=45,"30-45",IF(E9219&lt;=60,"46-60","60+")))</f>
        <v>30-45</v>
      </c>
      <c r="N9219" t="str">
        <f t="shared" ref="N9219:N9282" si="577">IF(B9219&lt;500,"Low",IF(B9219&lt;700,"Medium","High"))</f>
        <v>Medium</v>
      </c>
      <c r="O9219" t="str">
        <f t="shared" ref="O9219:O9282" si="578">IF(G9219=0,"Zero Balance",IF(G9219&lt;100000,"Low Balance","High Balance"))</f>
        <v>Zero Balance</v>
      </c>
      <c r="P9219" t="str">
        <f t="shared" ref="P9219:P9282" si="579">IF(F9219&lt;=3,"New",IF(F9219&lt;=7,"Mid-term","Long-term"))</f>
        <v>Mid-term</v>
      </c>
    </row>
    <row r="9220" spans="1:16" x14ac:dyDescent="0.25">
      <c r="A9220">
        <v>2025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  <c r="M9220" t="str">
        <f t="shared" si="576"/>
        <v>46-60</v>
      </c>
      <c r="N9220" t="str">
        <f t="shared" si="577"/>
        <v>Medium</v>
      </c>
      <c r="O9220" t="str">
        <f t="shared" si="578"/>
        <v>High Balance</v>
      </c>
      <c r="P9220" t="str">
        <f t="shared" si="579"/>
        <v>New</v>
      </c>
    </row>
    <row r="9221" spans="1:16" x14ac:dyDescent="0.25">
      <c r="A9221">
        <v>2025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  <c r="M9221" t="str">
        <f t="shared" si="576"/>
        <v>30-45</v>
      </c>
      <c r="N9221" t="str">
        <f t="shared" si="577"/>
        <v>Low</v>
      </c>
      <c r="O9221" t="str">
        <f t="shared" si="578"/>
        <v>Zero Balance</v>
      </c>
      <c r="P9221" t="str">
        <f t="shared" si="579"/>
        <v>Mid-term</v>
      </c>
    </row>
    <row r="9222" spans="1:16" x14ac:dyDescent="0.25">
      <c r="A9222">
        <v>2025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  <c r="M9222" t="str">
        <f t="shared" si="576"/>
        <v>46-60</v>
      </c>
      <c r="N9222" t="str">
        <f t="shared" si="577"/>
        <v>Medium</v>
      </c>
      <c r="O9222" t="str">
        <f t="shared" si="578"/>
        <v>Zero Balance</v>
      </c>
      <c r="P9222" t="str">
        <f t="shared" si="579"/>
        <v>Mid-term</v>
      </c>
    </row>
    <row r="9223" spans="1:16" x14ac:dyDescent="0.25">
      <c r="A9223">
        <v>2025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  <c r="M9223" t="str">
        <f t="shared" si="576"/>
        <v>30-45</v>
      </c>
      <c r="N9223" t="str">
        <f t="shared" si="577"/>
        <v>Medium</v>
      </c>
      <c r="O9223" t="str">
        <f t="shared" si="578"/>
        <v>High Balance</v>
      </c>
      <c r="P9223" t="str">
        <f t="shared" si="579"/>
        <v>Mid-term</v>
      </c>
    </row>
    <row r="9224" spans="1:16" x14ac:dyDescent="0.25">
      <c r="A9224">
        <v>2025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  <c r="M9224" t="str">
        <f t="shared" si="576"/>
        <v>&lt;30</v>
      </c>
      <c r="N9224" t="str">
        <f t="shared" si="577"/>
        <v>Medium</v>
      </c>
      <c r="O9224" t="str">
        <f t="shared" si="578"/>
        <v>High Balance</v>
      </c>
      <c r="P9224" t="str">
        <f t="shared" si="579"/>
        <v>New</v>
      </c>
    </row>
    <row r="9225" spans="1:16" x14ac:dyDescent="0.25">
      <c r="A9225">
        <v>2025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  <c r="M9225" t="str">
        <f t="shared" si="576"/>
        <v>60+</v>
      </c>
      <c r="N9225" t="str">
        <f t="shared" si="577"/>
        <v>Medium</v>
      </c>
      <c r="O9225" t="str">
        <f t="shared" si="578"/>
        <v>High Balance</v>
      </c>
      <c r="P9225" t="str">
        <f t="shared" si="579"/>
        <v>New</v>
      </c>
    </row>
    <row r="9226" spans="1:16" x14ac:dyDescent="0.25">
      <c r="A9226">
        <v>2025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  <c r="M9226" t="str">
        <f t="shared" si="576"/>
        <v>30-45</v>
      </c>
      <c r="N9226" t="str">
        <f t="shared" si="577"/>
        <v>Medium</v>
      </c>
      <c r="O9226" t="str">
        <f t="shared" si="578"/>
        <v>Low Balance</v>
      </c>
      <c r="P9226" t="str">
        <f t="shared" si="579"/>
        <v>New</v>
      </c>
    </row>
    <row r="9227" spans="1:16" x14ac:dyDescent="0.25">
      <c r="A9227">
        <v>2025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  <c r="M9227" t="str">
        <f t="shared" si="576"/>
        <v>30-45</v>
      </c>
      <c r="N9227" t="str">
        <f t="shared" si="577"/>
        <v>Medium</v>
      </c>
      <c r="O9227" t="str">
        <f t="shared" si="578"/>
        <v>High Balance</v>
      </c>
      <c r="P9227" t="str">
        <f t="shared" si="579"/>
        <v>Mid-term</v>
      </c>
    </row>
    <row r="9228" spans="1:16" x14ac:dyDescent="0.25">
      <c r="A9228">
        <v>2025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  <c r="M9228" t="str">
        <f t="shared" si="576"/>
        <v>&lt;30</v>
      </c>
      <c r="N9228" t="str">
        <f t="shared" si="577"/>
        <v>Medium</v>
      </c>
      <c r="O9228" t="str">
        <f t="shared" si="578"/>
        <v>High Balance</v>
      </c>
      <c r="P9228" t="str">
        <f t="shared" si="579"/>
        <v>Mid-term</v>
      </c>
    </row>
    <row r="9229" spans="1:16" x14ac:dyDescent="0.25">
      <c r="A9229">
        <v>2025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  <c r="M9229" t="str">
        <f t="shared" si="576"/>
        <v>30-45</v>
      </c>
      <c r="N9229" t="str">
        <f t="shared" si="577"/>
        <v>High</v>
      </c>
      <c r="O9229" t="str">
        <f t="shared" si="578"/>
        <v>Zero Balance</v>
      </c>
      <c r="P9229" t="str">
        <f t="shared" si="579"/>
        <v>Mid-term</v>
      </c>
    </row>
    <row r="9230" spans="1:16" x14ac:dyDescent="0.25">
      <c r="A9230">
        <v>2025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  <c r="M9230" t="str">
        <f t="shared" si="576"/>
        <v>30-45</v>
      </c>
      <c r="N9230" t="str">
        <f t="shared" si="577"/>
        <v>Medium</v>
      </c>
      <c r="O9230" t="str">
        <f t="shared" si="578"/>
        <v>High Balance</v>
      </c>
      <c r="P9230" t="str">
        <f t="shared" si="579"/>
        <v>New</v>
      </c>
    </row>
    <row r="9231" spans="1:16" x14ac:dyDescent="0.25">
      <c r="A9231">
        <v>2025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  <c r="M9231" t="str">
        <f t="shared" si="576"/>
        <v>30-45</v>
      </c>
      <c r="N9231" t="str">
        <f t="shared" si="577"/>
        <v>High</v>
      </c>
      <c r="O9231" t="str">
        <f t="shared" si="578"/>
        <v>High Balance</v>
      </c>
      <c r="P9231" t="str">
        <f t="shared" si="579"/>
        <v>Mid-term</v>
      </c>
    </row>
    <row r="9232" spans="1:16" x14ac:dyDescent="0.25">
      <c r="A9232">
        <v>2025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  <c r="M9232" t="str">
        <f t="shared" si="576"/>
        <v>30-45</v>
      </c>
      <c r="N9232" t="str">
        <f t="shared" si="577"/>
        <v>Medium</v>
      </c>
      <c r="O9232" t="str">
        <f t="shared" si="578"/>
        <v>High Balance</v>
      </c>
      <c r="P9232" t="str">
        <f t="shared" si="579"/>
        <v>Long-term</v>
      </c>
    </row>
    <row r="9233" spans="1:16" x14ac:dyDescent="0.25">
      <c r="A9233">
        <v>2025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  <c r="M9233" t="str">
        <f t="shared" si="576"/>
        <v>30-45</v>
      </c>
      <c r="N9233" t="str">
        <f t="shared" si="577"/>
        <v>Medium</v>
      </c>
      <c r="O9233" t="str">
        <f t="shared" si="578"/>
        <v>Low Balance</v>
      </c>
      <c r="P9233" t="str">
        <f t="shared" si="579"/>
        <v>Long-term</v>
      </c>
    </row>
    <row r="9234" spans="1:16" x14ac:dyDescent="0.25">
      <c r="A9234">
        <v>2025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  <c r="M9234" t="str">
        <f t="shared" si="576"/>
        <v>46-60</v>
      </c>
      <c r="N9234" t="str">
        <f t="shared" si="577"/>
        <v>Medium</v>
      </c>
      <c r="O9234" t="str">
        <f t="shared" si="578"/>
        <v>Low Balance</v>
      </c>
      <c r="P9234" t="str">
        <f t="shared" si="579"/>
        <v>Long-term</v>
      </c>
    </row>
    <row r="9235" spans="1:16" x14ac:dyDescent="0.25">
      <c r="A9235">
        <v>2025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  <c r="M9235" t="str">
        <f t="shared" si="576"/>
        <v>30-45</v>
      </c>
      <c r="N9235" t="str">
        <f t="shared" si="577"/>
        <v>Medium</v>
      </c>
      <c r="O9235" t="str">
        <f t="shared" si="578"/>
        <v>High Balance</v>
      </c>
      <c r="P9235" t="str">
        <f t="shared" si="579"/>
        <v>Mid-term</v>
      </c>
    </row>
    <row r="9236" spans="1:16" x14ac:dyDescent="0.25">
      <c r="A9236">
        <v>2025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  <c r="M9236" t="str">
        <f t="shared" si="576"/>
        <v>46-60</v>
      </c>
      <c r="N9236" t="str">
        <f t="shared" si="577"/>
        <v>Medium</v>
      </c>
      <c r="O9236" t="str">
        <f t="shared" si="578"/>
        <v>High Balance</v>
      </c>
      <c r="P9236" t="str">
        <f t="shared" si="579"/>
        <v>Mid-term</v>
      </c>
    </row>
    <row r="9237" spans="1:16" x14ac:dyDescent="0.25">
      <c r="A9237">
        <v>2025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  <c r="M9237" t="str">
        <f t="shared" si="576"/>
        <v>&lt;30</v>
      </c>
      <c r="N9237" t="str">
        <f t="shared" si="577"/>
        <v>Low</v>
      </c>
      <c r="O9237" t="str">
        <f t="shared" si="578"/>
        <v>High Balance</v>
      </c>
      <c r="P9237" t="str">
        <f t="shared" si="579"/>
        <v>Mid-term</v>
      </c>
    </row>
    <row r="9238" spans="1:16" x14ac:dyDescent="0.25">
      <c r="A9238">
        <v>2025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  <c r="M9238" t="str">
        <f t="shared" si="576"/>
        <v>46-60</v>
      </c>
      <c r="N9238" t="str">
        <f t="shared" si="577"/>
        <v>Medium</v>
      </c>
      <c r="O9238" t="str">
        <f t="shared" si="578"/>
        <v>Low Balance</v>
      </c>
      <c r="P9238" t="str">
        <f t="shared" si="579"/>
        <v>Mid-term</v>
      </c>
    </row>
    <row r="9239" spans="1:16" x14ac:dyDescent="0.25">
      <c r="A9239">
        <v>2025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  <c r="M9239" t="str">
        <f t="shared" si="576"/>
        <v>30-45</v>
      </c>
      <c r="N9239" t="str">
        <f t="shared" si="577"/>
        <v>High</v>
      </c>
      <c r="O9239" t="str">
        <f t="shared" si="578"/>
        <v>High Balance</v>
      </c>
      <c r="P9239" t="str">
        <f t="shared" si="579"/>
        <v>Mid-term</v>
      </c>
    </row>
    <row r="9240" spans="1:16" x14ac:dyDescent="0.25">
      <c r="A9240">
        <v>2025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  <c r="M9240" t="str">
        <f t="shared" si="576"/>
        <v>46-60</v>
      </c>
      <c r="N9240" t="str">
        <f t="shared" si="577"/>
        <v>High</v>
      </c>
      <c r="O9240" t="str">
        <f t="shared" si="578"/>
        <v>Zero Balance</v>
      </c>
      <c r="P9240" t="str">
        <f t="shared" si="579"/>
        <v>Mid-term</v>
      </c>
    </row>
    <row r="9241" spans="1:16" x14ac:dyDescent="0.25">
      <c r="A9241">
        <v>2025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  <c r="M9241" t="str">
        <f t="shared" si="576"/>
        <v>30-45</v>
      </c>
      <c r="N9241" t="str">
        <f t="shared" si="577"/>
        <v>Medium</v>
      </c>
      <c r="O9241" t="str">
        <f t="shared" si="578"/>
        <v>Low Balance</v>
      </c>
      <c r="P9241" t="str">
        <f t="shared" si="579"/>
        <v>Mid-term</v>
      </c>
    </row>
    <row r="9242" spans="1:16" x14ac:dyDescent="0.25">
      <c r="A9242">
        <v>2025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  <c r="M9242" t="str">
        <f t="shared" si="576"/>
        <v>46-60</v>
      </c>
      <c r="N9242" t="str">
        <f t="shared" si="577"/>
        <v>Medium</v>
      </c>
      <c r="O9242" t="str">
        <f t="shared" si="578"/>
        <v>Zero Balance</v>
      </c>
      <c r="P9242" t="str">
        <f t="shared" si="579"/>
        <v>Long-term</v>
      </c>
    </row>
    <row r="9243" spans="1:16" x14ac:dyDescent="0.25">
      <c r="A9243">
        <v>2025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  <c r="M9243" t="str">
        <f t="shared" si="576"/>
        <v>30-45</v>
      </c>
      <c r="N9243" t="str">
        <f t="shared" si="577"/>
        <v>Medium</v>
      </c>
      <c r="O9243" t="str">
        <f t="shared" si="578"/>
        <v>Zero Balance</v>
      </c>
      <c r="P9243" t="str">
        <f t="shared" si="579"/>
        <v>Long-term</v>
      </c>
    </row>
    <row r="9244" spans="1:16" x14ac:dyDescent="0.25">
      <c r="A9244">
        <v>2025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  <c r="M9244" t="str">
        <f t="shared" si="576"/>
        <v>30-45</v>
      </c>
      <c r="N9244" t="str">
        <f t="shared" si="577"/>
        <v>Medium</v>
      </c>
      <c r="O9244" t="str">
        <f t="shared" si="578"/>
        <v>High Balance</v>
      </c>
      <c r="P9244" t="str">
        <f t="shared" si="579"/>
        <v>Long-term</v>
      </c>
    </row>
    <row r="9245" spans="1:16" x14ac:dyDescent="0.25">
      <c r="A9245">
        <v>2025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  <c r="M9245" t="str">
        <f t="shared" si="576"/>
        <v>30-45</v>
      </c>
      <c r="N9245" t="str">
        <f t="shared" si="577"/>
        <v>Medium</v>
      </c>
      <c r="O9245" t="str">
        <f t="shared" si="578"/>
        <v>High Balance</v>
      </c>
      <c r="P9245" t="str">
        <f t="shared" si="579"/>
        <v>New</v>
      </c>
    </row>
    <row r="9246" spans="1:16" x14ac:dyDescent="0.25">
      <c r="A9246">
        <v>2025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  <c r="M9246" t="str">
        <f t="shared" si="576"/>
        <v>&lt;30</v>
      </c>
      <c r="N9246" t="str">
        <f t="shared" si="577"/>
        <v>Medium</v>
      </c>
      <c r="O9246" t="str">
        <f t="shared" si="578"/>
        <v>High Balance</v>
      </c>
      <c r="P9246" t="str">
        <f t="shared" si="579"/>
        <v>New</v>
      </c>
    </row>
    <row r="9247" spans="1:16" x14ac:dyDescent="0.25">
      <c r="A9247">
        <v>2025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  <c r="M9247" t="str">
        <f t="shared" si="576"/>
        <v>30-45</v>
      </c>
      <c r="N9247" t="str">
        <f t="shared" si="577"/>
        <v>Medium</v>
      </c>
      <c r="O9247" t="str">
        <f t="shared" si="578"/>
        <v>High Balance</v>
      </c>
      <c r="P9247" t="str">
        <f t="shared" si="579"/>
        <v>New</v>
      </c>
    </row>
    <row r="9248" spans="1:16" x14ac:dyDescent="0.25">
      <c r="A9248">
        <v>2025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  <c r="M9248" t="str">
        <f t="shared" si="576"/>
        <v>&lt;30</v>
      </c>
      <c r="N9248" t="str">
        <f t="shared" si="577"/>
        <v>High</v>
      </c>
      <c r="O9248" t="str">
        <f t="shared" si="578"/>
        <v>High Balance</v>
      </c>
      <c r="P9248" t="str">
        <f t="shared" si="579"/>
        <v>New</v>
      </c>
    </row>
    <row r="9249" spans="1:16" x14ac:dyDescent="0.25">
      <c r="A9249">
        <v>2025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  <c r="M9249" t="str">
        <f t="shared" si="576"/>
        <v>&lt;30</v>
      </c>
      <c r="N9249" t="str">
        <f t="shared" si="577"/>
        <v>High</v>
      </c>
      <c r="O9249" t="str">
        <f t="shared" si="578"/>
        <v>Low Balance</v>
      </c>
      <c r="P9249" t="str">
        <f t="shared" si="579"/>
        <v>Mid-term</v>
      </c>
    </row>
    <row r="9250" spans="1:16" x14ac:dyDescent="0.25">
      <c r="A9250">
        <v>2025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  <c r="M9250" t="str">
        <f t="shared" si="576"/>
        <v>30-45</v>
      </c>
      <c r="N9250" t="str">
        <f t="shared" si="577"/>
        <v>Medium</v>
      </c>
      <c r="O9250" t="str">
        <f t="shared" si="578"/>
        <v>Zero Balance</v>
      </c>
      <c r="P9250" t="str">
        <f t="shared" si="579"/>
        <v>Mid-term</v>
      </c>
    </row>
    <row r="9251" spans="1:16" x14ac:dyDescent="0.25">
      <c r="A9251">
        <v>2025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  <c r="M9251" t="str">
        <f t="shared" si="576"/>
        <v>30-45</v>
      </c>
      <c r="N9251" t="str">
        <f t="shared" si="577"/>
        <v>High</v>
      </c>
      <c r="O9251" t="str">
        <f t="shared" si="578"/>
        <v>High Balance</v>
      </c>
      <c r="P9251" t="str">
        <f t="shared" si="579"/>
        <v>Mid-term</v>
      </c>
    </row>
    <row r="9252" spans="1:16" x14ac:dyDescent="0.25">
      <c r="A9252">
        <v>2025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  <c r="M9252" t="str">
        <f t="shared" si="576"/>
        <v>30-45</v>
      </c>
      <c r="N9252" t="str">
        <f t="shared" si="577"/>
        <v>High</v>
      </c>
      <c r="O9252" t="str">
        <f t="shared" si="578"/>
        <v>High Balance</v>
      </c>
      <c r="P9252" t="str">
        <f t="shared" si="579"/>
        <v>New</v>
      </c>
    </row>
    <row r="9253" spans="1:16" x14ac:dyDescent="0.25">
      <c r="A9253">
        <v>2025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  <c r="M9253" t="str">
        <f t="shared" si="576"/>
        <v>30-45</v>
      </c>
      <c r="N9253" t="str">
        <f t="shared" si="577"/>
        <v>Medium</v>
      </c>
      <c r="O9253" t="str">
        <f t="shared" si="578"/>
        <v>High Balance</v>
      </c>
      <c r="P9253" t="str">
        <f t="shared" si="579"/>
        <v>Mid-term</v>
      </c>
    </row>
    <row r="9254" spans="1:16" x14ac:dyDescent="0.25">
      <c r="A9254">
        <v>2025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  <c r="M9254" t="str">
        <f t="shared" si="576"/>
        <v>30-45</v>
      </c>
      <c r="N9254" t="str">
        <f t="shared" si="577"/>
        <v>Low</v>
      </c>
      <c r="O9254" t="str">
        <f t="shared" si="578"/>
        <v>High Balance</v>
      </c>
      <c r="P9254" t="str">
        <f t="shared" si="579"/>
        <v>Mid-term</v>
      </c>
    </row>
    <row r="9255" spans="1:16" x14ac:dyDescent="0.25">
      <c r="A9255">
        <v>2025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  <c r="M9255" t="str">
        <f t="shared" si="576"/>
        <v>46-60</v>
      </c>
      <c r="N9255" t="str">
        <f t="shared" si="577"/>
        <v>Medium</v>
      </c>
      <c r="O9255" t="str">
        <f t="shared" si="578"/>
        <v>Zero Balance</v>
      </c>
      <c r="P9255" t="str">
        <f t="shared" si="579"/>
        <v>Long-term</v>
      </c>
    </row>
    <row r="9256" spans="1:16" x14ac:dyDescent="0.25">
      <c r="A9256">
        <v>2025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  <c r="M9256" t="str">
        <f t="shared" si="576"/>
        <v>30-45</v>
      </c>
      <c r="N9256" t="str">
        <f t="shared" si="577"/>
        <v>Medium</v>
      </c>
      <c r="O9256" t="str">
        <f t="shared" si="578"/>
        <v>Zero Balance</v>
      </c>
      <c r="P9256" t="str">
        <f t="shared" si="579"/>
        <v>Mid-term</v>
      </c>
    </row>
    <row r="9257" spans="1:16" x14ac:dyDescent="0.25">
      <c r="A9257">
        <v>2025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  <c r="M9257" t="str">
        <f t="shared" si="576"/>
        <v>30-45</v>
      </c>
      <c r="N9257" t="str">
        <f t="shared" si="577"/>
        <v>High</v>
      </c>
      <c r="O9257" t="str">
        <f t="shared" si="578"/>
        <v>High Balance</v>
      </c>
      <c r="P9257" t="str">
        <f t="shared" si="579"/>
        <v>New</v>
      </c>
    </row>
    <row r="9258" spans="1:16" x14ac:dyDescent="0.25">
      <c r="A9258">
        <v>2025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  <c r="M9258" t="str">
        <f t="shared" si="576"/>
        <v>30-45</v>
      </c>
      <c r="N9258" t="str">
        <f t="shared" si="577"/>
        <v>High</v>
      </c>
      <c r="O9258" t="str">
        <f t="shared" si="578"/>
        <v>High Balance</v>
      </c>
      <c r="P9258" t="str">
        <f t="shared" si="579"/>
        <v>Mid-term</v>
      </c>
    </row>
    <row r="9259" spans="1:16" x14ac:dyDescent="0.25">
      <c r="A9259">
        <v>2025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  <c r="M9259" t="str">
        <f t="shared" si="576"/>
        <v>30-45</v>
      </c>
      <c r="N9259" t="str">
        <f t="shared" si="577"/>
        <v>Medium</v>
      </c>
      <c r="O9259" t="str">
        <f t="shared" si="578"/>
        <v>High Balance</v>
      </c>
      <c r="P9259" t="str">
        <f t="shared" si="579"/>
        <v>Long-term</v>
      </c>
    </row>
    <row r="9260" spans="1:16" x14ac:dyDescent="0.25">
      <c r="A9260">
        <v>2025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  <c r="M9260" t="str">
        <f t="shared" si="576"/>
        <v>&lt;30</v>
      </c>
      <c r="N9260" t="str">
        <f t="shared" si="577"/>
        <v>Medium</v>
      </c>
      <c r="O9260" t="str">
        <f t="shared" si="578"/>
        <v>Low Balance</v>
      </c>
      <c r="P9260" t="str">
        <f t="shared" si="579"/>
        <v>New</v>
      </c>
    </row>
    <row r="9261" spans="1:16" x14ac:dyDescent="0.25">
      <c r="A9261">
        <v>2025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  <c r="M9261" t="str">
        <f t="shared" si="576"/>
        <v>30-45</v>
      </c>
      <c r="N9261" t="str">
        <f t="shared" si="577"/>
        <v>High</v>
      </c>
      <c r="O9261" t="str">
        <f t="shared" si="578"/>
        <v>Low Balance</v>
      </c>
      <c r="P9261" t="str">
        <f t="shared" si="579"/>
        <v>New</v>
      </c>
    </row>
    <row r="9262" spans="1:16" x14ac:dyDescent="0.25">
      <c r="A9262">
        <v>2025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  <c r="M9262" t="str">
        <f t="shared" si="576"/>
        <v>30-45</v>
      </c>
      <c r="N9262" t="str">
        <f t="shared" si="577"/>
        <v>High</v>
      </c>
      <c r="O9262" t="str">
        <f t="shared" si="578"/>
        <v>High Balance</v>
      </c>
      <c r="P9262" t="str">
        <f t="shared" si="579"/>
        <v>Mid-term</v>
      </c>
    </row>
    <row r="9263" spans="1:16" x14ac:dyDescent="0.25">
      <c r="A9263">
        <v>2025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  <c r="M9263" t="str">
        <f t="shared" si="576"/>
        <v>60+</v>
      </c>
      <c r="N9263" t="str">
        <f t="shared" si="577"/>
        <v>Medium</v>
      </c>
      <c r="O9263" t="str">
        <f t="shared" si="578"/>
        <v>Zero Balance</v>
      </c>
      <c r="P9263" t="str">
        <f t="shared" si="579"/>
        <v>Mid-term</v>
      </c>
    </row>
    <row r="9264" spans="1:16" x14ac:dyDescent="0.25">
      <c r="A9264">
        <v>2025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  <c r="M9264" t="str">
        <f t="shared" si="576"/>
        <v>46-60</v>
      </c>
      <c r="N9264" t="str">
        <f t="shared" si="577"/>
        <v>High</v>
      </c>
      <c r="O9264" t="str">
        <f t="shared" si="578"/>
        <v>Low Balance</v>
      </c>
      <c r="P9264" t="str">
        <f t="shared" si="579"/>
        <v>Mid-term</v>
      </c>
    </row>
    <row r="9265" spans="1:16" x14ac:dyDescent="0.25">
      <c r="A9265">
        <v>2025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  <c r="M9265" t="str">
        <f t="shared" si="576"/>
        <v>30-45</v>
      </c>
      <c r="N9265" t="str">
        <f t="shared" si="577"/>
        <v>Medium</v>
      </c>
      <c r="O9265" t="str">
        <f t="shared" si="578"/>
        <v>Zero Balance</v>
      </c>
      <c r="P9265" t="str">
        <f t="shared" si="579"/>
        <v>New</v>
      </c>
    </row>
    <row r="9266" spans="1:16" x14ac:dyDescent="0.25">
      <c r="A9266">
        <v>2025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  <c r="M9266" t="str">
        <f t="shared" si="576"/>
        <v>46-60</v>
      </c>
      <c r="N9266" t="str">
        <f t="shared" si="577"/>
        <v>Low</v>
      </c>
      <c r="O9266" t="str">
        <f t="shared" si="578"/>
        <v>Zero Balance</v>
      </c>
      <c r="P9266" t="str">
        <f t="shared" si="579"/>
        <v>New</v>
      </c>
    </row>
    <row r="9267" spans="1:16" x14ac:dyDescent="0.25">
      <c r="A9267">
        <v>2025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  <c r="M9267" t="str">
        <f t="shared" si="576"/>
        <v>30-45</v>
      </c>
      <c r="N9267" t="str">
        <f t="shared" si="577"/>
        <v>Medium</v>
      </c>
      <c r="O9267" t="str">
        <f t="shared" si="578"/>
        <v>High Balance</v>
      </c>
      <c r="P9267" t="str">
        <f t="shared" si="579"/>
        <v>New</v>
      </c>
    </row>
    <row r="9268" spans="1:16" x14ac:dyDescent="0.25">
      <c r="A9268">
        <v>2025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  <c r="M9268" t="str">
        <f t="shared" si="576"/>
        <v>30-45</v>
      </c>
      <c r="N9268" t="str">
        <f t="shared" si="577"/>
        <v>Medium</v>
      </c>
      <c r="O9268" t="str">
        <f t="shared" si="578"/>
        <v>High Balance</v>
      </c>
      <c r="P9268" t="str">
        <f t="shared" si="579"/>
        <v>Mid-term</v>
      </c>
    </row>
    <row r="9269" spans="1:16" x14ac:dyDescent="0.25">
      <c r="A9269">
        <v>2025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  <c r="M9269" t="str">
        <f t="shared" si="576"/>
        <v>30-45</v>
      </c>
      <c r="N9269" t="str">
        <f t="shared" si="577"/>
        <v>High</v>
      </c>
      <c r="O9269" t="str">
        <f t="shared" si="578"/>
        <v>High Balance</v>
      </c>
      <c r="P9269" t="str">
        <f t="shared" si="579"/>
        <v>Mid-term</v>
      </c>
    </row>
    <row r="9270" spans="1:16" x14ac:dyDescent="0.25">
      <c r="A9270">
        <v>2025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  <c r="M9270" t="str">
        <f t="shared" si="576"/>
        <v>&lt;30</v>
      </c>
      <c r="N9270" t="str">
        <f t="shared" si="577"/>
        <v>Medium</v>
      </c>
      <c r="O9270" t="str">
        <f t="shared" si="578"/>
        <v>Zero Balance</v>
      </c>
      <c r="P9270" t="str">
        <f t="shared" si="579"/>
        <v>New</v>
      </c>
    </row>
    <row r="9271" spans="1:16" x14ac:dyDescent="0.25">
      <c r="A9271">
        <v>2025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  <c r="M9271" t="str">
        <f t="shared" si="576"/>
        <v>30-45</v>
      </c>
      <c r="N9271" t="str">
        <f t="shared" si="577"/>
        <v>Medium</v>
      </c>
      <c r="O9271" t="str">
        <f t="shared" si="578"/>
        <v>High Balance</v>
      </c>
      <c r="P9271" t="str">
        <f t="shared" si="579"/>
        <v>Mid-term</v>
      </c>
    </row>
    <row r="9272" spans="1:16" x14ac:dyDescent="0.25">
      <c r="A9272">
        <v>2025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  <c r="M9272" t="str">
        <f t="shared" si="576"/>
        <v>&lt;30</v>
      </c>
      <c r="N9272" t="str">
        <f t="shared" si="577"/>
        <v>Low</v>
      </c>
      <c r="O9272" t="str">
        <f t="shared" si="578"/>
        <v>High Balance</v>
      </c>
      <c r="P9272" t="str">
        <f t="shared" si="579"/>
        <v>New</v>
      </c>
    </row>
    <row r="9273" spans="1:16" x14ac:dyDescent="0.25">
      <c r="A9273">
        <v>2025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  <c r="M9273" t="str">
        <f t="shared" si="576"/>
        <v>46-60</v>
      </c>
      <c r="N9273" t="str">
        <f t="shared" si="577"/>
        <v>Medium</v>
      </c>
      <c r="O9273" t="str">
        <f t="shared" si="578"/>
        <v>High Balance</v>
      </c>
      <c r="P9273" t="str">
        <f t="shared" si="579"/>
        <v>Long-term</v>
      </c>
    </row>
    <row r="9274" spans="1:16" x14ac:dyDescent="0.25">
      <c r="A9274">
        <v>2025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  <c r="M9274" t="str">
        <f t="shared" si="576"/>
        <v>30-45</v>
      </c>
      <c r="N9274" t="str">
        <f t="shared" si="577"/>
        <v>High</v>
      </c>
      <c r="O9274" t="str">
        <f t="shared" si="578"/>
        <v>High Balance</v>
      </c>
      <c r="P9274" t="str">
        <f t="shared" si="579"/>
        <v>New</v>
      </c>
    </row>
    <row r="9275" spans="1:16" x14ac:dyDescent="0.25">
      <c r="A9275">
        <v>2025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  <c r="M9275" t="str">
        <f t="shared" si="576"/>
        <v>30-45</v>
      </c>
      <c r="N9275" t="str">
        <f t="shared" si="577"/>
        <v>Medium</v>
      </c>
      <c r="O9275" t="str">
        <f t="shared" si="578"/>
        <v>Zero Balance</v>
      </c>
      <c r="P9275" t="str">
        <f t="shared" si="579"/>
        <v>New</v>
      </c>
    </row>
    <row r="9276" spans="1:16" x14ac:dyDescent="0.25">
      <c r="A9276">
        <v>2025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  <c r="M9276" t="str">
        <f t="shared" si="576"/>
        <v>30-45</v>
      </c>
      <c r="N9276" t="str">
        <f t="shared" si="577"/>
        <v>Medium</v>
      </c>
      <c r="O9276" t="str">
        <f t="shared" si="578"/>
        <v>Zero Balance</v>
      </c>
      <c r="P9276" t="str">
        <f t="shared" si="579"/>
        <v>Long-term</v>
      </c>
    </row>
    <row r="9277" spans="1:16" x14ac:dyDescent="0.25">
      <c r="A9277">
        <v>2025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  <c r="M9277" t="str">
        <f t="shared" si="576"/>
        <v>30-45</v>
      </c>
      <c r="N9277" t="str">
        <f t="shared" si="577"/>
        <v>Low</v>
      </c>
      <c r="O9277" t="str">
        <f t="shared" si="578"/>
        <v>Low Balance</v>
      </c>
      <c r="P9277" t="str">
        <f t="shared" si="579"/>
        <v>New</v>
      </c>
    </row>
    <row r="9278" spans="1:16" x14ac:dyDescent="0.25">
      <c r="A9278">
        <v>2025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  <c r="M9278" t="str">
        <f t="shared" si="576"/>
        <v>46-60</v>
      </c>
      <c r="N9278" t="str">
        <f t="shared" si="577"/>
        <v>Low</v>
      </c>
      <c r="O9278" t="str">
        <f t="shared" si="578"/>
        <v>Zero Balance</v>
      </c>
      <c r="P9278" t="str">
        <f t="shared" si="579"/>
        <v>New</v>
      </c>
    </row>
    <row r="9279" spans="1:16" x14ac:dyDescent="0.25">
      <c r="A9279">
        <v>2025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  <c r="M9279" t="str">
        <f t="shared" si="576"/>
        <v>&lt;30</v>
      </c>
      <c r="N9279" t="str">
        <f t="shared" si="577"/>
        <v>Medium</v>
      </c>
      <c r="O9279" t="str">
        <f t="shared" si="578"/>
        <v>Zero Balance</v>
      </c>
      <c r="P9279" t="str">
        <f t="shared" si="579"/>
        <v>Mid-term</v>
      </c>
    </row>
    <row r="9280" spans="1:16" x14ac:dyDescent="0.25">
      <c r="A9280">
        <v>2025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  <c r="M9280" t="str">
        <f t="shared" si="576"/>
        <v>30-45</v>
      </c>
      <c r="N9280" t="str">
        <f t="shared" si="577"/>
        <v>Low</v>
      </c>
      <c r="O9280" t="str">
        <f t="shared" si="578"/>
        <v>High Balance</v>
      </c>
      <c r="P9280" t="str">
        <f t="shared" si="579"/>
        <v>Mid-term</v>
      </c>
    </row>
    <row r="9281" spans="1:16" x14ac:dyDescent="0.25">
      <c r="A9281">
        <v>2025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  <c r="M9281" t="str">
        <f t="shared" si="576"/>
        <v>60+</v>
      </c>
      <c r="N9281" t="str">
        <f t="shared" si="577"/>
        <v>High</v>
      </c>
      <c r="O9281" t="str">
        <f t="shared" si="578"/>
        <v>Zero Balance</v>
      </c>
      <c r="P9281" t="str">
        <f t="shared" si="579"/>
        <v>Mid-term</v>
      </c>
    </row>
    <row r="9282" spans="1:16" x14ac:dyDescent="0.25">
      <c r="A9282">
        <v>2025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  <c r="M9282" t="str">
        <f t="shared" si="576"/>
        <v>30-45</v>
      </c>
      <c r="N9282" t="str">
        <f t="shared" si="577"/>
        <v>Medium</v>
      </c>
      <c r="O9282" t="str">
        <f t="shared" si="578"/>
        <v>Low Balance</v>
      </c>
      <c r="P9282" t="str">
        <f t="shared" si="579"/>
        <v>Mid-term</v>
      </c>
    </row>
    <row r="9283" spans="1:16" x14ac:dyDescent="0.25">
      <c r="A9283">
        <v>2025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  <c r="M9283" t="str">
        <f t="shared" ref="M9283:M9346" si="580">IF(E9283&lt;30,"&lt;30",IF(E9283&lt;=45,"30-45",IF(E9283&lt;=60,"46-60","60+")))</f>
        <v>30-45</v>
      </c>
      <c r="N9283" t="str">
        <f t="shared" ref="N9283:N9346" si="581">IF(B9283&lt;500,"Low",IF(B9283&lt;700,"Medium","High"))</f>
        <v>Medium</v>
      </c>
      <c r="O9283" t="str">
        <f t="shared" ref="O9283:O9346" si="582">IF(G9283=0,"Zero Balance",IF(G9283&lt;100000,"Low Balance","High Balance"))</f>
        <v>High Balance</v>
      </c>
      <c r="P9283" t="str">
        <f t="shared" ref="P9283:P9346" si="583">IF(F9283&lt;=3,"New",IF(F9283&lt;=7,"Mid-term","Long-term"))</f>
        <v>New</v>
      </c>
    </row>
    <row r="9284" spans="1:16" x14ac:dyDescent="0.25">
      <c r="A9284">
        <v>2025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  <c r="M9284" t="str">
        <f t="shared" si="580"/>
        <v>30-45</v>
      </c>
      <c r="N9284" t="str">
        <f t="shared" si="581"/>
        <v>Medium</v>
      </c>
      <c r="O9284" t="str">
        <f t="shared" si="582"/>
        <v>Zero Balance</v>
      </c>
      <c r="P9284" t="str">
        <f t="shared" si="583"/>
        <v>New</v>
      </c>
    </row>
    <row r="9285" spans="1:16" x14ac:dyDescent="0.25">
      <c r="A9285">
        <v>2025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  <c r="M9285" t="str">
        <f t="shared" si="580"/>
        <v>&lt;30</v>
      </c>
      <c r="N9285" t="str">
        <f t="shared" si="581"/>
        <v>Medium</v>
      </c>
      <c r="O9285" t="str">
        <f t="shared" si="582"/>
        <v>Zero Balance</v>
      </c>
      <c r="P9285" t="str">
        <f t="shared" si="583"/>
        <v>New</v>
      </c>
    </row>
    <row r="9286" spans="1:16" x14ac:dyDescent="0.25">
      <c r="A9286">
        <v>2025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  <c r="M9286" t="str">
        <f t="shared" si="580"/>
        <v>60+</v>
      </c>
      <c r="N9286" t="str">
        <f t="shared" si="581"/>
        <v>Medium</v>
      </c>
      <c r="O9286" t="str">
        <f t="shared" si="582"/>
        <v>High Balance</v>
      </c>
      <c r="P9286" t="str">
        <f t="shared" si="583"/>
        <v>New</v>
      </c>
    </row>
    <row r="9287" spans="1:16" x14ac:dyDescent="0.25">
      <c r="A9287">
        <v>2025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  <c r="M9287" t="str">
        <f t="shared" si="580"/>
        <v>46-60</v>
      </c>
      <c r="N9287" t="str">
        <f t="shared" si="581"/>
        <v>Medium</v>
      </c>
      <c r="O9287" t="str">
        <f t="shared" si="582"/>
        <v>Low Balance</v>
      </c>
      <c r="P9287" t="str">
        <f t="shared" si="583"/>
        <v>Mid-term</v>
      </c>
    </row>
    <row r="9288" spans="1:16" x14ac:dyDescent="0.25">
      <c r="A9288">
        <v>2025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  <c r="M9288" t="str">
        <f t="shared" si="580"/>
        <v>&lt;30</v>
      </c>
      <c r="N9288" t="str">
        <f t="shared" si="581"/>
        <v>High</v>
      </c>
      <c r="O9288" t="str">
        <f t="shared" si="582"/>
        <v>High Balance</v>
      </c>
      <c r="P9288" t="str">
        <f t="shared" si="583"/>
        <v>Mid-term</v>
      </c>
    </row>
    <row r="9289" spans="1:16" x14ac:dyDescent="0.25">
      <c r="A9289">
        <v>2025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  <c r="M9289" t="str">
        <f t="shared" si="580"/>
        <v>30-45</v>
      </c>
      <c r="N9289" t="str">
        <f t="shared" si="581"/>
        <v>Medium</v>
      </c>
      <c r="O9289" t="str">
        <f t="shared" si="582"/>
        <v>Zero Balance</v>
      </c>
      <c r="P9289" t="str">
        <f t="shared" si="583"/>
        <v>Mid-term</v>
      </c>
    </row>
    <row r="9290" spans="1:16" x14ac:dyDescent="0.25">
      <c r="A9290">
        <v>2025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  <c r="M9290" t="str">
        <f t="shared" si="580"/>
        <v>30-45</v>
      </c>
      <c r="N9290" t="str">
        <f t="shared" si="581"/>
        <v>Medium</v>
      </c>
      <c r="O9290" t="str">
        <f t="shared" si="582"/>
        <v>Low Balance</v>
      </c>
      <c r="P9290" t="str">
        <f t="shared" si="583"/>
        <v>Long-term</v>
      </c>
    </row>
    <row r="9291" spans="1:16" x14ac:dyDescent="0.25">
      <c r="A9291">
        <v>2025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  <c r="M9291" t="str">
        <f t="shared" si="580"/>
        <v>30-45</v>
      </c>
      <c r="N9291" t="str">
        <f t="shared" si="581"/>
        <v>Medium</v>
      </c>
      <c r="O9291" t="str">
        <f t="shared" si="582"/>
        <v>Low Balance</v>
      </c>
      <c r="P9291" t="str">
        <f t="shared" si="583"/>
        <v>New</v>
      </c>
    </row>
    <row r="9292" spans="1:16" x14ac:dyDescent="0.25">
      <c r="A9292">
        <v>2025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  <c r="M9292" t="str">
        <f t="shared" si="580"/>
        <v>30-45</v>
      </c>
      <c r="N9292" t="str">
        <f t="shared" si="581"/>
        <v>High</v>
      </c>
      <c r="O9292" t="str">
        <f t="shared" si="582"/>
        <v>Low Balance</v>
      </c>
      <c r="P9292" t="str">
        <f t="shared" si="583"/>
        <v>Long-term</v>
      </c>
    </row>
    <row r="9293" spans="1:16" x14ac:dyDescent="0.25">
      <c r="A9293">
        <v>2025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  <c r="M9293" t="str">
        <f t="shared" si="580"/>
        <v>30-45</v>
      </c>
      <c r="N9293" t="str">
        <f t="shared" si="581"/>
        <v>Medium</v>
      </c>
      <c r="O9293" t="str">
        <f t="shared" si="582"/>
        <v>High Balance</v>
      </c>
      <c r="P9293" t="str">
        <f t="shared" si="583"/>
        <v>Mid-term</v>
      </c>
    </row>
    <row r="9294" spans="1:16" x14ac:dyDescent="0.25">
      <c r="A9294">
        <v>2025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  <c r="M9294" t="str">
        <f t="shared" si="580"/>
        <v>60+</v>
      </c>
      <c r="N9294" t="str">
        <f t="shared" si="581"/>
        <v>Low</v>
      </c>
      <c r="O9294" t="str">
        <f t="shared" si="582"/>
        <v>High Balance</v>
      </c>
      <c r="P9294" t="str">
        <f t="shared" si="583"/>
        <v>New</v>
      </c>
    </row>
    <row r="9295" spans="1:16" x14ac:dyDescent="0.25">
      <c r="A9295">
        <v>2025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  <c r="M9295" t="str">
        <f t="shared" si="580"/>
        <v>30-45</v>
      </c>
      <c r="N9295" t="str">
        <f t="shared" si="581"/>
        <v>High</v>
      </c>
      <c r="O9295" t="str">
        <f t="shared" si="582"/>
        <v>High Balance</v>
      </c>
      <c r="P9295" t="str">
        <f t="shared" si="583"/>
        <v>Mid-term</v>
      </c>
    </row>
    <row r="9296" spans="1:16" x14ac:dyDescent="0.25">
      <c r="A9296">
        <v>2025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  <c r="M9296" t="str">
        <f t="shared" si="580"/>
        <v>30-45</v>
      </c>
      <c r="N9296" t="str">
        <f t="shared" si="581"/>
        <v>High</v>
      </c>
      <c r="O9296" t="str">
        <f t="shared" si="582"/>
        <v>High Balance</v>
      </c>
      <c r="P9296" t="str">
        <f t="shared" si="583"/>
        <v>Long-term</v>
      </c>
    </row>
    <row r="9297" spans="1:16" x14ac:dyDescent="0.25">
      <c r="A9297">
        <v>2025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  <c r="M9297" t="str">
        <f t="shared" si="580"/>
        <v>30-45</v>
      </c>
      <c r="N9297" t="str">
        <f t="shared" si="581"/>
        <v>Medium</v>
      </c>
      <c r="O9297" t="str">
        <f t="shared" si="582"/>
        <v>High Balance</v>
      </c>
      <c r="P9297" t="str">
        <f t="shared" si="583"/>
        <v>Long-term</v>
      </c>
    </row>
    <row r="9298" spans="1:16" x14ac:dyDescent="0.25">
      <c r="A9298">
        <v>2025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  <c r="M9298" t="str">
        <f t="shared" si="580"/>
        <v>46-60</v>
      </c>
      <c r="N9298" t="str">
        <f t="shared" si="581"/>
        <v>Medium</v>
      </c>
      <c r="O9298" t="str">
        <f t="shared" si="582"/>
        <v>High Balance</v>
      </c>
      <c r="P9298" t="str">
        <f t="shared" si="583"/>
        <v>Long-term</v>
      </c>
    </row>
    <row r="9299" spans="1:16" x14ac:dyDescent="0.25">
      <c r="A9299">
        <v>2025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  <c r="M9299" t="str">
        <f t="shared" si="580"/>
        <v>30-45</v>
      </c>
      <c r="N9299" t="str">
        <f t="shared" si="581"/>
        <v>High</v>
      </c>
      <c r="O9299" t="str">
        <f t="shared" si="582"/>
        <v>High Balance</v>
      </c>
      <c r="P9299" t="str">
        <f t="shared" si="583"/>
        <v>Long-term</v>
      </c>
    </row>
    <row r="9300" spans="1:16" x14ac:dyDescent="0.25">
      <c r="A9300">
        <v>2025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  <c r="M9300" t="str">
        <f t="shared" si="580"/>
        <v>&lt;30</v>
      </c>
      <c r="N9300" t="str">
        <f t="shared" si="581"/>
        <v>High</v>
      </c>
      <c r="O9300" t="str">
        <f t="shared" si="582"/>
        <v>High Balance</v>
      </c>
      <c r="P9300" t="str">
        <f t="shared" si="583"/>
        <v>Mid-term</v>
      </c>
    </row>
    <row r="9301" spans="1:16" x14ac:dyDescent="0.25">
      <c r="A9301">
        <v>2025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  <c r="M9301" t="str">
        <f t="shared" si="580"/>
        <v>&lt;30</v>
      </c>
      <c r="N9301" t="str">
        <f t="shared" si="581"/>
        <v>High</v>
      </c>
      <c r="O9301" t="str">
        <f t="shared" si="582"/>
        <v>High Balance</v>
      </c>
      <c r="P9301" t="str">
        <f t="shared" si="583"/>
        <v>Mid-term</v>
      </c>
    </row>
    <row r="9302" spans="1:16" x14ac:dyDescent="0.25">
      <c r="A9302">
        <v>2025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  <c r="M9302" t="str">
        <f t="shared" si="580"/>
        <v>30-45</v>
      </c>
      <c r="N9302" t="str">
        <f t="shared" si="581"/>
        <v>High</v>
      </c>
      <c r="O9302" t="str">
        <f t="shared" si="582"/>
        <v>High Balance</v>
      </c>
      <c r="P9302" t="str">
        <f t="shared" si="583"/>
        <v>Long-term</v>
      </c>
    </row>
    <row r="9303" spans="1:16" x14ac:dyDescent="0.25">
      <c r="A9303">
        <v>2025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  <c r="M9303" t="str">
        <f t="shared" si="580"/>
        <v>30-45</v>
      </c>
      <c r="N9303" t="str">
        <f t="shared" si="581"/>
        <v>Medium</v>
      </c>
      <c r="O9303" t="str">
        <f t="shared" si="582"/>
        <v>High Balance</v>
      </c>
      <c r="P9303" t="str">
        <f t="shared" si="583"/>
        <v>Mid-term</v>
      </c>
    </row>
    <row r="9304" spans="1:16" x14ac:dyDescent="0.25">
      <c r="A9304">
        <v>2025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  <c r="M9304" t="str">
        <f t="shared" si="580"/>
        <v>30-45</v>
      </c>
      <c r="N9304" t="str">
        <f t="shared" si="581"/>
        <v>High</v>
      </c>
      <c r="O9304" t="str">
        <f t="shared" si="582"/>
        <v>Zero Balance</v>
      </c>
      <c r="P9304" t="str">
        <f t="shared" si="583"/>
        <v>Long-term</v>
      </c>
    </row>
    <row r="9305" spans="1:16" x14ac:dyDescent="0.25">
      <c r="A9305">
        <v>2025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  <c r="M9305" t="str">
        <f t="shared" si="580"/>
        <v>30-45</v>
      </c>
      <c r="N9305" t="str">
        <f t="shared" si="581"/>
        <v>Medium</v>
      </c>
      <c r="O9305" t="str">
        <f t="shared" si="582"/>
        <v>High Balance</v>
      </c>
      <c r="P9305" t="str">
        <f t="shared" si="583"/>
        <v>New</v>
      </c>
    </row>
    <row r="9306" spans="1:16" x14ac:dyDescent="0.25">
      <c r="A9306">
        <v>2025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  <c r="M9306" t="str">
        <f t="shared" si="580"/>
        <v>30-45</v>
      </c>
      <c r="N9306" t="str">
        <f t="shared" si="581"/>
        <v>Medium</v>
      </c>
      <c r="O9306" t="str">
        <f t="shared" si="582"/>
        <v>Zero Balance</v>
      </c>
      <c r="P9306" t="str">
        <f t="shared" si="583"/>
        <v>Long-term</v>
      </c>
    </row>
    <row r="9307" spans="1:16" x14ac:dyDescent="0.25">
      <c r="A9307">
        <v>2025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  <c r="M9307" t="str">
        <f t="shared" si="580"/>
        <v>30-45</v>
      </c>
      <c r="N9307" t="str">
        <f t="shared" si="581"/>
        <v>Medium</v>
      </c>
      <c r="O9307" t="str">
        <f t="shared" si="582"/>
        <v>High Balance</v>
      </c>
      <c r="P9307" t="str">
        <f t="shared" si="583"/>
        <v>Mid-term</v>
      </c>
    </row>
    <row r="9308" spans="1:16" x14ac:dyDescent="0.25">
      <c r="A9308">
        <v>2025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  <c r="M9308" t="str">
        <f t="shared" si="580"/>
        <v>30-45</v>
      </c>
      <c r="N9308" t="str">
        <f t="shared" si="581"/>
        <v>Medium</v>
      </c>
      <c r="O9308" t="str">
        <f t="shared" si="582"/>
        <v>Zero Balance</v>
      </c>
      <c r="P9308" t="str">
        <f t="shared" si="583"/>
        <v>New</v>
      </c>
    </row>
    <row r="9309" spans="1:16" x14ac:dyDescent="0.25">
      <c r="A9309">
        <v>2025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  <c r="M9309" t="str">
        <f t="shared" si="580"/>
        <v>30-45</v>
      </c>
      <c r="N9309" t="str">
        <f t="shared" si="581"/>
        <v>Medium</v>
      </c>
      <c r="O9309" t="str">
        <f t="shared" si="582"/>
        <v>High Balance</v>
      </c>
      <c r="P9309" t="str">
        <f t="shared" si="583"/>
        <v>New</v>
      </c>
    </row>
    <row r="9310" spans="1:16" x14ac:dyDescent="0.25">
      <c r="A9310">
        <v>2025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  <c r="M9310" t="str">
        <f t="shared" si="580"/>
        <v>&lt;30</v>
      </c>
      <c r="N9310" t="str">
        <f t="shared" si="581"/>
        <v>High</v>
      </c>
      <c r="O9310" t="str">
        <f t="shared" si="582"/>
        <v>Zero Balance</v>
      </c>
      <c r="P9310" t="str">
        <f t="shared" si="583"/>
        <v>New</v>
      </c>
    </row>
    <row r="9311" spans="1:16" x14ac:dyDescent="0.25">
      <c r="A9311">
        <v>2025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  <c r="M9311" t="str">
        <f t="shared" si="580"/>
        <v>60+</v>
      </c>
      <c r="N9311" t="str">
        <f t="shared" si="581"/>
        <v>Medium</v>
      </c>
      <c r="O9311" t="str">
        <f t="shared" si="582"/>
        <v>High Balance</v>
      </c>
      <c r="P9311" t="str">
        <f t="shared" si="583"/>
        <v>Mid-term</v>
      </c>
    </row>
    <row r="9312" spans="1:16" x14ac:dyDescent="0.25">
      <c r="A9312">
        <v>2025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  <c r="M9312" t="str">
        <f t="shared" si="580"/>
        <v>46-60</v>
      </c>
      <c r="N9312" t="str">
        <f t="shared" si="581"/>
        <v>Medium</v>
      </c>
      <c r="O9312" t="str">
        <f t="shared" si="582"/>
        <v>Zero Balance</v>
      </c>
      <c r="P9312" t="str">
        <f t="shared" si="583"/>
        <v>New</v>
      </c>
    </row>
    <row r="9313" spans="1:16" x14ac:dyDescent="0.25">
      <c r="A9313">
        <v>2025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  <c r="M9313" t="str">
        <f t="shared" si="580"/>
        <v>46-60</v>
      </c>
      <c r="N9313" t="str">
        <f t="shared" si="581"/>
        <v>Medium</v>
      </c>
      <c r="O9313" t="str">
        <f t="shared" si="582"/>
        <v>High Balance</v>
      </c>
      <c r="P9313" t="str">
        <f t="shared" si="583"/>
        <v>New</v>
      </c>
    </row>
    <row r="9314" spans="1:16" x14ac:dyDescent="0.25">
      <c r="A9314">
        <v>2025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  <c r="M9314" t="str">
        <f t="shared" si="580"/>
        <v>30-45</v>
      </c>
      <c r="N9314" t="str">
        <f t="shared" si="581"/>
        <v>Medium</v>
      </c>
      <c r="O9314" t="str">
        <f t="shared" si="582"/>
        <v>Low Balance</v>
      </c>
      <c r="P9314" t="str">
        <f t="shared" si="583"/>
        <v>Long-term</v>
      </c>
    </row>
    <row r="9315" spans="1:16" x14ac:dyDescent="0.25">
      <c r="A9315">
        <v>2025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  <c r="M9315" t="str">
        <f t="shared" si="580"/>
        <v>30-45</v>
      </c>
      <c r="N9315" t="str">
        <f t="shared" si="581"/>
        <v>High</v>
      </c>
      <c r="O9315" t="str">
        <f t="shared" si="582"/>
        <v>High Balance</v>
      </c>
      <c r="P9315" t="str">
        <f t="shared" si="583"/>
        <v>New</v>
      </c>
    </row>
    <row r="9316" spans="1:16" x14ac:dyDescent="0.25">
      <c r="A9316">
        <v>2025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  <c r="M9316" t="str">
        <f t="shared" si="580"/>
        <v>46-60</v>
      </c>
      <c r="N9316" t="str">
        <f t="shared" si="581"/>
        <v>Medium</v>
      </c>
      <c r="O9316" t="str">
        <f t="shared" si="582"/>
        <v>High Balance</v>
      </c>
      <c r="P9316" t="str">
        <f t="shared" si="583"/>
        <v>Mid-term</v>
      </c>
    </row>
    <row r="9317" spans="1:16" x14ac:dyDescent="0.25">
      <c r="A9317">
        <v>2025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  <c r="M9317" t="str">
        <f t="shared" si="580"/>
        <v>30-45</v>
      </c>
      <c r="N9317" t="str">
        <f t="shared" si="581"/>
        <v>Medium</v>
      </c>
      <c r="O9317" t="str">
        <f t="shared" si="582"/>
        <v>High Balance</v>
      </c>
      <c r="P9317" t="str">
        <f t="shared" si="583"/>
        <v>Long-term</v>
      </c>
    </row>
    <row r="9318" spans="1:16" x14ac:dyDescent="0.25">
      <c r="A9318">
        <v>2025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  <c r="M9318" t="str">
        <f t="shared" si="580"/>
        <v>46-60</v>
      </c>
      <c r="N9318" t="str">
        <f t="shared" si="581"/>
        <v>Medium</v>
      </c>
      <c r="O9318" t="str">
        <f t="shared" si="582"/>
        <v>High Balance</v>
      </c>
      <c r="P9318" t="str">
        <f t="shared" si="583"/>
        <v>New</v>
      </c>
    </row>
    <row r="9319" spans="1:16" x14ac:dyDescent="0.25">
      <c r="A9319">
        <v>2025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  <c r="M9319" t="str">
        <f t="shared" si="580"/>
        <v>30-45</v>
      </c>
      <c r="N9319" t="str">
        <f t="shared" si="581"/>
        <v>High</v>
      </c>
      <c r="O9319" t="str">
        <f t="shared" si="582"/>
        <v>High Balance</v>
      </c>
      <c r="P9319" t="str">
        <f t="shared" si="583"/>
        <v>Mid-term</v>
      </c>
    </row>
    <row r="9320" spans="1:16" x14ac:dyDescent="0.25">
      <c r="A9320">
        <v>2025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  <c r="M9320" t="str">
        <f t="shared" si="580"/>
        <v>60+</v>
      </c>
      <c r="N9320" t="str">
        <f t="shared" si="581"/>
        <v>Medium</v>
      </c>
      <c r="O9320" t="str">
        <f t="shared" si="582"/>
        <v>Zero Balance</v>
      </c>
      <c r="P9320" t="str">
        <f t="shared" si="583"/>
        <v>Long-term</v>
      </c>
    </row>
    <row r="9321" spans="1:16" x14ac:dyDescent="0.25">
      <c r="A9321">
        <v>2025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  <c r="M9321" t="str">
        <f t="shared" si="580"/>
        <v>&lt;30</v>
      </c>
      <c r="N9321" t="str">
        <f t="shared" si="581"/>
        <v>Medium</v>
      </c>
      <c r="O9321" t="str">
        <f t="shared" si="582"/>
        <v>Zero Balance</v>
      </c>
      <c r="P9321" t="str">
        <f t="shared" si="583"/>
        <v>New</v>
      </c>
    </row>
    <row r="9322" spans="1:16" x14ac:dyDescent="0.25">
      <c r="A9322">
        <v>2025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  <c r="M9322" t="str">
        <f t="shared" si="580"/>
        <v>30-45</v>
      </c>
      <c r="N9322" t="str">
        <f t="shared" si="581"/>
        <v>Medium</v>
      </c>
      <c r="O9322" t="str">
        <f t="shared" si="582"/>
        <v>Zero Balance</v>
      </c>
      <c r="P9322" t="str">
        <f t="shared" si="583"/>
        <v>Mid-term</v>
      </c>
    </row>
    <row r="9323" spans="1:16" x14ac:dyDescent="0.25">
      <c r="A9323">
        <v>2025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  <c r="M9323" t="str">
        <f t="shared" si="580"/>
        <v>60+</v>
      </c>
      <c r="N9323" t="str">
        <f t="shared" si="581"/>
        <v>Medium</v>
      </c>
      <c r="O9323" t="str">
        <f t="shared" si="582"/>
        <v>Low Balance</v>
      </c>
      <c r="P9323" t="str">
        <f t="shared" si="583"/>
        <v>New</v>
      </c>
    </row>
    <row r="9324" spans="1:16" x14ac:dyDescent="0.25">
      <c r="A9324">
        <v>2025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  <c r="M9324" t="str">
        <f t="shared" si="580"/>
        <v>30-45</v>
      </c>
      <c r="N9324" t="str">
        <f t="shared" si="581"/>
        <v>High</v>
      </c>
      <c r="O9324" t="str">
        <f t="shared" si="582"/>
        <v>Zero Balance</v>
      </c>
      <c r="P9324" t="str">
        <f t="shared" si="583"/>
        <v>Long-term</v>
      </c>
    </row>
    <row r="9325" spans="1:16" x14ac:dyDescent="0.25">
      <c r="A9325">
        <v>2025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  <c r="M9325" t="str">
        <f t="shared" si="580"/>
        <v>46-60</v>
      </c>
      <c r="N9325" t="str">
        <f t="shared" si="581"/>
        <v>Medium</v>
      </c>
      <c r="O9325" t="str">
        <f t="shared" si="582"/>
        <v>Low Balance</v>
      </c>
      <c r="P9325" t="str">
        <f t="shared" si="583"/>
        <v>Long-term</v>
      </c>
    </row>
    <row r="9326" spans="1:16" x14ac:dyDescent="0.25">
      <c r="A9326">
        <v>2025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  <c r="M9326" t="str">
        <f t="shared" si="580"/>
        <v>60+</v>
      </c>
      <c r="N9326" t="str">
        <f t="shared" si="581"/>
        <v>High</v>
      </c>
      <c r="O9326" t="str">
        <f t="shared" si="582"/>
        <v>High Balance</v>
      </c>
      <c r="P9326" t="str">
        <f t="shared" si="583"/>
        <v>Long-term</v>
      </c>
    </row>
    <row r="9327" spans="1:16" x14ac:dyDescent="0.25">
      <c r="A9327">
        <v>2025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  <c r="M9327" t="str">
        <f t="shared" si="580"/>
        <v>30-45</v>
      </c>
      <c r="N9327" t="str">
        <f t="shared" si="581"/>
        <v>Medium</v>
      </c>
      <c r="O9327" t="str">
        <f t="shared" si="582"/>
        <v>Zero Balance</v>
      </c>
      <c r="P9327" t="str">
        <f t="shared" si="583"/>
        <v>Long-term</v>
      </c>
    </row>
    <row r="9328" spans="1:16" x14ac:dyDescent="0.25">
      <c r="A9328">
        <v>2025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  <c r="M9328" t="str">
        <f t="shared" si="580"/>
        <v>30-45</v>
      </c>
      <c r="N9328" t="str">
        <f t="shared" si="581"/>
        <v>Medium</v>
      </c>
      <c r="O9328" t="str">
        <f t="shared" si="582"/>
        <v>High Balance</v>
      </c>
      <c r="P9328" t="str">
        <f t="shared" si="583"/>
        <v>New</v>
      </c>
    </row>
    <row r="9329" spans="1:16" x14ac:dyDescent="0.25">
      <c r="A9329">
        <v>2025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  <c r="M9329" t="str">
        <f t="shared" si="580"/>
        <v>30-45</v>
      </c>
      <c r="N9329" t="str">
        <f t="shared" si="581"/>
        <v>Medium</v>
      </c>
      <c r="O9329" t="str">
        <f t="shared" si="582"/>
        <v>Zero Balance</v>
      </c>
      <c r="P9329" t="str">
        <f t="shared" si="583"/>
        <v>New</v>
      </c>
    </row>
    <row r="9330" spans="1:16" x14ac:dyDescent="0.25">
      <c r="A9330">
        <v>2025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  <c r="M9330" t="str">
        <f t="shared" si="580"/>
        <v>30-45</v>
      </c>
      <c r="N9330" t="str">
        <f t="shared" si="581"/>
        <v>Medium</v>
      </c>
      <c r="O9330" t="str">
        <f t="shared" si="582"/>
        <v>High Balance</v>
      </c>
      <c r="P9330" t="str">
        <f t="shared" si="583"/>
        <v>Mid-term</v>
      </c>
    </row>
    <row r="9331" spans="1:16" x14ac:dyDescent="0.25">
      <c r="A9331">
        <v>2025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  <c r="M9331" t="str">
        <f t="shared" si="580"/>
        <v>30-45</v>
      </c>
      <c r="N9331" t="str">
        <f t="shared" si="581"/>
        <v>Medium</v>
      </c>
      <c r="O9331" t="str">
        <f t="shared" si="582"/>
        <v>Zero Balance</v>
      </c>
      <c r="P9331" t="str">
        <f t="shared" si="583"/>
        <v>Mid-term</v>
      </c>
    </row>
    <row r="9332" spans="1:16" x14ac:dyDescent="0.25">
      <c r="A9332">
        <v>2025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  <c r="M9332" t="str">
        <f t="shared" si="580"/>
        <v>30-45</v>
      </c>
      <c r="N9332" t="str">
        <f t="shared" si="581"/>
        <v>Medium</v>
      </c>
      <c r="O9332" t="str">
        <f t="shared" si="582"/>
        <v>Zero Balance</v>
      </c>
      <c r="P9332" t="str">
        <f t="shared" si="583"/>
        <v>Long-term</v>
      </c>
    </row>
    <row r="9333" spans="1:16" x14ac:dyDescent="0.25">
      <c r="A9333">
        <v>2025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  <c r="M9333" t="str">
        <f t="shared" si="580"/>
        <v>&lt;30</v>
      </c>
      <c r="N9333" t="str">
        <f t="shared" si="581"/>
        <v>Medium</v>
      </c>
      <c r="O9333" t="str">
        <f t="shared" si="582"/>
        <v>High Balance</v>
      </c>
      <c r="P9333" t="str">
        <f t="shared" si="583"/>
        <v>Long-term</v>
      </c>
    </row>
    <row r="9334" spans="1:16" x14ac:dyDescent="0.25">
      <c r="A9334">
        <v>2025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  <c r="M9334" t="str">
        <f t="shared" si="580"/>
        <v>60+</v>
      </c>
      <c r="N9334" t="str">
        <f t="shared" si="581"/>
        <v>High</v>
      </c>
      <c r="O9334" t="str">
        <f t="shared" si="582"/>
        <v>High Balance</v>
      </c>
      <c r="P9334" t="str">
        <f t="shared" si="583"/>
        <v>Long-term</v>
      </c>
    </row>
    <row r="9335" spans="1:16" x14ac:dyDescent="0.25">
      <c r="A9335">
        <v>2025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  <c r="M9335" t="str">
        <f t="shared" si="580"/>
        <v>60+</v>
      </c>
      <c r="N9335" t="str">
        <f t="shared" si="581"/>
        <v>High</v>
      </c>
      <c r="O9335" t="str">
        <f t="shared" si="582"/>
        <v>High Balance</v>
      </c>
      <c r="P9335" t="str">
        <f t="shared" si="583"/>
        <v>Mid-term</v>
      </c>
    </row>
    <row r="9336" spans="1:16" x14ac:dyDescent="0.25">
      <c r="A9336">
        <v>2025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  <c r="M9336" t="str">
        <f t="shared" si="580"/>
        <v>&lt;30</v>
      </c>
      <c r="N9336" t="str">
        <f t="shared" si="581"/>
        <v>Medium</v>
      </c>
      <c r="O9336" t="str">
        <f t="shared" si="582"/>
        <v>Zero Balance</v>
      </c>
      <c r="P9336" t="str">
        <f t="shared" si="583"/>
        <v>Long-term</v>
      </c>
    </row>
    <row r="9337" spans="1:16" x14ac:dyDescent="0.25">
      <c r="A9337">
        <v>2025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  <c r="M9337" t="str">
        <f t="shared" si="580"/>
        <v>46-60</v>
      </c>
      <c r="N9337" t="str">
        <f t="shared" si="581"/>
        <v>High</v>
      </c>
      <c r="O9337" t="str">
        <f t="shared" si="582"/>
        <v>High Balance</v>
      </c>
      <c r="P9337" t="str">
        <f t="shared" si="583"/>
        <v>Mid-term</v>
      </c>
    </row>
    <row r="9338" spans="1:16" x14ac:dyDescent="0.25">
      <c r="A9338">
        <v>2025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  <c r="M9338" t="str">
        <f t="shared" si="580"/>
        <v>46-60</v>
      </c>
      <c r="N9338" t="str">
        <f t="shared" si="581"/>
        <v>Medium</v>
      </c>
      <c r="O9338" t="str">
        <f t="shared" si="582"/>
        <v>High Balance</v>
      </c>
      <c r="P9338" t="str">
        <f t="shared" si="583"/>
        <v>Long-term</v>
      </c>
    </row>
    <row r="9339" spans="1:16" x14ac:dyDescent="0.25">
      <c r="A9339">
        <v>2025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  <c r="M9339" t="str">
        <f t="shared" si="580"/>
        <v>46-60</v>
      </c>
      <c r="N9339" t="str">
        <f t="shared" si="581"/>
        <v>Low</v>
      </c>
      <c r="O9339" t="str">
        <f t="shared" si="582"/>
        <v>High Balance</v>
      </c>
      <c r="P9339" t="str">
        <f t="shared" si="583"/>
        <v>Mid-term</v>
      </c>
    </row>
    <row r="9340" spans="1:16" x14ac:dyDescent="0.25">
      <c r="A9340">
        <v>2025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  <c r="M9340" t="str">
        <f t="shared" si="580"/>
        <v>46-60</v>
      </c>
      <c r="N9340" t="str">
        <f t="shared" si="581"/>
        <v>Medium</v>
      </c>
      <c r="O9340" t="str">
        <f t="shared" si="582"/>
        <v>High Balance</v>
      </c>
      <c r="P9340" t="str">
        <f t="shared" si="583"/>
        <v>New</v>
      </c>
    </row>
    <row r="9341" spans="1:16" x14ac:dyDescent="0.25">
      <c r="A9341">
        <v>2025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  <c r="M9341" t="str">
        <f t="shared" si="580"/>
        <v>&lt;30</v>
      </c>
      <c r="N9341" t="str">
        <f t="shared" si="581"/>
        <v>Medium</v>
      </c>
      <c r="O9341" t="str">
        <f t="shared" si="582"/>
        <v>High Balance</v>
      </c>
      <c r="P9341" t="str">
        <f t="shared" si="583"/>
        <v>New</v>
      </c>
    </row>
    <row r="9342" spans="1:16" x14ac:dyDescent="0.25">
      <c r="A9342">
        <v>2025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  <c r="M9342" t="str">
        <f t="shared" si="580"/>
        <v>30-45</v>
      </c>
      <c r="N9342" t="str">
        <f t="shared" si="581"/>
        <v>High</v>
      </c>
      <c r="O9342" t="str">
        <f t="shared" si="582"/>
        <v>Zero Balance</v>
      </c>
      <c r="P9342" t="str">
        <f t="shared" si="583"/>
        <v>Long-term</v>
      </c>
    </row>
    <row r="9343" spans="1:16" x14ac:dyDescent="0.25">
      <c r="A9343">
        <v>2025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  <c r="M9343" t="str">
        <f t="shared" si="580"/>
        <v>&lt;30</v>
      </c>
      <c r="N9343" t="str">
        <f t="shared" si="581"/>
        <v>Medium</v>
      </c>
      <c r="O9343" t="str">
        <f t="shared" si="582"/>
        <v>Zero Balance</v>
      </c>
      <c r="P9343" t="str">
        <f t="shared" si="583"/>
        <v>Mid-term</v>
      </c>
    </row>
    <row r="9344" spans="1:16" x14ac:dyDescent="0.25">
      <c r="A9344">
        <v>2025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  <c r="M9344" t="str">
        <f t="shared" si="580"/>
        <v>&lt;30</v>
      </c>
      <c r="N9344" t="str">
        <f t="shared" si="581"/>
        <v>Medium</v>
      </c>
      <c r="O9344" t="str">
        <f t="shared" si="582"/>
        <v>Zero Balance</v>
      </c>
      <c r="P9344" t="str">
        <f t="shared" si="583"/>
        <v>New</v>
      </c>
    </row>
    <row r="9345" spans="1:16" x14ac:dyDescent="0.25">
      <c r="A9345">
        <v>2025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  <c r="M9345" t="str">
        <f t="shared" si="580"/>
        <v>30-45</v>
      </c>
      <c r="N9345" t="str">
        <f t="shared" si="581"/>
        <v>High</v>
      </c>
      <c r="O9345" t="str">
        <f t="shared" si="582"/>
        <v>High Balance</v>
      </c>
      <c r="P9345" t="str">
        <f t="shared" si="583"/>
        <v>New</v>
      </c>
    </row>
    <row r="9346" spans="1:16" x14ac:dyDescent="0.25">
      <c r="A9346">
        <v>2025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  <c r="M9346" t="str">
        <f t="shared" si="580"/>
        <v>&lt;30</v>
      </c>
      <c r="N9346" t="str">
        <f t="shared" si="581"/>
        <v>High</v>
      </c>
      <c r="O9346" t="str">
        <f t="shared" si="582"/>
        <v>High Balance</v>
      </c>
      <c r="P9346" t="str">
        <f t="shared" si="583"/>
        <v>New</v>
      </c>
    </row>
    <row r="9347" spans="1:16" x14ac:dyDescent="0.25">
      <c r="A9347">
        <v>2025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  <c r="M9347" t="str">
        <f t="shared" ref="M9347:M9410" si="584">IF(E9347&lt;30,"&lt;30",IF(E9347&lt;=45,"30-45",IF(E9347&lt;=60,"46-60","60+")))</f>
        <v>46-60</v>
      </c>
      <c r="N9347" t="str">
        <f t="shared" ref="N9347:N9410" si="585">IF(B9347&lt;500,"Low",IF(B9347&lt;700,"Medium","High"))</f>
        <v>Medium</v>
      </c>
      <c r="O9347" t="str">
        <f t="shared" ref="O9347:O9410" si="586">IF(G9347=0,"Zero Balance",IF(G9347&lt;100000,"Low Balance","High Balance"))</f>
        <v>High Balance</v>
      </c>
      <c r="P9347" t="str">
        <f t="shared" ref="P9347:P9410" si="587">IF(F9347&lt;=3,"New",IF(F9347&lt;=7,"Mid-term","Long-term"))</f>
        <v>New</v>
      </c>
    </row>
    <row r="9348" spans="1:16" x14ac:dyDescent="0.25">
      <c r="A9348">
        <v>2025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  <c r="M9348" t="str">
        <f t="shared" si="584"/>
        <v>30-45</v>
      </c>
      <c r="N9348" t="str">
        <f t="shared" si="585"/>
        <v>High</v>
      </c>
      <c r="O9348" t="str">
        <f t="shared" si="586"/>
        <v>Zero Balance</v>
      </c>
      <c r="P9348" t="str">
        <f t="shared" si="587"/>
        <v>Long-term</v>
      </c>
    </row>
    <row r="9349" spans="1:16" x14ac:dyDescent="0.25">
      <c r="A9349">
        <v>2025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  <c r="M9349" t="str">
        <f t="shared" si="584"/>
        <v>30-45</v>
      </c>
      <c r="N9349" t="str">
        <f t="shared" si="585"/>
        <v>Medium</v>
      </c>
      <c r="O9349" t="str">
        <f t="shared" si="586"/>
        <v>Low Balance</v>
      </c>
      <c r="P9349" t="str">
        <f t="shared" si="587"/>
        <v>New</v>
      </c>
    </row>
    <row r="9350" spans="1:16" x14ac:dyDescent="0.25">
      <c r="A9350">
        <v>2025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  <c r="M9350" t="str">
        <f t="shared" si="584"/>
        <v>30-45</v>
      </c>
      <c r="N9350" t="str">
        <f t="shared" si="585"/>
        <v>Medium</v>
      </c>
      <c r="O9350" t="str">
        <f t="shared" si="586"/>
        <v>Low Balance</v>
      </c>
      <c r="P9350" t="str">
        <f t="shared" si="587"/>
        <v>Mid-term</v>
      </c>
    </row>
    <row r="9351" spans="1:16" x14ac:dyDescent="0.25">
      <c r="A9351">
        <v>2025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  <c r="M9351" t="str">
        <f t="shared" si="584"/>
        <v>30-45</v>
      </c>
      <c r="N9351" t="str">
        <f t="shared" si="585"/>
        <v>High</v>
      </c>
      <c r="O9351" t="str">
        <f t="shared" si="586"/>
        <v>High Balance</v>
      </c>
      <c r="P9351" t="str">
        <f t="shared" si="587"/>
        <v>Mid-term</v>
      </c>
    </row>
    <row r="9352" spans="1:16" x14ac:dyDescent="0.25">
      <c r="A9352">
        <v>2025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  <c r="M9352" t="str">
        <f t="shared" si="584"/>
        <v>30-45</v>
      </c>
      <c r="N9352" t="str">
        <f t="shared" si="585"/>
        <v>Medium</v>
      </c>
      <c r="O9352" t="str">
        <f t="shared" si="586"/>
        <v>Zero Balance</v>
      </c>
      <c r="P9352" t="str">
        <f t="shared" si="587"/>
        <v>Mid-term</v>
      </c>
    </row>
    <row r="9353" spans="1:16" x14ac:dyDescent="0.25">
      <c r="A9353">
        <v>2025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  <c r="M9353" t="str">
        <f t="shared" si="584"/>
        <v>60+</v>
      </c>
      <c r="N9353" t="str">
        <f t="shared" si="585"/>
        <v>High</v>
      </c>
      <c r="O9353" t="str">
        <f t="shared" si="586"/>
        <v>High Balance</v>
      </c>
      <c r="P9353" t="str">
        <f t="shared" si="587"/>
        <v>Mid-term</v>
      </c>
    </row>
    <row r="9354" spans="1:16" x14ac:dyDescent="0.25">
      <c r="A9354">
        <v>2025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  <c r="M9354" t="str">
        <f t="shared" si="584"/>
        <v>30-45</v>
      </c>
      <c r="N9354" t="str">
        <f t="shared" si="585"/>
        <v>Medium</v>
      </c>
      <c r="O9354" t="str">
        <f t="shared" si="586"/>
        <v>Low Balance</v>
      </c>
      <c r="P9354" t="str">
        <f t="shared" si="587"/>
        <v>Long-term</v>
      </c>
    </row>
    <row r="9355" spans="1:16" x14ac:dyDescent="0.25">
      <c r="A9355">
        <v>2025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  <c r="M9355" t="str">
        <f t="shared" si="584"/>
        <v>30-45</v>
      </c>
      <c r="N9355" t="str">
        <f t="shared" si="585"/>
        <v>Medium</v>
      </c>
      <c r="O9355" t="str">
        <f t="shared" si="586"/>
        <v>High Balance</v>
      </c>
      <c r="P9355" t="str">
        <f t="shared" si="587"/>
        <v>New</v>
      </c>
    </row>
    <row r="9356" spans="1:16" x14ac:dyDescent="0.25">
      <c r="A9356">
        <v>2025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  <c r="M9356" t="str">
        <f t="shared" si="584"/>
        <v>30-45</v>
      </c>
      <c r="N9356" t="str">
        <f t="shared" si="585"/>
        <v>Medium</v>
      </c>
      <c r="O9356" t="str">
        <f t="shared" si="586"/>
        <v>Zero Balance</v>
      </c>
      <c r="P9356" t="str">
        <f t="shared" si="587"/>
        <v>Long-term</v>
      </c>
    </row>
    <row r="9357" spans="1:16" x14ac:dyDescent="0.25">
      <c r="A9357">
        <v>2025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  <c r="M9357" t="str">
        <f t="shared" si="584"/>
        <v>30-45</v>
      </c>
      <c r="N9357" t="str">
        <f t="shared" si="585"/>
        <v>High</v>
      </c>
      <c r="O9357" t="str">
        <f t="shared" si="586"/>
        <v>Zero Balance</v>
      </c>
      <c r="P9357" t="str">
        <f t="shared" si="587"/>
        <v>Long-term</v>
      </c>
    </row>
    <row r="9358" spans="1:16" x14ac:dyDescent="0.25">
      <c r="A9358">
        <v>2025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  <c r="M9358" t="str">
        <f t="shared" si="584"/>
        <v>30-45</v>
      </c>
      <c r="N9358" t="str">
        <f t="shared" si="585"/>
        <v>Low</v>
      </c>
      <c r="O9358" t="str">
        <f t="shared" si="586"/>
        <v>Zero Balance</v>
      </c>
      <c r="P9358" t="str">
        <f t="shared" si="587"/>
        <v>Mid-term</v>
      </c>
    </row>
    <row r="9359" spans="1:16" x14ac:dyDescent="0.25">
      <c r="A9359">
        <v>2025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  <c r="M9359" t="str">
        <f t="shared" si="584"/>
        <v>46-60</v>
      </c>
      <c r="N9359" t="str">
        <f t="shared" si="585"/>
        <v>Low</v>
      </c>
      <c r="O9359" t="str">
        <f t="shared" si="586"/>
        <v>Zero Balance</v>
      </c>
      <c r="P9359" t="str">
        <f t="shared" si="587"/>
        <v>Long-term</v>
      </c>
    </row>
    <row r="9360" spans="1:16" x14ac:dyDescent="0.25">
      <c r="A9360">
        <v>2025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  <c r="M9360" t="str">
        <f t="shared" si="584"/>
        <v>&lt;30</v>
      </c>
      <c r="N9360" t="str">
        <f t="shared" si="585"/>
        <v>High</v>
      </c>
      <c r="O9360" t="str">
        <f t="shared" si="586"/>
        <v>Zero Balance</v>
      </c>
      <c r="P9360" t="str">
        <f t="shared" si="587"/>
        <v>Long-term</v>
      </c>
    </row>
    <row r="9361" spans="1:16" x14ac:dyDescent="0.25">
      <c r="A9361">
        <v>2025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  <c r="M9361" t="str">
        <f t="shared" si="584"/>
        <v>30-45</v>
      </c>
      <c r="N9361" t="str">
        <f t="shared" si="585"/>
        <v>Medium</v>
      </c>
      <c r="O9361" t="str">
        <f t="shared" si="586"/>
        <v>High Balance</v>
      </c>
      <c r="P9361" t="str">
        <f t="shared" si="587"/>
        <v>Long-term</v>
      </c>
    </row>
    <row r="9362" spans="1:16" x14ac:dyDescent="0.25">
      <c r="A9362">
        <v>2025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  <c r="M9362" t="str">
        <f t="shared" si="584"/>
        <v>30-45</v>
      </c>
      <c r="N9362" t="str">
        <f t="shared" si="585"/>
        <v>Medium</v>
      </c>
      <c r="O9362" t="str">
        <f t="shared" si="586"/>
        <v>High Balance</v>
      </c>
      <c r="P9362" t="str">
        <f t="shared" si="587"/>
        <v>New</v>
      </c>
    </row>
    <row r="9363" spans="1:16" x14ac:dyDescent="0.25">
      <c r="A9363">
        <v>2025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  <c r="M9363" t="str">
        <f t="shared" si="584"/>
        <v>30-45</v>
      </c>
      <c r="N9363" t="str">
        <f t="shared" si="585"/>
        <v>Medium</v>
      </c>
      <c r="O9363" t="str">
        <f t="shared" si="586"/>
        <v>High Balance</v>
      </c>
      <c r="P9363" t="str">
        <f t="shared" si="587"/>
        <v>New</v>
      </c>
    </row>
    <row r="9364" spans="1:16" x14ac:dyDescent="0.25">
      <c r="A9364">
        <v>2025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  <c r="M9364" t="str">
        <f t="shared" si="584"/>
        <v>30-45</v>
      </c>
      <c r="N9364" t="str">
        <f t="shared" si="585"/>
        <v>Medium</v>
      </c>
      <c r="O9364" t="str">
        <f t="shared" si="586"/>
        <v>High Balance</v>
      </c>
      <c r="P9364" t="str">
        <f t="shared" si="587"/>
        <v>New</v>
      </c>
    </row>
    <row r="9365" spans="1:16" x14ac:dyDescent="0.25">
      <c r="A9365">
        <v>2025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  <c r="M9365" t="str">
        <f t="shared" si="584"/>
        <v>30-45</v>
      </c>
      <c r="N9365" t="str">
        <f t="shared" si="585"/>
        <v>Medium</v>
      </c>
      <c r="O9365" t="str">
        <f t="shared" si="586"/>
        <v>Zero Balance</v>
      </c>
      <c r="P9365" t="str">
        <f t="shared" si="587"/>
        <v>New</v>
      </c>
    </row>
    <row r="9366" spans="1:16" x14ac:dyDescent="0.25">
      <c r="A9366">
        <v>2025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  <c r="M9366" t="str">
        <f t="shared" si="584"/>
        <v>46-60</v>
      </c>
      <c r="N9366" t="str">
        <f t="shared" si="585"/>
        <v>Medium</v>
      </c>
      <c r="O9366" t="str">
        <f t="shared" si="586"/>
        <v>High Balance</v>
      </c>
      <c r="P9366" t="str">
        <f t="shared" si="587"/>
        <v>Long-term</v>
      </c>
    </row>
    <row r="9367" spans="1:16" x14ac:dyDescent="0.25">
      <c r="A9367">
        <v>2025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  <c r="M9367" t="str">
        <f t="shared" si="584"/>
        <v>&lt;30</v>
      </c>
      <c r="N9367" t="str">
        <f t="shared" si="585"/>
        <v>High</v>
      </c>
      <c r="O9367" t="str">
        <f t="shared" si="586"/>
        <v>High Balance</v>
      </c>
      <c r="P9367" t="str">
        <f t="shared" si="587"/>
        <v>Long-term</v>
      </c>
    </row>
    <row r="9368" spans="1:16" x14ac:dyDescent="0.25">
      <c r="A9368">
        <v>2025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  <c r="M9368" t="str">
        <f t="shared" si="584"/>
        <v>30-45</v>
      </c>
      <c r="N9368" t="str">
        <f t="shared" si="585"/>
        <v>High</v>
      </c>
      <c r="O9368" t="str">
        <f t="shared" si="586"/>
        <v>Zero Balance</v>
      </c>
      <c r="P9368" t="str">
        <f t="shared" si="587"/>
        <v>Mid-term</v>
      </c>
    </row>
    <row r="9369" spans="1:16" x14ac:dyDescent="0.25">
      <c r="A9369">
        <v>2025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  <c r="M9369" t="str">
        <f t="shared" si="584"/>
        <v>30-45</v>
      </c>
      <c r="N9369" t="str">
        <f t="shared" si="585"/>
        <v>Medium</v>
      </c>
      <c r="O9369" t="str">
        <f t="shared" si="586"/>
        <v>High Balance</v>
      </c>
      <c r="P9369" t="str">
        <f t="shared" si="587"/>
        <v>Long-term</v>
      </c>
    </row>
    <row r="9370" spans="1:16" x14ac:dyDescent="0.25">
      <c r="A9370">
        <v>2025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  <c r="M9370" t="str">
        <f t="shared" si="584"/>
        <v>&lt;30</v>
      </c>
      <c r="N9370" t="str">
        <f t="shared" si="585"/>
        <v>High</v>
      </c>
      <c r="O9370" t="str">
        <f t="shared" si="586"/>
        <v>Zero Balance</v>
      </c>
      <c r="P9370" t="str">
        <f t="shared" si="587"/>
        <v>Long-term</v>
      </c>
    </row>
    <row r="9371" spans="1:16" x14ac:dyDescent="0.25">
      <c r="A9371">
        <v>2025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  <c r="M9371" t="str">
        <f t="shared" si="584"/>
        <v>30-45</v>
      </c>
      <c r="N9371" t="str">
        <f t="shared" si="585"/>
        <v>High</v>
      </c>
      <c r="O9371" t="str">
        <f t="shared" si="586"/>
        <v>Zero Balance</v>
      </c>
      <c r="P9371" t="str">
        <f t="shared" si="587"/>
        <v>New</v>
      </c>
    </row>
    <row r="9372" spans="1:16" x14ac:dyDescent="0.25">
      <c r="A9372">
        <v>2025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  <c r="M9372" t="str">
        <f t="shared" si="584"/>
        <v>30-45</v>
      </c>
      <c r="N9372" t="str">
        <f t="shared" si="585"/>
        <v>Medium</v>
      </c>
      <c r="O9372" t="str">
        <f t="shared" si="586"/>
        <v>Zero Balance</v>
      </c>
      <c r="P9372" t="str">
        <f t="shared" si="587"/>
        <v>Mid-term</v>
      </c>
    </row>
    <row r="9373" spans="1:16" x14ac:dyDescent="0.25">
      <c r="A9373">
        <v>2025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  <c r="M9373" t="str">
        <f t="shared" si="584"/>
        <v>30-45</v>
      </c>
      <c r="N9373" t="str">
        <f t="shared" si="585"/>
        <v>Medium</v>
      </c>
      <c r="O9373" t="str">
        <f t="shared" si="586"/>
        <v>High Balance</v>
      </c>
      <c r="P9373" t="str">
        <f t="shared" si="587"/>
        <v>Long-term</v>
      </c>
    </row>
    <row r="9374" spans="1:16" x14ac:dyDescent="0.25">
      <c r="A9374">
        <v>2025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  <c r="M9374" t="str">
        <f t="shared" si="584"/>
        <v>30-45</v>
      </c>
      <c r="N9374" t="str">
        <f t="shared" si="585"/>
        <v>Medium</v>
      </c>
      <c r="O9374" t="str">
        <f t="shared" si="586"/>
        <v>Low Balance</v>
      </c>
      <c r="P9374" t="str">
        <f t="shared" si="587"/>
        <v>New</v>
      </c>
    </row>
    <row r="9375" spans="1:16" x14ac:dyDescent="0.25">
      <c r="A9375">
        <v>2025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  <c r="M9375" t="str">
        <f t="shared" si="584"/>
        <v>30-45</v>
      </c>
      <c r="N9375" t="str">
        <f t="shared" si="585"/>
        <v>Medium</v>
      </c>
      <c r="O9375" t="str">
        <f t="shared" si="586"/>
        <v>Zero Balance</v>
      </c>
      <c r="P9375" t="str">
        <f t="shared" si="587"/>
        <v>New</v>
      </c>
    </row>
    <row r="9376" spans="1:16" x14ac:dyDescent="0.25">
      <c r="A9376">
        <v>2025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  <c r="M9376" t="str">
        <f t="shared" si="584"/>
        <v>30-45</v>
      </c>
      <c r="N9376" t="str">
        <f t="shared" si="585"/>
        <v>Medium</v>
      </c>
      <c r="O9376" t="str">
        <f t="shared" si="586"/>
        <v>High Balance</v>
      </c>
      <c r="P9376" t="str">
        <f t="shared" si="587"/>
        <v>Mid-term</v>
      </c>
    </row>
    <row r="9377" spans="1:16" x14ac:dyDescent="0.25">
      <c r="A9377">
        <v>2025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  <c r="M9377" t="str">
        <f t="shared" si="584"/>
        <v>46-60</v>
      </c>
      <c r="N9377" t="str">
        <f t="shared" si="585"/>
        <v>Medium</v>
      </c>
      <c r="O9377" t="str">
        <f t="shared" si="586"/>
        <v>High Balance</v>
      </c>
      <c r="P9377" t="str">
        <f t="shared" si="587"/>
        <v>Mid-term</v>
      </c>
    </row>
    <row r="9378" spans="1:16" x14ac:dyDescent="0.25">
      <c r="A9378">
        <v>2025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  <c r="M9378" t="str">
        <f t="shared" si="584"/>
        <v>46-60</v>
      </c>
      <c r="N9378" t="str">
        <f t="shared" si="585"/>
        <v>Medium</v>
      </c>
      <c r="O9378" t="str">
        <f t="shared" si="586"/>
        <v>Zero Balance</v>
      </c>
      <c r="P9378" t="str">
        <f t="shared" si="587"/>
        <v>New</v>
      </c>
    </row>
    <row r="9379" spans="1:16" x14ac:dyDescent="0.25">
      <c r="A9379">
        <v>2025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  <c r="M9379" t="str">
        <f t="shared" si="584"/>
        <v>&lt;30</v>
      </c>
      <c r="N9379" t="str">
        <f t="shared" si="585"/>
        <v>Medium</v>
      </c>
      <c r="O9379" t="str">
        <f t="shared" si="586"/>
        <v>High Balance</v>
      </c>
      <c r="P9379" t="str">
        <f t="shared" si="587"/>
        <v>New</v>
      </c>
    </row>
    <row r="9380" spans="1:16" x14ac:dyDescent="0.25">
      <c r="A9380">
        <v>2025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  <c r="M9380" t="str">
        <f t="shared" si="584"/>
        <v>30-45</v>
      </c>
      <c r="N9380" t="str">
        <f t="shared" si="585"/>
        <v>High</v>
      </c>
      <c r="O9380" t="str">
        <f t="shared" si="586"/>
        <v>High Balance</v>
      </c>
      <c r="P9380" t="str">
        <f t="shared" si="587"/>
        <v>New</v>
      </c>
    </row>
    <row r="9381" spans="1:16" x14ac:dyDescent="0.25">
      <c r="A9381">
        <v>2025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  <c r="M9381" t="str">
        <f t="shared" si="584"/>
        <v>&lt;30</v>
      </c>
      <c r="N9381" t="str">
        <f t="shared" si="585"/>
        <v>Medium</v>
      </c>
      <c r="O9381" t="str">
        <f t="shared" si="586"/>
        <v>Zero Balance</v>
      </c>
      <c r="P9381" t="str">
        <f t="shared" si="587"/>
        <v>New</v>
      </c>
    </row>
    <row r="9382" spans="1:16" x14ac:dyDescent="0.25">
      <c r="A9382">
        <v>2025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  <c r="M9382" t="str">
        <f t="shared" si="584"/>
        <v>60+</v>
      </c>
      <c r="N9382" t="str">
        <f t="shared" si="585"/>
        <v>Medium</v>
      </c>
      <c r="O9382" t="str">
        <f t="shared" si="586"/>
        <v>Low Balance</v>
      </c>
      <c r="P9382" t="str">
        <f t="shared" si="587"/>
        <v>New</v>
      </c>
    </row>
    <row r="9383" spans="1:16" x14ac:dyDescent="0.25">
      <c r="A9383">
        <v>2025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  <c r="M9383" t="str">
        <f t="shared" si="584"/>
        <v>30-45</v>
      </c>
      <c r="N9383" t="str">
        <f t="shared" si="585"/>
        <v>High</v>
      </c>
      <c r="O9383" t="str">
        <f t="shared" si="586"/>
        <v>Low Balance</v>
      </c>
      <c r="P9383" t="str">
        <f t="shared" si="587"/>
        <v>New</v>
      </c>
    </row>
    <row r="9384" spans="1:16" x14ac:dyDescent="0.25">
      <c r="A9384">
        <v>2025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  <c r="M9384" t="str">
        <f t="shared" si="584"/>
        <v>30-45</v>
      </c>
      <c r="N9384" t="str">
        <f t="shared" si="585"/>
        <v>Medium</v>
      </c>
      <c r="O9384" t="str">
        <f t="shared" si="586"/>
        <v>Low Balance</v>
      </c>
      <c r="P9384" t="str">
        <f t="shared" si="587"/>
        <v>Mid-term</v>
      </c>
    </row>
    <row r="9385" spans="1:16" x14ac:dyDescent="0.25">
      <c r="A9385">
        <v>2025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  <c r="M9385" t="str">
        <f t="shared" si="584"/>
        <v>&lt;30</v>
      </c>
      <c r="N9385" t="str">
        <f t="shared" si="585"/>
        <v>High</v>
      </c>
      <c r="O9385" t="str">
        <f t="shared" si="586"/>
        <v>Low Balance</v>
      </c>
      <c r="P9385" t="str">
        <f t="shared" si="587"/>
        <v>New</v>
      </c>
    </row>
    <row r="9386" spans="1:16" x14ac:dyDescent="0.25">
      <c r="A9386">
        <v>2025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  <c r="M9386" t="str">
        <f t="shared" si="584"/>
        <v>46-60</v>
      </c>
      <c r="N9386" t="str">
        <f t="shared" si="585"/>
        <v>High</v>
      </c>
      <c r="O9386" t="str">
        <f t="shared" si="586"/>
        <v>Zero Balance</v>
      </c>
      <c r="P9386" t="str">
        <f t="shared" si="587"/>
        <v>Mid-term</v>
      </c>
    </row>
    <row r="9387" spans="1:16" x14ac:dyDescent="0.25">
      <c r="A9387">
        <v>2025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  <c r="M9387" t="str">
        <f t="shared" si="584"/>
        <v>30-45</v>
      </c>
      <c r="N9387" t="str">
        <f t="shared" si="585"/>
        <v>Medium</v>
      </c>
      <c r="O9387" t="str">
        <f t="shared" si="586"/>
        <v>Low Balance</v>
      </c>
      <c r="P9387" t="str">
        <f t="shared" si="587"/>
        <v>Long-term</v>
      </c>
    </row>
    <row r="9388" spans="1:16" x14ac:dyDescent="0.25">
      <c r="A9388">
        <v>2025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  <c r="M9388" t="str">
        <f t="shared" si="584"/>
        <v>30-45</v>
      </c>
      <c r="N9388" t="str">
        <f t="shared" si="585"/>
        <v>High</v>
      </c>
      <c r="O9388" t="str">
        <f t="shared" si="586"/>
        <v>High Balance</v>
      </c>
      <c r="P9388" t="str">
        <f t="shared" si="587"/>
        <v>Long-term</v>
      </c>
    </row>
    <row r="9389" spans="1:16" x14ac:dyDescent="0.25">
      <c r="A9389">
        <v>2025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  <c r="M9389" t="str">
        <f t="shared" si="584"/>
        <v>30-45</v>
      </c>
      <c r="N9389" t="str">
        <f t="shared" si="585"/>
        <v>Medium</v>
      </c>
      <c r="O9389" t="str">
        <f t="shared" si="586"/>
        <v>High Balance</v>
      </c>
      <c r="P9389" t="str">
        <f t="shared" si="587"/>
        <v>New</v>
      </c>
    </row>
    <row r="9390" spans="1:16" x14ac:dyDescent="0.25">
      <c r="A9390">
        <v>2025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  <c r="M9390" t="str">
        <f t="shared" si="584"/>
        <v>30-45</v>
      </c>
      <c r="N9390" t="str">
        <f t="shared" si="585"/>
        <v>Medium</v>
      </c>
      <c r="O9390" t="str">
        <f t="shared" si="586"/>
        <v>Zero Balance</v>
      </c>
      <c r="P9390" t="str">
        <f t="shared" si="587"/>
        <v>Mid-term</v>
      </c>
    </row>
    <row r="9391" spans="1:16" x14ac:dyDescent="0.25">
      <c r="A9391">
        <v>2025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  <c r="M9391" t="str">
        <f t="shared" si="584"/>
        <v>30-45</v>
      </c>
      <c r="N9391" t="str">
        <f t="shared" si="585"/>
        <v>Medium</v>
      </c>
      <c r="O9391" t="str">
        <f t="shared" si="586"/>
        <v>Zero Balance</v>
      </c>
      <c r="P9391" t="str">
        <f t="shared" si="587"/>
        <v>New</v>
      </c>
    </row>
    <row r="9392" spans="1:16" x14ac:dyDescent="0.25">
      <c r="A9392">
        <v>2025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  <c r="M9392" t="str">
        <f t="shared" si="584"/>
        <v>30-45</v>
      </c>
      <c r="N9392" t="str">
        <f t="shared" si="585"/>
        <v>High</v>
      </c>
      <c r="O9392" t="str">
        <f t="shared" si="586"/>
        <v>High Balance</v>
      </c>
      <c r="P9392" t="str">
        <f t="shared" si="587"/>
        <v>Mid-term</v>
      </c>
    </row>
    <row r="9393" spans="1:16" x14ac:dyDescent="0.25">
      <c r="A9393">
        <v>2025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  <c r="M9393" t="str">
        <f t="shared" si="584"/>
        <v>60+</v>
      </c>
      <c r="N9393" t="str">
        <f t="shared" si="585"/>
        <v>High</v>
      </c>
      <c r="O9393" t="str">
        <f t="shared" si="586"/>
        <v>Zero Balance</v>
      </c>
      <c r="P9393" t="str">
        <f t="shared" si="587"/>
        <v>New</v>
      </c>
    </row>
    <row r="9394" spans="1:16" x14ac:dyDescent="0.25">
      <c r="A9394">
        <v>2025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  <c r="M9394" t="str">
        <f t="shared" si="584"/>
        <v>30-45</v>
      </c>
      <c r="N9394" t="str">
        <f t="shared" si="585"/>
        <v>Medium</v>
      </c>
      <c r="O9394" t="str">
        <f t="shared" si="586"/>
        <v>Zero Balance</v>
      </c>
      <c r="P9394" t="str">
        <f t="shared" si="587"/>
        <v>New</v>
      </c>
    </row>
    <row r="9395" spans="1:16" x14ac:dyDescent="0.25">
      <c r="A9395">
        <v>2025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  <c r="M9395" t="str">
        <f t="shared" si="584"/>
        <v>30-45</v>
      </c>
      <c r="N9395" t="str">
        <f t="shared" si="585"/>
        <v>Medium</v>
      </c>
      <c r="O9395" t="str">
        <f t="shared" si="586"/>
        <v>High Balance</v>
      </c>
      <c r="P9395" t="str">
        <f t="shared" si="587"/>
        <v>Long-term</v>
      </c>
    </row>
    <row r="9396" spans="1:16" x14ac:dyDescent="0.25">
      <c r="A9396">
        <v>2025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  <c r="M9396" t="str">
        <f t="shared" si="584"/>
        <v>30-45</v>
      </c>
      <c r="N9396" t="str">
        <f t="shared" si="585"/>
        <v>Medium</v>
      </c>
      <c r="O9396" t="str">
        <f t="shared" si="586"/>
        <v>High Balance</v>
      </c>
      <c r="P9396" t="str">
        <f t="shared" si="587"/>
        <v>Long-term</v>
      </c>
    </row>
    <row r="9397" spans="1:16" x14ac:dyDescent="0.25">
      <c r="A9397">
        <v>2025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  <c r="M9397" t="str">
        <f t="shared" si="584"/>
        <v>46-60</v>
      </c>
      <c r="N9397" t="str">
        <f t="shared" si="585"/>
        <v>Medium</v>
      </c>
      <c r="O9397" t="str">
        <f t="shared" si="586"/>
        <v>Low Balance</v>
      </c>
      <c r="P9397" t="str">
        <f t="shared" si="587"/>
        <v>New</v>
      </c>
    </row>
    <row r="9398" spans="1:16" x14ac:dyDescent="0.25">
      <c r="A9398">
        <v>2025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  <c r="M9398" t="str">
        <f t="shared" si="584"/>
        <v>30-45</v>
      </c>
      <c r="N9398" t="str">
        <f t="shared" si="585"/>
        <v>High</v>
      </c>
      <c r="O9398" t="str">
        <f t="shared" si="586"/>
        <v>Zero Balance</v>
      </c>
      <c r="P9398" t="str">
        <f t="shared" si="587"/>
        <v>New</v>
      </c>
    </row>
    <row r="9399" spans="1:16" x14ac:dyDescent="0.25">
      <c r="A9399">
        <v>2025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  <c r="M9399" t="str">
        <f t="shared" si="584"/>
        <v>46-60</v>
      </c>
      <c r="N9399" t="str">
        <f t="shared" si="585"/>
        <v>High</v>
      </c>
      <c r="O9399" t="str">
        <f t="shared" si="586"/>
        <v>Low Balance</v>
      </c>
      <c r="P9399" t="str">
        <f t="shared" si="587"/>
        <v>Mid-term</v>
      </c>
    </row>
    <row r="9400" spans="1:16" x14ac:dyDescent="0.25">
      <c r="A9400">
        <v>2025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  <c r="M9400" t="str">
        <f t="shared" si="584"/>
        <v>30-45</v>
      </c>
      <c r="N9400" t="str">
        <f t="shared" si="585"/>
        <v>Low</v>
      </c>
      <c r="O9400" t="str">
        <f t="shared" si="586"/>
        <v>Zero Balance</v>
      </c>
      <c r="P9400" t="str">
        <f t="shared" si="587"/>
        <v>New</v>
      </c>
    </row>
    <row r="9401" spans="1:16" x14ac:dyDescent="0.25">
      <c r="A9401">
        <v>2025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  <c r="M9401" t="str">
        <f t="shared" si="584"/>
        <v>30-45</v>
      </c>
      <c r="N9401" t="str">
        <f t="shared" si="585"/>
        <v>Medium</v>
      </c>
      <c r="O9401" t="str">
        <f t="shared" si="586"/>
        <v>Low Balance</v>
      </c>
      <c r="P9401" t="str">
        <f t="shared" si="587"/>
        <v>Mid-term</v>
      </c>
    </row>
    <row r="9402" spans="1:16" x14ac:dyDescent="0.25">
      <c r="A9402">
        <v>2025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  <c r="M9402" t="str">
        <f t="shared" si="584"/>
        <v>30-45</v>
      </c>
      <c r="N9402" t="str">
        <f t="shared" si="585"/>
        <v>Medium</v>
      </c>
      <c r="O9402" t="str">
        <f t="shared" si="586"/>
        <v>Low Balance</v>
      </c>
      <c r="P9402" t="str">
        <f t="shared" si="587"/>
        <v>New</v>
      </c>
    </row>
    <row r="9403" spans="1:16" x14ac:dyDescent="0.25">
      <c r="A9403">
        <v>2025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  <c r="M9403" t="str">
        <f t="shared" si="584"/>
        <v>46-60</v>
      </c>
      <c r="N9403" t="str">
        <f t="shared" si="585"/>
        <v>High</v>
      </c>
      <c r="O9403" t="str">
        <f t="shared" si="586"/>
        <v>High Balance</v>
      </c>
      <c r="P9403" t="str">
        <f t="shared" si="587"/>
        <v>Mid-term</v>
      </c>
    </row>
    <row r="9404" spans="1:16" x14ac:dyDescent="0.25">
      <c r="A9404">
        <v>2025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  <c r="M9404" t="str">
        <f t="shared" si="584"/>
        <v>60+</v>
      </c>
      <c r="N9404" t="str">
        <f t="shared" si="585"/>
        <v>High</v>
      </c>
      <c r="O9404" t="str">
        <f t="shared" si="586"/>
        <v>Low Balance</v>
      </c>
      <c r="P9404" t="str">
        <f t="shared" si="587"/>
        <v>New</v>
      </c>
    </row>
    <row r="9405" spans="1:16" x14ac:dyDescent="0.25">
      <c r="A9405">
        <v>2025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  <c r="M9405" t="str">
        <f t="shared" si="584"/>
        <v>30-45</v>
      </c>
      <c r="N9405" t="str">
        <f t="shared" si="585"/>
        <v>Medium</v>
      </c>
      <c r="O9405" t="str">
        <f t="shared" si="586"/>
        <v>Zero Balance</v>
      </c>
      <c r="P9405" t="str">
        <f t="shared" si="587"/>
        <v>Mid-term</v>
      </c>
    </row>
    <row r="9406" spans="1:16" x14ac:dyDescent="0.25">
      <c r="A9406">
        <v>2025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  <c r="M9406" t="str">
        <f t="shared" si="584"/>
        <v>30-45</v>
      </c>
      <c r="N9406" t="str">
        <f t="shared" si="585"/>
        <v>Medium</v>
      </c>
      <c r="O9406" t="str">
        <f t="shared" si="586"/>
        <v>Zero Balance</v>
      </c>
      <c r="P9406" t="str">
        <f t="shared" si="587"/>
        <v>Mid-term</v>
      </c>
    </row>
    <row r="9407" spans="1:16" x14ac:dyDescent="0.25">
      <c r="A9407">
        <v>2025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  <c r="M9407" t="str">
        <f t="shared" si="584"/>
        <v>30-45</v>
      </c>
      <c r="N9407" t="str">
        <f t="shared" si="585"/>
        <v>Medium</v>
      </c>
      <c r="O9407" t="str">
        <f t="shared" si="586"/>
        <v>Zero Balance</v>
      </c>
      <c r="P9407" t="str">
        <f t="shared" si="587"/>
        <v>Mid-term</v>
      </c>
    </row>
    <row r="9408" spans="1:16" x14ac:dyDescent="0.25">
      <c r="A9408">
        <v>2025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  <c r="M9408" t="str">
        <f t="shared" si="584"/>
        <v>30-45</v>
      </c>
      <c r="N9408" t="str">
        <f t="shared" si="585"/>
        <v>High</v>
      </c>
      <c r="O9408" t="str">
        <f t="shared" si="586"/>
        <v>High Balance</v>
      </c>
      <c r="P9408" t="str">
        <f t="shared" si="587"/>
        <v>Mid-term</v>
      </c>
    </row>
    <row r="9409" spans="1:16" x14ac:dyDescent="0.25">
      <c r="A9409">
        <v>2025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  <c r="M9409" t="str">
        <f t="shared" si="584"/>
        <v>&lt;30</v>
      </c>
      <c r="N9409" t="str">
        <f t="shared" si="585"/>
        <v>Low</v>
      </c>
      <c r="O9409" t="str">
        <f t="shared" si="586"/>
        <v>High Balance</v>
      </c>
      <c r="P9409" t="str">
        <f t="shared" si="587"/>
        <v>New</v>
      </c>
    </row>
    <row r="9410" spans="1:16" x14ac:dyDescent="0.25">
      <c r="A9410">
        <v>2025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  <c r="M9410" t="str">
        <f t="shared" si="584"/>
        <v>46-60</v>
      </c>
      <c r="N9410" t="str">
        <f t="shared" si="585"/>
        <v>Medium</v>
      </c>
      <c r="O9410" t="str">
        <f t="shared" si="586"/>
        <v>High Balance</v>
      </c>
      <c r="P9410" t="str">
        <f t="shared" si="587"/>
        <v>Long-term</v>
      </c>
    </row>
    <row r="9411" spans="1:16" x14ac:dyDescent="0.25">
      <c r="A9411">
        <v>2025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  <c r="M9411" t="str">
        <f t="shared" ref="M9411:M9474" si="588">IF(E9411&lt;30,"&lt;30",IF(E9411&lt;=45,"30-45",IF(E9411&lt;=60,"46-60","60+")))</f>
        <v>30-45</v>
      </c>
      <c r="N9411" t="str">
        <f t="shared" ref="N9411:N9474" si="589">IF(B9411&lt;500,"Low",IF(B9411&lt;700,"Medium","High"))</f>
        <v>Medium</v>
      </c>
      <c r="O9411" t="str">
        <f t="shared" ref="O9411:O9474" si="590">IF(G9411=0,"Zero Balance",IF(G9411&lt;100000,"Low Balance","High Balance"))</f>
        <v>Zero Balance</v>
      </c>
      <c r="P9411" t="str">
        <f t="shared" ref="P9411:P9474" si="591">IF(F9411&lt;=3,"New",IF(F9411&lt;=7,"Mid-term","Long-term"))</f>
        <v>Long-term</v>
      </c>
    </row>
    <row r="9412" spans="1:16" x14ac:dyDescent="0.25">
      <c r="A9412">
        <v>2025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  <c r="M9412" t="str">
        <f t="shared" si="588"/>
        <v>46-60</v>
      </c>
      <c r="N9412" t="str">
        <f t="shared" si="589"/>
        <v>Medium</v>
      </c>
      <c r="O9412" t="str">
        <f t="shared" si="590"/>
        <v>High Balance</v>
      </c>
      <c r="P9412" t="str">
        <f t="shared" si="591"/>
        <v>Mid-term</v>
      </c>
    </row>
    <row r="9413" spans="1:16" x14ac:dyDescent="0.25">
      <c r="A9413">
        <v>2025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  <c r="M9413" t="str">
        <f t="shared" si="588"/>
        <v>30-45</v>
      </c>
      <c r="N9413" t="str">
        <f t="shared" si="589"/>
        <v>Medium</v>
      </c>
      <c r="O9413" t="str">
        <f t="shared" si="590"/>
        <v>Low Balance</v>
      </c>
      <c r="P9413" t="str">
        <f t="shared" si="591"/>
        <v>Mid-term</v>
      </c>
    </row>
    <row r="9414" spans="1:16" x14ac:dyDescent="0.25">
      <c r="A9414">
        <v>2025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  <c r="M9414" t="str">
        <f t="shared" si="588"/>
        <v>&lt;30</v>
      </c>
      <c r="N9414" t="str">
        <f t="shared" si="589"/>
        <v>High</v>
      </c>
      <c r="O9414" t="str">
        <f t="shared" si="590"/>
        <v>Low Balance</v>
      </c>
      <c r="P9414" t="str">
        <f t="shared" si="591"/>
        <v>Mid-term</v>
      </c>
    </row>
    <row r="9415" spans="1:16" x14ac:dyDescent="0.25">
      <c r="A9415">
        <v>2025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  <c r="M9415" t="str">
        <f t="shared" si="588"/>
        <v>30-45</v>
      </c>
      <c r="N9415" t="str">
        <f t="shared" si="589"/>
        <v>High</v>
      </c>
      <c r="O9415" t="str">
        <f t="shared" si="590"/>
        <v>Zero Balance</v>
      </c>
      <c r="P9415" t="str">
        <f t="shared" si="591"/>
        <v>Long-term</v>
      </c>
    </row>
    <row r="9416" spans="1:16" x14ac:dyDescent="0.25">
      <c r="A9416">
        <v>2025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  <c r="M9416" t="str">
        <f t="shared" si="588"/>
        <v>46-60</v>
      </c>
      <c r="N9416" t="str">
        <f t="shared" si="589"/>
        <v>Medium</v>
      </c>
      <c r="O9416" t="str">
        <f t="shared" si="590"/>
        <v>Zero Balance</v>
      </c>
      <c r="P9416" t="str">
        <f t="shared" si="591"/>
        <v>Long-term</v>
      </c>
    </row>
    <row r="9417" spans="1:16" x14ac:dyDescent="0.25">
      <c r="A9417">
        <v>2025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  <c r="M9417" t="str">
        <f t="shared" si="588"/>
        <v>30-45</v>
      </c>
      <c r="N9417" t="str">
        <f t="shared" si="589"/>
        <v>High</v>
      </c>
      <c r="O9417" t="str">
        <f t="shared" si="590"/>
        <v>High Balance</v>
      </c>
      <c r="P9417" t="str">
        <f t="shared" si="591"/>
        <v>New</v>
      </c>
    </row>
    <row r="9418" spans="1:16" x14ac:dyDescent="0.25">
      <c r="A9418">
        <v>2025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  <c r="M9418" t="str">
        <f t="shared" si="588"/>
        <v>30-45</v>
      </c>
      <c r="N9418" t="str">
        <f t="shared" si="589"/>
        <v>Medium</v>
      </c>
      <c r="O9418" t="str">
        <f t="shared" si="590"/>
        <v>High Balance</v>
      </c>
      <c r="P9418" t="str">
        <f t="shared" si="591"/>
        <v>Mid-term</v>
      </c>
    </row>
    <row r="9419" spans="1:16" x14ac:dyDescent="0.25">
      <c r="A9419">
        <v>2025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  <c r="M9419" t="str">
        <f t="shared" si="588"/>
        <v>30-45</v>
      </c>
      <c r="N9419" t="str">
        <f t="shared" si="589"/>
        <v>Medium</v>
      </c>
      <c r="O9419" t="str">
        <f t="shared" si="590"/>
        <v>Zero Balance</v>
      </c>
      <c r="P9419" t="str">
        <f t="shared" si="591"/>
        <v>Mid-term</v>
      </c>
    </row>
    <row r="9420" spans="1:16" x14ac:dyDescent="0.25">
      <c r="A9420">
        <v>2025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  <c r="M9420" t="str">
        <f t="shared" si="588"/>
        <v>&lt;30</v>
      </c>
      <c r="N9420" t="str">
        <f t="shared" si="589"/>
        <v>Medium</v>
      </c>
      <c r="O9420" t="str">
        <f t="shared" si="590"/>
        <v>Zero Balance</v>
      </c>
      <c r="P9420" t="str">
        <f t="shared" si="591"/>
        <v>New</v>
      </c>
    </row>
    <row r="9421" spans="1:16" x14ac:dyDescent="0.25">
      <c r="A9421">
        <v>2025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  <c r="M9421" t="str">
        <f t="shared" si="588"/>
        <v>&lt;30</v>
      </c>
      <c r="N9421" t="str">
        <f t="shared" si="589"/>
        <v>Medium</v>
      </c>
      <c r="O9421" t="str">
        <f t="shared" si="590"/>
        <v>Low Balance</v>
      </c>
      <c r="P9421" t="str">
        <f t="shared" si="591"/>
        <v>New</v>
      </c>
    </row>
    <row r="9422" spans="1:16" x14ac:dyDescent="0.25">
      <c r="A9422">
        <v>2025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  <c r="M9422" t="str">
        <f t="shared" si="588"/>
        <v>&lt;30</v>
      </c>
      <c r="N9422" t="str">
        <f t="shared" si="589"/>
        <v>Medium</v>
      </c>
      <c r="O9422" t="str">
        <f t="shared" si="590"/>
        <v>Zero Balance</v>
      </c>
      <c r="P9422" t="str">
        <f t="shared" si="591"/>
        <v>Mid-term</v>
      </c>
    </row>
    <row r="9423" spans="1:16" x14ac:dyDescent="0.25">
      <c r="A9423">
        <v>2025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  <c r="M9423" t="str">
        <f t="shared" si="588"/>
        <v>30-45</v>
      </c>
      <c r="N9423" t="str">
        <f t="shared" si="589"/>
        <v>Medium</v>
      </c>
      <c r="O9423" t="str">
        <f t="shared" si="590"/>
        <v>High Balance</v>
      </c>
      <c r="P9423" t="str">
        <f t="shared" si="591"/>
        <v>Mid-term</v>
      </c>
    </row>
    <row r="9424" spans="1:16" x14ac:dyDescent="0.25">
      <c r="A9424">
        <v>2025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  <c r="M9424" t="str">
        <f t="shared" si="588"/>
        <v>30-45</v>
      </c>
      <c r="N9424" t="str">
        <f t="shared" si="589"/>
        <v>High</v>
      </c>
      <c r="O9424" t="str">
        <f t="shared" si="590"/>
        <v>High Balance</v>
      </c>
      <c r="P9424" t="str">
        <f t="shared" si="591"/>
        <v>Long-term</v>
      </c>
    </row>
    <row r="9425" spans="1:16" x14ac:dyDescent="0.25">
      <c r="A9425">
        <v>2025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  <c r="M9425" t="str">
        <f t="shared" si="588"/>
        <v>&lt;30</v>
      </c>
      <c r="N9425" t="str">
        <f t="shared" si="589"/>
        <v>Medium</v>
      </c>
      <c r="O9425" t="str">
        <f t="shared" si="590"/>
        <v>High Balance</v>
      </c>
      <c r="P9425" t="str">
        <f t="shared" si="591"/>
        <v>Long-term</v>
      </c>
    </row>
    <row r="9426" spans="1:16" x14ac:dyDescent="0.25">
      <c r="A9426">
        <v>2025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  <c r="M9426" t="str">
        <f t="shared" si="588"/>
        <v>30-45</v>
      </c>
      <c r="N9426" t="str">
        <f t="shared" si="589"/>
        <v>Medium</v>
      </c>
      <c r="O9426" t="str">
        <f t="shared" si="590"/>
        <v>Zero Balance</v>
      </c>
      <c r="P9426" t="str">
        <f t="shared" si="591"/>
        <v>New</v>
      </c>
    </row>
    <row r="9427" spans="1:16" x14ac:dyDescent="0.25">
      <c r="A9427">
        <v>2025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  <c r="M9427" t="str">
        <f t="shared" si="588"/>
        <v>60+</v>
      </c>
      <c r="N9427" t="str">
        <f t="shared" si="589"/>
        <v>Medium</v>
      </c>
      <c r="O9427" t="str">
        <f t="shared" si="590"/>
        <v>Zero Balance</v>
      </c>
      <c r="P9427" t="str">
        <f t="shared" si="591"/>
        <v>Mid-term</v>
      </c>
    </row>
    <row r="9428" spans="1:16" x14ac:dyDescent="0.25">
      <c r="A9428">
        <v>2025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  <c r="M9428" t="str">
        <f t="shared" si="588"/>
        <v>46-60</v>
      </c>
      <c r="N9428" t="str">
        <f t="shared" si="589"/>
        <v>Low</v>
      </c>
      <c r="O9428" t="str">
        <f t="shared" si="590"/>
        <v>Low Balance</v>
      </c>
      <c r="P9428" t="str">
        <f t="shared" si="591"/>
        <v>New</v>
      </c>
    </row>
    <row r="9429" spans="1:16" x14ac:dyDescent="0.25">
      <c r="A9429">
        <v>2025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  <c r="M9429" t="str">
        <f t="shared" si="588"/>
        <v>30-45</v>
      </c>
      <c r="N9429" t="str">
        <f t="shared" si="589"/>
        <v>Medium</v>
      </c>
      <c r="O9429" t="str">
        <f t="shared" si="590"/>
        <v>Zero Balance</v>
      </c>
      <c r="P9429" t="str">
        <f t="shared" si="591"/>
        <v>New</v>
      </c>
    </row>
    <row r="9430" spans="1:16" x14ac:dyDescent="0.25">
      <c r="A9430">
        <v>2025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  <c r="M9430" t="str">
        <f t="shared" si="588"/>
        <v>60+</v>
      </c>
      <c r="N9430" t="str">
        <f t="shared" si="589"/>
        <v>High</v>
      </c>
      <c r="O9430" t="str">
        <f t="shared" si="590"/>
        <v>Low Balance</v>
      </c>
      <c r="P9430" t="str">
        <f t="shared" si="591"/>
        <v>Long-term</v>
      </c>
    </row>
    <row r="9431" spans="1:16" x14ac:dyDescent="0.25">
      <c r="A9431">
        <v>2025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  <c r="M9431" t="str">
        <f t="shared" si="588"/>
        <v>30-45</v>
      </c>
      <c r="N9431" t="str">
        <f t="shared" si="589"/>
        <v>Medium</v>
      </c>
      <c r="O9431" t="str">
        <f t="shared" si="590"/>
        <v>High Balance</v>
      </c>
      <c r="P9431" t="str">
        <f t="shared" si="591"/>
        <v>Long-term</v>
      </c>
    </row>
    <row r="9432" spans="1:16" x14ac:dyDescent="0.25">
      <c r="A9432">
        <v>2025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  <c r="M9432" t="str">
        <f t="shared" si="588"/>
        <v>30-45</v>
      </c>
      <c r="N9432" t="str">
        <f t="shared" si="589"/>
        <v>High</v>
      </c>
      <c r="O9432" t="str">
        <f t="shared" si="590"/>
        <v>High Balance</v>
      </c>
      <c r="P9432" t="str">
        <f t="shared" si="591"/>
        <v>Mid-term</v>
      </c>
    </row>
    <row r="9433" spans="1:16" x14ac:dyDescent="0.25">
      <c r="A9433">
        <v>2025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  <c r="M9433" t="str">
        <f t="shared" si="588"/>
        <v>&lt;30</v>
      </c>
      <c r="N9433" t="str">
        <f t="shared" si="589"/>
        <v>Medium</v>
      </c>
      <c r="O9433" t="str">
        <f t="shared" si="590"/>
        <v>High Balance</v>
      </c>
      <c r="P9433" t="str">
        <f t="shared" si="591"/>
        <v>Mid-term</v>
      </c>
    </row>
    <row r="9434" spans="1:16" x14ac:dyDescent="0.25">
      <c r="A9434">
        <v>2025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  <c r="M9434" t="str">
        <f t="shared" si="588"/>
        <v>&lt;30</v>
      </c>
      <c r="N9434" t="str">
        <f t="shared" si="589"/>
        <v>Low</v>
      </c>
      <c r="O9434" t="str">
        <f t="shared" si="590"/>
        <v>High Balance</v>
      </c>
      <c r="P9434" t="str">
        <f t="shared" si="591"/>
        <v>New</v>
      </c>
    </row>
    <row r="9435" spans="1:16" x14ac:dyDescent="0.25">
      <c r="A9435">
        <v>2025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  <c r="M9435" t="str">
        <f t="shared" si="588"/>
        <v>30-45</v>
      </c>
      <c r="N9435" t="str">
        <f t="shared" si="589"/>
        <v>Medium</v>
      </c>
      <c r="O9435" t="str">
        <f t="shared" si="590"/>
        <v>Zero Balance</v>
      </c>
      <c r="P9435" t="str">
        <f t="shared" si="591"/>
        <v>Mid-term</v>
      </c>
    </row>
    <row r="9436" spans="1:16" x14ac:dyDescent="0.25">
      <c r="A9436">
        <v>2025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  <c r="M9436" t="str">
        <f t="shared" si="588"/>
        <v>30-45</v>
      </c>
      <c r="N9436" t="str">
        <f t="shared" si="589"/>
        <v>Medium</v>
      </c>
      <c r="O9436" t="str">
        <f t="shared" si="590"/>
        <v>Zero Balance</v>
      </c>
      <c r="P9436" t="str">
        <f t="shared" si="591"/>
        <v>Mid-term</v>
      </c>
    </row>
    <row r="9437" spans="1:16" x14ac:dyDescent="0.25">
      <c r="A9437">
        <v>2025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  <c r="M9437" t="str">
        <f t="shared" si="588"/>
        <v>30-45</v>
      </c>
      <c r="N9437" t="str">
        <f t="shared" si="589"/>
        <v>Medium</v>
      </c>
      <c r="O9437" t="str">
        <f t="shared" si="590"/>
        <v>High Balance</v>
      </c>
      <c r="P9437" t="str">
        <f t="shared" si="591"/>
        <v>Mid-term</v>
      </c>
    </row>
    <row r="9438" spans="1:16" x14ac:dyDescent="0.25">
      <c r="A9438">
        <v>2025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  <c r="M9438" t="str">
        <f t="shared" si="588"/>
        <v>30-45</v>
      </c>
      <c r="N9438" t="str">
        <f t="shared" si="589"/>
        <v>Medium</v>
      </c>
      <c r="O9438" t="str">
        <f t="shared" si="590"/>
        <v>Zero Balance</v>
      </c>
      <c r="P9438" t="str">
        <f t="shared" si="591"/>
        <v>Mid-term</v>
      </c>
    </row>
    <row r="9439" spans="1:16" x14ac:dyDescent="0.25">
      <c r="A9439">
        <v>2025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  <c r="M9439" t="str">
        <f t="shared" si="588"/>
        <v>&lt;30</v>
      </c>
      <c r="N9439" t="str">
        <f t="shared" si="589"/>
        <v>Medium</v>
      </c>
      <c r="O9439" t="str">
        <f t="shared" si="590"/>
        <v>Low Balance</v>
      </c>
      <c r="P9439" t="str">
        <f t="shared" si="591"/>
        <v>Mid-term</v>
      </c>
    </row>
    <row r="9440" spans="1:16" x14ac:dyDescent="0.25">
      <c r="A9440">
        <v>2025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  <c r="M9440" t="str">
        <f t="shared" si="588"/>
        <v>60+</v>
      </c>
      <c r="N9440" t="str">
        <f t="shared" si="589"/>
        <v>High</v>
      </c>
      <c r="O9440" t="str">
        <f t="shared" si="590"/>
        <v>High Balance</v>
      </c>
      <c r="P9440" t="str">
        <f t="shared" si="591"/>
        <v>New</v>
      </c>
    </row>
    <row r="9441" spans="1:16" x14ac:dyDescent="0.25">
      <c r="A9441">
        <v>2025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  <c r="M9441" t="str">
        <f t="shared" si="588"/>
        <v>30-45</v>
      </c>
      <c r="N9441" t="str">
        <f t="shared" si="589"/>
        <v>High</v>
      </c>
      <c r="O9441" t="str">
        <f t="shared" si="590"/>
        <v>High Balance</v>
      </c>
      <c r="P9441" t="str">
        <f t="shared" si="591"/>
        <v>New</v>
      </c>
    </row>
    <row r="9442" spans="1:16" x14ac:dyDescent="0.25">
      <c r="A9442">
        <v>2025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  <c r="M9442" t="str">
        <f t="shared" si="588"/>
        <v>&lt;30</v>
      </c>
      <c r="N9442" t="str">
        <f t="shared" si="589"/>
        <v>Medium</v>
      </c>
      <c r="O9442" t="str">
        <f t="shared" si="590"/>
        <v>Zero Balance</v>
      </c>
      <c r="P9442" t="str">
        <f t="shared" si="591"/>
        <v>Long-term</v>
      </c>
    </row>
    <row r="9443" spans="1:16" x14ac:dyDescent="0.25">
      <c r="A9443">
        <v>2025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  <c r="M9443" t="str">
        <f t="shared" si="588"/>
        <v>30-45</v>
      </c>
      <c r="N9443" t="str">
        <f t="shared" si="589"/>
        <v>Medium</v>
      </c>
      <c r="O9443" t="str">
        <f t="shared" si="590"/>
        <v>Low Balance</v>
      </c>
      <c r="P9443" t="str">
        <f t="shared" si="591"/>
        <v>New</v>
      </c>
    </row>
    <row r="9444" spans="1:16" x14ac:dyDescent="0.25">
      <c r="A9444">
        <v>2025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  <c r="M9444" t="str">
        <f t="shared" si="588"/>
        <v>30-45</v>
      </c>
      <c r="N9444" t="str">
        <f t="shared" si="589"/>
        <v>High</v>
      </c>
      <c r="O9444" t="str">
        <f t="shared" si="590"/>
        <v>High Balance</v>
      </c>
      <c r="P9444" t="str">
        <f t="shared" si="591"/>
        <v>Long-term</v>
      </c>
    </row>
    <row r="9445" spans="1:16" x14ac:dyDescent="0.25">
      <c r="A9445">
        <v>2025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  <c r="M9445" t="str">
        <f t="shared" si="588"/>
        <v>46-60</v>
      </c>
      <c r="N9445" t="str">
        <f t="shared" si="589"/>
        <v>Medium</v>
      </c>
      <c r="O9445" t="str">
        <f t="shared" si="590"/>
        <v>High Balance</v>
      </c>
      <c r="P9445" t="str">
        <f t="shared" si="591"/>
        <v>New</v>
      </c>
    </row>
    <row r="9446" spans="1:16" x14ac:dyDescent="0.25">
      <c r="A9446">
        <v>2025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  <c r="M9446" t="str">
        <f t="shared" si="588"/>
        <v>30-45</v>
      </c>
      <c r="N9446" t="str">
        <f t="shared" si="589"/>
        <v>Medium</v>
      </c>
      <c r="O9446" t="str">
        <f t="shared" si="590"/>
        <v>High Balance</v>
      </c>
      <c r="P9446" t="str">
        <f t="shared" si="591"/>
        <v>New</v>
      </c>
    </row>
    <row r="9447" spans="1:16" x14ac:dyDescent="0.25">
      <c r="A9447">
        <v>2025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  <c r="M9447" t="str">
        <f t="shared" si="588"/>
        <v>&lt;30</v>
      </c>
      <c r="N9447" t="str">
        <f t="shared" si="589"/>
        <v>Medium</v>
      </c>
      <c r="O9447" t="str">
        <f t="shared" si="590"/>
        <v>Low Balance</v>
      </c>
      <c r="P9447" t="str">
        <f t="shared" si="591"/>
        <v>Mid-term</v>
      </c>
    </row>
    <row r="9448" spans="1:16" x14ac:dyDescent="0.25">
      <c r="A9448">
        <v>2025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  <c r="M9448" t="str">
        <f t="shared" si="588"/>
        <v>30-45</v>
      </c>
      <c r="N9448" t="str">
        <f t="shared" si="589"/>
        <v>Medium</v>
      </c>
      <c r="O9448" t="str">
        <f t="shared" si="590"/>
        <v>Low Balance</v>
      </c>
      <c r="P9448" t="str">
        <f t="shared" si="591"/>
        <v>Mid-term</v>
      </c>
    </row>
    <row r="9449" spans="1:16" x14ac:dyDescent="0.25">
      <c r="A9449">
        <v>2025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  <c r="M9449" t="str">
        <f t="shared" si="588"/>
        <v>30-45</v>
      </c>
      <c r="N9449" t="str">
        <f t="shared" si="589"/>
        <v>High</v>
      </c>
      <c r="O9449" t="str">
        <f t="shared" si="590"/>
        <v>Zero Balance</v>
      </c>
      <c r="P9449" t="str">
        <f t="shared" si="591"/>
        <v>New</v>
      </c>
    </row>
    <row r="9450" spans="1:16" x14ac:dyDescent="0.25">
      <c r="A9450">
        <v>2025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  <c r="M9450" t="str">
        <f t="shared" si="588"/>
        <v>30-45</v>
      </c>
      <c r="N9450" t="str">
        <f t="shared" si="589"/>
        <v>Medium</v>
      </c>
      <c r="O9450" t="str">
        <f t="shared" si="590"/>
        <v>High Balance</v>
      </c>
      <c r="P9450" t="str">
        <f t="shared" si="591"/>
        <v>Long-term</v>
      </c>
    </row>
    <row r="9451" spans="1:16" x14ac:dyDescent="0.25">
      <c r="A9451">
        <v>2025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  <c r="M9451" t="str">
        <f t="shared" si="588"/>
        <v>&lt;30</v>
      </c>
      <c r="N9451" t="str">
        <f t="shared" si="589"/>
        <v>Medium</v>
      </c>
      <c r="O9451" t="str">
        <f t="shared" si="590"/>
        <v>High Balance</v>
      </c>
      <c r="P9451" t="str">
        <f t="shared" si="591"/>
        <v>Long-term</v>
      </c>
    </row>
    <row r="9452" spans="1:16" x14ac:dyDescent="0.25">
      <c r="A9452">
        <v>2025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  <c r="M9452" t="str">
        <f t="shared" si="588"/>
        <v>30-45</v>
      </c>
      <c r="N9452" t="str">
        <f t="shared" si="589"/>
        <v>Medium</v>
      </c>
      <c r="O9452" t="str">
        <f t="shared" si="590"/>
        <v>High Balance</v>
      </c>
      <c r="P9452" t="str">
        <f t="shared" si="591"/>
        <v>New</v>
      </c>
    </row>
    <row r="9453" spans="1:16" x14ac:dyDescent="0.25">
      <c r="A9453">
        <v>2025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  <c r="M9453" t="str">
        <f t="shared" si="588"/>
        <v>&lt;30</v>
      </c>
      <c r="N9453" t="str">
        <f t="shared" si="589"/>
        <v>Medium</v>
      </c>
      <c r="O9453" t="str">
        <f t="shared" si="590"/>
        <v>High Balance</v>
      </c>
      <c r="P9453" t="str">
        <f t="shared" si="591"/>
        <v>New</v>
      </c>
    </row>
    <row r="9454" spans="1:16" x14ac:dyDescent="0.25">
      <c r="A9454">
        <v>2025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  <c r="M9454" t="str">
        <f t="shared" si="588"/>
        <v>&lt;30</v>
      </c>
      <c r="N9454" t="str">
        <f t="shared" si="589"/>
        <v>Medium</v>
      </c>
      <c r="O9454" t="str">
        <f t="shared" si="590"/>
        <v>Zero Balance</v>
      </c>
      <c r="P9454" t="str">
        <f t="shared" si="591"/>
        <v>Mid-term</v>
      </c>
    </row>
    <row r="9455" spans="1:16" x14ac:dyDescent="0.25">
      <c r="A9455">
        <v>2025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  <c r="M9455" t="str">
        <f t="shared" si="588"/>
        <v>&lt;30</v>
      </c>
      <c r="N9455" t="str">
        <f t="shared" si="589"/>
        <v>Medium</v>
      </c>
      <c r="O9455" t="str">
        <f t="shared" si="590"/>
        <v>High Balance</v>
      </c>
      <c r="P9455" t="str">
        <f t="shared" si="591"/>
        <v>Mid-term</v>
      </c>
    </row>
    <row r="9456" spans="1:16" x14ac:dyDescent="0.25">
      <c r="A9456">
        <v>2025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  <c r="M9456" t="str">
        <f t="shared" si="588"/>
        <v>46-60</v>
      </c>
      <c r="N9456" t="str">
        <f t="shared" si="589"/>
        <v>High</v>
      </c>
      <c r="O9456" t="str">
        <f t="shared" si="590"/>
        <v>Zero Balance</v>
      </c>
      <c r="P9456" t="str">
        <f t="shared" si="591"/>
        <v>Mid-term</v>
      </c>
    </row>
    <row r="9457" spans="1:16" x14ac:dyDescent="0.25">
      <c r="A9457">
        <v>2025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  <c r="M9457" t="str">
        <f t="shared" si="588"/>
        <v>46-60</v>
      </c>
      <c r="N9457" t="str">
        <f t="shared" si="589"/>
        <v>Medium</v>
      </c>
      <c r="O9457" t="str">
        <f t="shared" si="590"/>
        <v>Zero Balance</v>
      </c>
      <c r="P9457" t="str">
        <f t="shared" si="591"/>
        <v>Mid-term</v>
      </c>
    </row>
    <row r="9458" spans="1:16" x14ac:dyDescent="0.25">
      <c r="A9458">
        <v>2025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  <c r="M9458" t="str">
        <f t="shared" si="588"/>
        <v>30-45</v>
      </c>
      <c r="N9458" t="str">
        <f t="shared" si="589"/>
        <v>Medium</v>
      </c>
      <c r="O9458" t="str">
        <f t="shared" si="590"/>
        <v>High Balance</v>
      </c>
      <c r="P9458" t="str">
        <f t="shared" si="591"/>
        <v>Mid-term</v>
      </c>
    </row>
    <row r="9459" spans="1:16" x14ac:dyDescent="0.25">
      <c r="A9459">
        <v>2025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  <c r="M9459" t="str">
        <f t="shared" si="588"/>
        <v>&lt;30</v>
      </c>
      <c r="N9459" t="str">
        <f t="shared" si="589"/>
        <v>Medium</v>
      </c>
      <c r="O9459" t="str">
        <f t="shared" si="590"/>
        <v>High Balance</v>
      </c>
      <c r="P9459" t="str">
        <f t="shared" si="591"/>
        <v>New</v>
      </c>
    </row>
    <row r="9460" spans="1:16" x14ac:dyDescent="0.25">
      <c r="A9460">
        <v>2025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  <c r="M9460" t="str">
        <f t="shared" si="588"/>
        <v>30-45</v>
      </c>
      <c r="N9460" t="str">
        <f t="shared" si="589"/>
        <v>Medium</v>
      </c>
      <c r="O9460" t="str">
        <f t="shared" si="590"/>
        <v>High Balance</v>
      </c>
      <c r="P9460" t="str">
        <f t="shared" si="591"/>
        <v>Long-term</v>
      </c>
    </row>
    <row r="9461" spans="1:16" x14ac:dyDescent="0.25">
      <c r="A9461">
        <v>2025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  <c r="M9461" t="str">
        <f t="shared" si="588"/>
        <v>46-60</v>
      </c>
      <c r="N9461" t="str">
        <f t="shared" si="589"/>
        <v>Medium</v>
      </c>
      <c r="O9461" t="str">
        <f t="shared" si="590"/>
        <v>Zero Balance</v>
      </c>
      <c r="P9461" t="str">
        <f t="shared" si="591"/>
        <v>Long-term</v>
      </c>
    </row>
    <row r="9462" spans="1:16" x14ac:dyDescent="0.25">
      <c r="A9462">
        <v>2025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  <c r="M9462" t="str">
        <f t="shared" si="588"/>
        <v>30-45</v>
      </c>
      <c r="N9462" t="str">
        <f t="shared" si="589"/>
        <v>High</v>
      </c>
      <c r="O9462" t="str">
        <f t="shared" si="590"/>
        <v>Zero Balance</v>
      </c>
      <c r="P9462" t="str">
        <f t="shared" si="591"/>
        <v>Mid-term</v>
      </c>
    </row>
    <row r="9463" spans="1:16" x14ac:dyDescent="0.25">
      <c r="A9463">
        <v>2025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  <c r="M9463" t="str">
        <f t="shared" si="588"/>
        <v>30-45</v>
      </c>
      <c r="N9463" t="str">
        <f t="shared" si="589"/>
        <v>Medium</v>
      </c>
      <c r="O9463" t="str">
        <f t="shared" si="590"/>
        <v>Zero Balance</v>
      </c>
      <c r="P9463" t="str">
        <f t="shared" si="591"/>
        <v>Mid-term</v>
      </c>
    </row>
    <row r="9464" spans="1:16" x14ac:dyDescent="0.25">
      <c r="A9464">
        <v>2025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  <c r="M9464" t="str">
        <f t="shared" si="588"/>
        <v>46-60</v>
      </c>
      <c r="N9464" t="str">
        <f t="shared" si="589"/>
        <v>High</v>
      </c>
      <c r="O9464" t="str">
        <f t="shared" si="590"/>
        <v>Zero Balance</v>
      </c>
      <c r="P9464" t="str">
        <f t="shared" si="591"/>
        <v>Mid-term</v>
      </c>
    </row>
    <row r="9465" spans="1:16" x14ac:dyDescent="0.25">
      <c r="A9465">
        <v>2025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  <c r="M9465" t="str">
        <f t="shared" si="588"/>
        <v>&lt;30</v>
      </c>
      <c r="N9465" t="str">
        <f t="shared" si="589"/>
        <v>Medium</v>
      </c>
      <c r="O9465" t="str">
        <f t="shared" si="590"/>
        <v>Zero Balance</v>
      </c>
      <c r="P9465" t="str">
        <f t="shared" si="591"/>
        <v>Mid-term</v>
      </c>
    </row>
    <row r="9466" spans="1:16" x14ac:dyDescent="0.25">
      <c r="A9466">
        <v>2025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  <c r="M9466" t="str">
        <f t="shared" si="588"/>
        <v>30-45</v>
      </c>
      <c r="N9466" t="str">
        <f t="shared" si="589"/>
        <v>High</v>
      </c>
      <c r="O9466" t="str">
        <f t="shared" si="590"/>
        <v>Zero Balance</v>
      </c>
      <c r="P9466" t="str">
        <f t="shared" si="591"/>
        <v>Long-term</v>
      </c>
    </row>
    <row r="9467" spans="1:16" x14ac:dyDescent="0.25">
      <c r="A9467">
        <v>2025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  <c r="M9467" t="str">
        <f t="shared" si="588"/>
        <v>46-60</v>
      </c>
      <c r="N9467" t="str">
        <f t="shared" si="589"/>
        <v>High</v>
      </c>
      <c r="O9467" t="str">
        <f t="shared" si="590"/>
        <v>Zero Balance</v>
      </c>
      <c r="P9467" t="str">
        <f t="shared" si="591"/>
        <v>New</v>
      </c>
    </row>
    <row r="9468" spans="1:16" x14ac:dyDescent="0.25">
      <c r="A9468">
        <v>2025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  <c r="M9468" t="str">
        <f t="shared" si="588"/>
        <v>46-60</v>
      </c>
      <c r="N9468" t="str">
        <f t="shared" si="589"/>
        <v>Medium</v>
      </c>
      <c r="O9468" t="str">
        <f t="shared" si="590"/>
        <v>Zero Balance</v>
      </c>
      <c r="P9468" t="str">
        <f t="shared" si="591"/>
        <v>New</v>
      </c>
    </row>
    <row r="9469" spans="1:16" x14ac:dyDescent="0.25">
      <c r="A9469">
        <v>2025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  <c r="M9469" t="str">
        <f t="shared" si="588"/>
        <v>30-45</v>
      </c>
      <c r="N9469" t="str">
        <f t="shared" si="589"/>
        <v>Medium</v>
      </c>
      <c r="O9469" t="str">
        <f t="shared" si="590"/>
        <v>Low Balance</v>
      </c>
      <c r="P9469" t="str">
        <f t="shared" si="591"/>
        <v>New</v>
      </c>
    </row>
    <row r="9470" spans="1:16" x14ac:dyDescent="0.25">
      <c r="A9470">
        <v>2025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  <c r="M9470" t="str">
        <f t="shared" si="588"/>
        <v>30-45</v>
      </c>
      <c r="N9470" t="str">
        <f t="shared" si="589"/>
        <v>Medium</v>
      </c>
      <c r="O9470" t="str">
        <f t="shared" si="590"/>
        <v>High Balance</v>
      </c>
      <c r="P9470" t="str">
        <f t="shared" si="591"/>
        <v>Long-term</v>
      </c>
    </row>
    <row r="9471" spans="1:16" x14ac:dyDescent="0.25">
      <c r="A9471">
        <v>2025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  <c r="M9471" t="str">
        <f t="shared" si="588"/>
        <v>&lt;30</v>
      </c>
      <c r="N9471" t="str">
        <f t="shared" si="589"/>
        <v>High</v>
      </c>
      <c r="O9471" t="str">
        <f t="shared" si="590"/>
        <v>High Balance</v>
      </c>
      <c r="P9471" t="str">
        <f t="shared" si="591"/>
        <v>Mid-term</v>
      </c>
    </row>
    <row r="9472" spans="1:16" x14ac:dyDescent="0.25">
      <c r="A9472">
        <v>2025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  <c r="M9472" t="str">
        <f t="shared" si="588"/>
        <v>&lt;30</v>
      </c>
      <c r="N9472" t="str">
        <f t="shared" si="589"/>
        <v>High</v>
      </c>
      <c r="O9472" t="str">
        <f t="shared" si="590"/>
        <v>High Balance</v>
      </c>
      <c r="P9472" t="str">
        <f t="shared" si="591"/>
        <v>Long-term</v>
      </c>
    </row>
    <row r="9473" spans="1:16" x14ac:dyDescent="0.25">
      <c r="A9473">
        <v>2025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  <c r="M9473" t="str">
        <f t="shared" si="588"/>
        <v>&lt;30</v>
      </c>
      <c r="N9473" t="str">
        <f t="shared" si="589"/>
        <v>Medium</v>
      </c>
      <c r="O9473" t="str">
        <f t="shared" si="590"/>
        <v>High Balance</v>
      </c>
      <c r="P9473" t="str">
        <f t="shared" si="591"/>
        <v>Long-term</v>
      </c>
    </row>
    <row r="9474" spans="1:16" x14ac:dyDescent="0.25">
      <c r="A9474">
        <v>2025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  <c r="M9474" t="str">
        <f t="shared" si="588"/>
        <v>60+</v>
      </c>
      <c r="N9474" t="str">
        <f t="shared" si="589"/>
        <v>High</v>
      </c>
      <c r="O9474" t="str">
        <f t="shared" si="590"/>
        <v>High Balance</v>
      </c>
      <c r="P9474" t="str">
        <f t="shared" si="591"/>
        <v>New</v>
      </c>
    </row>
    <row r="9475" spans="1:16" x14ac:dyDescent="0.25">
      <c r="A9475">
        <v>2025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  <c r="M9475" t="str">
        <f t="shared" ref="M9475:M9538" si="592">IF(E9475&lt;30,"&lt;30",IF(E9475&lt;=45,"30-45",IF(E9475&lt;=60,"46-60","60+")))</f>
        <v>30-45</v>
      </c>
      <c r="N9475" t="str">
        <f t="shared" ref="N9475:N9538" si="593">IF(B9475&lt;500,"Low",IF(B9475&lt;700,"Medium","High"))</f>
        <v>Medium</v>
      </c>
      <c r="O9475" t="str">
        <f t="shared" ref="O9475:O9538" si="594">IF(G9475=0,"Zero Balance",IF(G9475&lt;100000,"Low Balance","High Balance"))</f>
        <v>Zero Balance</v>
      </c>
      <c r="P9475" t="str">
        <f t="shared" ref="P9475:P9538" si="595">IF(F9475&lt;=3,"New",IF(F9475&lt;=7,"Mid-term","Long-term"))</f>
        <v>Mid-term</v>
      </c>
    </row>
    <row r="9476" spans="1:16" x14ac:dyDescent="0.25">
      <c r="A9476">
        <v>2025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  <c r="M9476" t="str">
        <f t="shared" si="592"/>
        <v>46-60</v>
      </c>
      <c r="N9476" t="str">
        <f t="shared" si="593"/>
        <v>Medium</v>
      </c>
      <c r="O9476" t="str">
        <f t="shared" si="594"/>
        <v>Low Balance</v>
      </c>
      <c r="P9476" t="str">
        <f t="shared" si="595"/>
        <v>Long-term</v>
      </c>
    </row>
    <row r="9477" spans="1:16" x14ac:dyDescent="0.25">
      <c r="A9477">
        <v>2025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  <c r="M9477" t="str">
        <f t="shared" si="592"/>
        <v>46-60</v>
      </c>
      <c r="N9477" t="str">
        <f t="shared" si="593"/>
        <v>Medium</v>
      </c>
      <c r="O9477" t="str">
        <f t="shared" si="594"/>
        <v>Zero Balance</v>
      </c>
      <c r="P9477" t="str">
        <f t="shared" si="595"/>
        <v>New</v>
      </c>
    </row>
    <row r="9478" spans="1:16" x14ac:dyDescent="0.25">
      <c r="A9478">
        <v>2025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  <c r="M9478" t="str">
        <f t="shared" si="592"/>
        <v>46-60</v>
      </c>
      <c r="N9478" t="str">
        <f t="shared" si="593"/>
        <v>Medium</v>
      </c>
      <c r="O9478" t="str">
        <f t="shared" si="594"/>
        <v>High Balance</v>
      </c>
      <c r="P9478" t="str">
        <f t="shared" si="595"/>
        <v>Mid-term</v>
      </c>
    </row>
    <row r="9479" spans="1:16" x14ac:dyDescent="0.25">
      <c r="A9479">
        <v>2025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  <c r="M9479" t="str">
        <f t="shared" si="592"/>
        <v>30-45</v>
      </c>
      <c r="N9479" t="str">
        <f t="shared" si="593"/>
        <v>Medium</v>
      </c>
      <c r="O9479" t="str">
        <f t="shared" si="594"/>
        <v>Zero Balance</v>
      </c>
      <c r="P9479" t="str">
        <f t="shared" si="595"/>
        <v>Mid-term</v>
      </c>
    </row>
    <row r="9480" spans="1:16" x14ac:dyDescent="0.25">
      <c r="A9480">
        <v>2025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  <c r="M9480" t="str">
        <f t="shared" si="592"/>
        <v>46-60</v>
      </c>
      <c r="N9480" t="str">
        <f t="shared" si="593"/>
        <v>High</v>
      </c>
      <c r="O9480" t="str">
        <f t="shared" si="594"/>
        <v>Low Balance</v>
      </c>
      <c r="P9480" t="str">
        <f t="shared" si="595"/>
        <v>New</v>
      </c>
    </row>
    <row r="9481" spans="1:16" x14ac:dyDescent="0.25">
      <c r="A9481">
        <v>2025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  <c r="M9481" t="str">
        <f t="shared" si="592"/>
        <v>30-45</v>
      </c>
      <c r="N9481" t="str">
        <f t="shared" si="593"/>
        <v>High</v>
      </c>
      <c r="O9481" t="str">
        <f t="shared" si="594"/>
        <v>Zero Balance</v>
      </c>
      <c r="P9481" t="str">
        <f t="shared" si="595"/>
        <v>New</v>
      </c>
    </row>
    <row r="9482" spans="1:16" x14ac:dyDescent="0.25">
      <c r="A9482">
        <v>2025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  <c r="M9482" t="str">
        <f t="shared" si="592"/>
        <v>30-45</v>
      </c>
      <c r="N9482" t="str">
        <f t="shared" si="593"/>
        <v>Medium</v>
      </c>
      <c r="O9482" t="str">
        <f t="shared" si="594"/>
        <v>Low Balance</v>
      </c>
      <c r="P9482" t="str">
        <f t="shared" si="595"/>
        <v>New</v>
      </c>
    </row>
    <row r="9483" spans="1:16" x14ac:dyDescent="0.25">
      <c r="A9483">
        <v>2025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  <c r="M9483" t="str">
        <f t="shared" si="592"/>
        <v>30-45</v>
      </c>
      <c r="N9483" t="str">
        <f t="shared" si="593"/>
        <v>Medium</v>
      </c>
      <c r="O9483" t="str">
        <f t="shared" si="594"/>
        <v>High Balance</v>
      </c>
      <c r="P9483" t="str">
        <f t="shared" si="595"/>
        <v>Long-term</v>
      </c>
    </row>
    <row r="9484" spans="1:16" x14ac:dyDescent="0.25">
      <c r="A9484">
        <v>2025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  <c r="M9484" t="str">
        <f t="shared" si="592"/>
        <v>30-45</v>
      </c>
      <c r="N9484" t="str">
        <f t="shared" si="593"/>
        <v>High</v>
      </c>
      <c r="O9484" t="str">
        <f t="shared" si="594"/>
        <v>Zero Balance</v>
      </c>
      <c r="P9484" t="str">
        <f t="shared" si="595"/>
        <v>New</v>
      </c>
    </row>
    <row r="9485" spans="1:16" x14ac:dyDescent="0.25">
      <c r="A9485">
        <v>2025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  <c r="M9485" t="str">
        <f t="shared" si="592"/>
        <v>30-45</v>
      </c>
      <c r="N9485" t="str">
        <f t="shared" si="593"/>
        <v>Medium</v>
      </c>
      <c r="O9485" t="str">
        <f t="shared" si="594"/>
        <v>Low Balance</v>
      </c>
      <c r="P9485" t="str">
        <f t="shared" si="595"/>
        <v>New</v>
      </c>
    </row>
    <row r="9486" spans="1:16" x14ac:dyDescent="0.25">
      <c r="A9486">
        <v>2025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  <c r="M9486" t="str">
        <f t="shared" si="592"/>
        <v>30-45</v>
      </c>
      <c r="N9486" t="str">
        <f t="shared" si="593"/>
        <v>High</v>
      </c>
      <c r="O9486" t="str">
        <f t="shared" si="594"/>
        <v>High Balance</v>
      </c>
      <c r="P9486" t="str">
        <f t="shared" si="595"/>
        <v>New</v>
      </c>
    </row>
    <row r="9487" spans="1:16" x14ac:dyDescent="0.25">
      <c r="A9487">
        <v>2025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  <c r="M9487" t="str">
        <f t="shared" si="592"/>
        <v>30-45</v>
      </c>
      <c r="N9487" t="str">
        <f t="shared" si="593"/>
        <v>High</v>
      </c>
      <c r="O9487" t="str">
        <f t="shared" si="594"/>
        <v>Low Balance</v>
      </c>
      <c r="P9487" t="str">
        <f t="shared" si="595"/>
        <v>Mid-term</v>
      </c>
    </row>
    <row r="9488" spans="1:16" x14ac:dyDescent="0.25">
      <c r="A9488">
        <v>2025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  <c r="M9488" t="str">
        <f t="shared" si="592"/>
        <v>30-45</v>
      </c>
      <c r="N9488" t="str">
        <f t="shared" si="593"/>
        <v>High</v>
      </c>
      <c r="O9488" t="str">
        <f t="shared" si="594"/>
        <v>High Balance</v>
      </c>
      <c r="P9488" t="str">
        <f t="shared" si="595"/>
        <v>Mid-term</v>
      </c>
    </row>
    <row r="9489" spans="1:16" x14ac:dyDescent="0.25">
      <c r="A9489">
        <v>2025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  <c r="M9489" t="str">
        <f t="shared" si="592"/>
        <v>30-45</v>
      </c>
      <c r="N9489" t="str">
        <f t="shared" si="593"/>
        <v>High</v>
      </c>
      <c r="O9489" t="str">
        <f t="shared" si="594"/>
        <v>Zero Balance</v>
      </c>
      <c r="P9489" t="str">
        <f t="shared" si="595"/>
        <v>Mid-term</v>
      </c>
    </row>
    <row r="9490" spans="1:16" x14ac:dyDescent="0.25">
      <c r="A9490">
        <v>2025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  <c r="M9490" t="str">
        <f t="shared" si="592"/>
        <v>30-45</v>
      </c>
      <c r="N9490" t="str">
        <f t="shared" si="593"/>
        <v>Medium</v>
      </c>
      <c r="O9490" t="str">
        <f t="shared" si="594"/>
        <v>High Balance</v>
      </c>
      <c r="P9490" t="str">
        <f t="shared" si="595"/>
        <v>Mid-term</v>
      </c>
    </row>
    <row r="9491" spans="1:16" x14ac:dyDescent="0.25">
      <c r="A9491">
        <v>2025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  <c r="M9491" t="str">
        <f t="shared" si="592"/>
        <v>30-45</v>
      </c>
      <c r="N9491" t="str">
        <f t="shared" si="593"/>
        <v>High</v>
      </c>
      <c r="O9491" t="str">
        <f t="shared" si="594"/>
        <v>Zero Balance</v>
      </c>
      <c r="P9491" t="str">
        <f t="shared" si="595"/>
        <v>New</v>
      </c>
    </row>
    <row r="9492" spans="1:16" x14ac:dyDescent="0.25">
      <c r="A9492">
        <v>2025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  <c r="M9492" t="str">
        <f t="shared" si="592"/>
        <v>60+</v>
      </c>
      <c r="N9492" t="str">
        <f t="shared" si="593"/>
        <v>Medium</v>
      </c>
      <c r="O9492" t="str">
        <f t="shared" si="594"/>
        <v>Zero Balance</v>
      </c>
      <c r="P9492" t="str">
        <f t="shared" si="595"/>
        <v>New</v>
      </c>
    </row>
    <row r="9493" spans="1:16" x14ac:dyDescent="0.25">
      <c r="A9493">
        <v>2025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  <c r="M9493" t="str">
        <f t="shared" si="592"/>
        <v>30-45</v>
      </c>
      <c r="N9493" t="str">
        <f t="shared" si="593"/>
        <v>Medium</v>
      </c>
      <c r="O9493" t="str">
        <f t="shared" si="594"/>
        <v>High Balance</v>
      </c>
      <c r="P9493" t="str">
        <f t="shared" si="595"/>
        <v>Mid-term</v>
      </c>
    </row>
    <row r="9494" spans="1:16" x14ac:dyDescent="0.25">
      <c r="A9494">
        <v>2025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  <c r="M9494" t="str">
        <f t="shared" si="592"/>
        <v>46-60</v>
      </c>
      <c r="N9494" t="str">
        <f t="shared" si="593"/>
        <v>High</v>
      </c>
      <c r="O9494" t="str">
        <f t="shared" si="594"/>
        <v>High Balance</v>
      </c>
      <c r="P9494" t="str">
        <f t="shared" si="595"/>
        <v>Mid-term</v>
      </c>
    </row>
    <row r="9495" spans="1:16" x14ac:dyDescent="0.25">
      <c r="A9495">
        <v>2025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  <c r="M9495" t="str">
        <f t="shared" si="592"/>
        <v>30-45</v>
      </c>
      <c r="N9495" t="str">
        <f t="shared" si="593"/>
        <v>Medium</v>
      </c>
      <c r="O9495" t="str">
        <f t="shared" si="594"/>
        <v>High Balance</v>
      </c>
      <c r="P9495" t="str">
        <f t="shared" si="595"/>
        <v>New</v>
      </c>
    </row>
    <row r="9496" spans="1:16" x14ac:dyDescent="0.25">
      <c r="A9496">
        <v>2025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  <c r="M9496" t="str">
        <f t="shared" si="592"/>
        <v>30-45</v>
      </c>
      <c r="N9496" t="str">
        <f t="shared" si="593"/>
        <v>High</v>
      </c>
      <c r="O9496" t="str">
        <f t="shared" si="594"/>
        <v>High Balance</v>
      </c>
      <c r="P9496" t="str">
        <f t="shared" si="595"/>
        <v>Long-term</v>
      </c>
    </row>
    <row r="9497" spans="1:16" x14ac:dyDescent="0.25">
      <c r="A9497">
        <v>2025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  <c r="M9497" t="str">
        <f t="shared" si="592"/>
        <v>30-45</v>
      </c>
      <c r="N9497" t="str">
        <f t="shared" si="593"/>
        <v>Medium</v>
      </c>
      <c r="O9497" t="str">
        <f t="shared" si="594"/>
        <v>High Balance</v>
      </c>
      <c r="P9497" t="str">
        <f t="shared" si="595"/>
        <v>Long-term</v>
      </c>
    </row>
    <row r="9498" spans="1:16" x14ac:dyDescent="0.25">
      <c r="A9498">
        <v>2025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  <c r="M9498" t="str">
        <f t="shared" si="592"/>
        <v>30-45</v>
      </c>
      <c r="N9498" t="str">
        <f t="shared" si="593"/>
        <v>High</v>
      </c>
      <c r="O9498" t="str">
        <f t="shared" si="594"/>
        <v>Zero Balance</v>
      </c>
      <c r="P9498" t="str">
        <f t="shared" si="595"/>
        <v>New</v>
      </c>
    </row>
    <row r="9499" spans="1:16" x14ac:dyDescent="0.25">
      <c r="A9499">
        <v>2025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  <c r="M9499" t="str">
        <f t="shared" si="592"/>
        <v>&lt;30</v>
      </c>
      <c r="N9499" t="str">
        <f t="shared" si="593"/>
        <v>Medium</v>
      </c>
      <c r="O9499" t="str">
        <f t="shared" si="594"/>
        <v>Zero Balance</v>
      </c>
      <c r="P9499" t="str">
        <f t="shared" si="595"/>
        <v>New</v>
      </c>
    </row>
    <row r="9500" spans="1:16" x14ac:dyDescent="0.25">
      <c r="A9500">
        <v>2025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  <c r="M9500" t="str">
        <f t="shared" si="592"/>
        <v>46-60</v>
      </c>
      <c r="N9500" t="str">
        <f t="shared" si="593"/>
        <v>Medium</v>
      </c>
      <c r="O9500" t="str">
        <f t="shared" si="594"/>
        <v>High Balance</v>
      </c>
      <c r="P9500" t="str">
        <f t="shared" si="595"/>
        <v>Mid-term</v>
      </c>
    </row>
    <row r="9501" spans="1:16" x14ac:dyDescent="0.25">
      <c r="A9501">
        <v>2025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  <c r="M9501" t="str">
        <f t="shared" si="592"/>
        <v>&lt;30</v>
      </c>
      <c r="N9501" t="str">
        <f t="shared" si="593"/>
        <v>Medium</v>
      </c>
      <c r="O9501" t="str">
        <f t="shared" si="594"/>
        <v>Low Balance</v>
      </c>
      <c r="P9501" t="str">
        <f t="shared" si="595"/>
        <v>Mid-term</v>
      </c>
    </row>
    <row r="9502" spans="1:16" x14ac:dyDescent="0.25">
      <c r="A9502">
        <v>2025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  <c r="M9502" t="str">
        <f t="shared" si="592"/>
        <v>&lt;30</v>
      </c>
      <c r="N9502" t="str">
        <f t="shared" si="593"/>
        <v>High</v>
      </c>
      <c r="O9502" t="str">
        <f t="shared" si="594"/>
        <v>Low Balance</v>
      </c>
      <c r="P9502" t="str">
        <f t="shared" si="595"/>
        <v>Long-term</v>
      </c>
    </row>
    <row r="9503" spans="1:16" x14ac:dyDescent="0.25">
      <c r="A9503">
        <v>2025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  <c r="M9503" t="str">
        <f t="shared" si="592"/>
        <v>&lt;30</v>
      </c>
      <c r="N9503" t="str">
        <f t="shared" si="593"/>
        <v>High</v>
      </c>
      <c r="O9503" t="str">
        <f t="shared" si="594"/>
        <v>High Balance</v>
      </c>
      <c r="P9503" t="str">
        <f t="shared" si="595"/>
        <v>New</v>
      </c>
    </row>
    <row r="9504" spans="1:16" x14ac:dyDescent="0.25">
      <c r="A9504">
        <v>2025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  <c r="M9504" t="str">
        <f t="shared" si="592"/>
        <v>&lt;30</v>
      </c>
      <c r="N9504" t="str">
        <f t="shared" si="593"/>
        <v>High</v>
      </c>
      <c r="O9504" t="str">
        <f t="shared" si="594"/>
        <v>Low Balance</v>
      </c>
      <c r="P9504" t="str">
        <f t="shared" si="595"/>
        <v>New</v>
      </c>
    </row>
    <row r="9505" spans="1:16" x14ac:dyDescent="0.25">
      <c r="A9505">
        <v>2025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  <c r="M9505" t="str">
        <f t="shared" si="592"/>
        <v>46-60</v>
      </c>
      <c r="N9505" t="str">
        <f t="shared" si="593"/>
        <v>Medium</v>
      </c>
      <c r="O9505" t="str">
        <f t="shared" si="594"/>
        <v>High Balance</v>
      </c>
      <c r="P9505" t="str">
        <f t="shared" si="595"/>
        <v>Mid-term</v>
      </c>
    </row>
    <row r="9506" spans="1:16" x14ac:dyDescent="0.25">
      <c r="A9506">
        <v>2025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  <c r="M9506" t="str">
        <f t="shared" si="592"/>
        <v>30-45</v>
      </c>
      <c r="N9506" t="str">
        <f t="shared" si="593"/>
        <v>Medium</v>
      </c>
      <c r="O9506" t="str">
        <f t="shared" si="594"/>
        <v>High Balance</v>
      </c>
      <c r="P9506" t="str">
        <f t="shared" si="595"/>
        <v>Mid-term</v>
      </c>
    </row>
    <row r="9507" spans="1:16" x14ac:dyDescent="0.25">
      <c r="A9507">
        <v>2025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  <c r="M9507" t="str">
        <f t="shared" si="592"/>
        <v>&lt;30</v>
      </c>
      <c r="N9507" t="str">
        <f t="shared" si="593"/>
        <v>Medium</v>
      </c>
      <c r="O9507" t="str">
        <f t="shared" si="594"/>
        <v>Low Balance</v>
      </c>
      <c r="P9507" t="str">
        <f t="shared" si="595"/>
        <v>Long-term</v>
      </c>
    </row>
    <row r="9508" spans="1:16" x14ac:dyDescent="0.25">
      <c r="A9508">
        <v>2025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  <c r="M9508" t="str">
        <f t="shared" si="592"/>
        <v>60+</v>
      </c>
      <c r="N9508" t="str">
        <f t="shared" si="593"/>
        <v>Medium</v>
      </c>
      <c r="O9508" t="str">
        <f t="shared" si="594"/>
        <v>Zero Balance</v>
      </c>
      <c r="P9508" t="str">
        <f t="shared" si="595"/>
        <v>Mid-term</v>
      </c>
    </row>
    <row r="9509" spans="1:16" x14ac:dyDescent="0.25">
      <c r="A9509">
        <v>2025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  <c r="M9509" t="str">
        <f t="shared" si="592"/>
        <v>30-45</v>
      </c>
      <c r="N9509" t="str">
        <f t="shared" si="593"/>
        <v>High</v>
      </c>
      <c r="O9509" t="str">
        <f t="shared" si="594"/>
        <v>Zero Balance</v>
      </c>
      <c r="P9509" t="str">
        <f t="shared" si="595"/>
        <v>New</v>
      </c>
    </row>
    <row r="9510" spans="1:16" x14ac:dyDescent="0.25">
      <c r="A9510">
        <v>2025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  <c r="M9510" t="str">
        <f t="shared" si="592"/>
        <v>&lt;30</v>
      </c>
      <c r="N9510" t="str">
        <f t="shared" si="593"/>
        <v>Medium</v>
      </c>
      <c r="O9510" t="str">
        <f t="shared" si="594"/>
        <v>Low Balance</v>
      </c>
      <c r="P9510" t="str">
        <f t="shared" si="595"/>
        <v>Long-term</v>
      </c>
    </row>
    <row r="9511" spans="1:16" x14ac:dyDescent="0.25">
      <c r="A9511">
        <v>2025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  <c r="M9511" t="str">
        <f t="shared" si="592"/>
        <v>&lt;30</v>
      </c>
      <c r="N9511" t="str">
        <f t="shared" si="593"/>
        <v>Medium</v>
      </c>
      <c r="O9511" t="str">
        <f t="shared" si="594"/>
        <v>Zero Balance</v>
      </c>
      <c r="P9511" t="str">
        <f t="shared" si="595"/>
        <v>New</v>
      </c>
    </row>
    <row r="9512" spans="1:16" x14ac:dyDescent="0.25">
      <c r="A9512">
        <v>2025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  <c r="M9512" t="str">
        <f t="shared" si="592"/>
        <v>&lt;30</v>
      </c>
      <c r="N9512" t="str">
        <f t="shared" si="593"/>
        <v>Medium</v>
      </c>
      <c r="O9512" t="str">
        <f t="shared" si="594"/>
        <v>High Balance</v>
      </c>
      <c r="P9512" t="str">
        <f t="shared" si="595"/>
        <v>New</v>
      </c>
    </row>
    <row r="9513" spans="1:16" x14ac:dyDescent="0.25">
      <c r="A9513">
        <v>2025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  <c r="M9513" t="str">
        <f t="shared" si="592"/>
        <v>30-45</v>
      </c>
      <c r="N9513" t="str">
        <f t="shared" si="593"/>
        <v>High</v>
      </c>
      <c r="O9513" t="str">
        <f t="shared" si="594"/>
        <v>Low Balance</v>
      </c>
      <c r="P9513" t="str">
        <f t="shared" si="595"/>
        <v>Mid-term</v>
      </c>
    </row>
    <row r="9514" spans="1:16" x14ac:dyDescent="0.25">
      <c r="A9514">
        <v>2025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  <c r="M9514" t="str">
        <f t="shared" si="592"/>
        <v>30-45</v>
      </c>
      <c r="N9514" t="str">
        <f t="shared" si="593"/>
        <v>Medium</v>
      </c>
      <c r="O9514" t="str">
        <f t="shared" si="594"/>
        <v>Low Balance</v>
      </c>
      <c r="P9514" t="str">
        <f t="shared" si="595"/>
        <v>Mid-term</v>
      </c>
    </row>
    <row r="9515" spans="1:16" x14ac:dyDescent="0.25">
      <c r="A9515">
        <v>2025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  <c r="M9515" t="str">
        <f t="shared" si="592"/>
        <v>46-60</v>
      </c>
      <c r="N9515" t="str">
        <f t="shared" si="593"/>
        <v>Medium</v>
      </c>
      <c r="O9515" t="str">
        <f t="shared" si="594"/>
        <v>High Balance</v>
      </c>
      <c r="P9515" t="str">
        <f t="shared" si="595"/>
        <v>Mid-term</v>
      </c>
    </row>
    <row r="9516" spans="1:16" x14ac:dyDescent="0.25">
      <c r="A9516">
        <v>2025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  <c r="M9516" t="str">
        <f t="shared" si="592"/>
        <v>&lt;30</v>
      </c>
      <c r="N9516" t="str">
        <f t="shared" si="593"/>
        <v>High</v>
      </c>
      <c r="O9516" t="str">
        <f t="shared" si="594"/>
        <v>Zero Balance</v>
      </c>
      <c r="P9516" t="str">
        <f t="shared" si="595"/>
        <v>Long-term</v>
      </c>
    </row>
    <row r="9517" spans="1:16" x14ac:dyDescent="0.25">
      <c r="A9517">
        <v>2025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  <c r="M9517" t="str">
        <f t="shared" si="592"/>
        <v>30-45</v>
      </c>
      <c r="N9517" t="str">
        <f t="shared" si="593"/>
        <v>Medium</v>
      </c>
      <c r="O9517" t="str">
        <f t="shared" si="594"/>
        <v>High Balance</v>
      </c>
      <c r="P9517" t="str">
        <f t="shared" si="595"/>
        <v>Long-term</v>
      </c>
    </row>
    <row r="9518" spans="1:16" x14ac:dyDescent="0.25">
      <c r="A9518">
        <v>2025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  <c r="M9518" t="str">
        <f t="shared" si="592"/>
        <v>30-45</v>
      </c>
      <c r="N9518" t="str">
        <f t="shared" si="593"/>
        <v>Medium</v>
      </c>
      <c r="O9518" t="str">
        <f t="shared" si="594"/>
        <v>High Balance</v>
      </c>
      <c r="P9518" t="str">
        <f t="shared" si="595"/>
        <v>New</v>
      </c>
    </row>
    <row r="9519" spans="1:16" x14ac:dyDescent="0.25">
      <c r="A9519">
        <v>2025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  <c r="M9519" t="str">
        <f t="shared" si="592"/>
        <v>30-45</v>
      </c>
      <c r="N9519" t="str">
        <f t="shared" si="593"/>
        <v>Medium</v>
      </c>
      <c r="O9519" t="str">
        <f t="shared" si="594"/>
        <v>High Balance</v>
      </c>
      <c r="P9519" t="str">
        <f t="shared" si="595"/>
        <v>Long-term</v>
      </c>
    </row>
    <row r="9520" spans="1:16" x14ac:dyDescent="0.25">
      <c r="A9520">
        <v>2025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  <c r="M9520" t="str">
        <f t="shared" si="592"/>
        <v>30-45</v>
      </c>
      <c r="N9520" t="str">
        <f t="shared" si="593"/>
        <v>Medium</v>
      </c>
      <c r="O9520" t="str">
        <f t="shared" si="594"/>
        <v>High Balance</v>
      </c>
      <c r="P9520" t="str">
        <f t="shared" si="595"/>
        <v>Mid-term</v>
      </c>
    </row>
    <row r="9521" spans="1:16" x14ac:dyDescent="0.25">
      <c r="A9521">
        <v>2025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  <c r="M9521" t="str">
        <f t="shared" si="592"/>
        <v>&lt;30</v>
      </c>
      <c r="N9521" t="str">
        <f t="shared" si="593"/>
        <v>Medium</v>
      </c>
      <c r="O9521" t="str">
        <f t="shared" si="594"/>
        <v>Zero Balance</v>
      </c>
      <c r="P9521" t="str">
        <f t="shared" si="595"/>
        <v>New</v>
      </c>
    </row>
    <row r="9522" spans="1:16" x14ac:dyDescent="0.25">
      <c r="A9522">
        <v>2025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  <c r="M9522" t="str">
        <f t="shared" si="592"/>
        <v>&lt;30</v>
      </c>
      <c r="N9522" t="str">
        <f t="shared" si="593"/>
        <v>High</v>
      </c>
      <c r="O9522" t="str">
        <f t="shared" si="594"/>
        <v>Low Balance</v>
      </c>
      <c r="P9522" t="str">
        <f t="shared" si="595"/>
        <v>New</v>
      </c>
    </row>
    <row r="9523" spans="1:16" x14ac:dyDescent="0.25">
      <c r="A9523">
        <v>2025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  <c r="M9523" t="str">
        <f t="shared" si="592"/>
        <v>30-45</v>
      </c>
      <c r="N9523" t="str">
        <f t="shared" si="593"/>
        <v>Medium</v>
      </c>
      <c r="O9523" t="str">
        <f t="shared" si="594"/>
        <v>Zero Balance</v>
      </c>
      <c r="P9523" t="str">
        <f t="shared" si="595"/>
        <v>Long-term</v>
      </c>
    </row>
    <row r="9524" spans="1:16" x14ac:dyDescent="0.25">
      <c r="A9524">
        <v>2025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  <c r="M9524" t="str">
        <f t="shared" si="592"/>
        <v>30-45</v>
      </c>
      <c r="N9524" t="str">
        <f t="shared" si="593"/>
        <v>Low</v>
      </c>
      <c r="O9524" t="str">
        <f t="shared" si="594"/>
        <v>Zero Balance</v>
      </c>
      <c r="P9524" t="str">
        <f t="shared" si="595"/>
        <v>Mid-term</v>
      </c>
    </row>
    <row r="9525" spans="1:16" x14ac:dyDescent="0.25">
      <c r="A9525">
        <v>2025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  <c r="M9525" t="str">
        <f t="shared" si="592"/>
        <v>30-45</v>
      </c>
      <c r="N9525" t="str">
        <f t="shared" si="593"/>
        <v>Medium</v>
      </c>
      <c r="O9525" t="str">
        <f t="shared" si="594"/>
        <v>High Balance</v>
      </c>
      <c r="P9525" t="str">
        <f t="shared" si="595"/>
        <v>New</v>
      </c>
    </row>
    <row r="9526" spans="1:16" x14ac:dyDescent="0.25">
      <c r="A9526">
        <v>2025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  <c r="M9526" t="str">
        <f t="shared" si="592"/>
        <v>30-45</v>
      </c>
      <c r="N9526" t="str">
        <f t="shared" si="593"/>
        <v>High</v>
      </c>
      <c r="O9526" t="str">
        <f t="shared" si="594"/>
        <v>High Balance</v>
      </c>
      <c r="P9526" t="str">
        <f t="shared" si="595"/>
        <v>Mid-term</v>
      </c>
    </row>
    <row r="9527" spans="1:16" x14ac:dyDescent="0.25">
      <c r="A9527">
        <v>2025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  <c r="M9527" t="str">
        <f t="shared" si="592"/>
        <v>46-60</v>
      </c>
      <c r="N9527" t="str">
        <f t="shared" si="593"/>
        <v>Medium</v>
      </c>
      <c r="O9527" t="str">
        <f t="shared" si="594"/>
        <v>High Balance</v>
      </c>
      <c r="P9527" t="str">
        <f t="shared" si="595"/>
        <v>Mid-term</v>
      </c>
    </row>
    <row r="9528" spans="1:16" x14ac:dyDescent="0.25">
      <c r="A9528">
        <v>2025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  <c r="M9528" t="str">
        <f t="shared" si="592"/>
        <v>&lt;30</v>
      </c>
      <c r="N9528" t="str">
        <f t="shared" si="593"/>
        <v>Medium</v>
      </c>
      <c r="O9528" t="str">
        <f t="shared" si="594"/>
        <v>High Balance</v>
      </c>
      <c r="P9528" t="str">
        <f t="shared" si="595"/>
        <v>Mid-term</v>
      </c>
    </row>
    <row r="9529" spans="1:16" x14ac:dyDescent="0.25">
      <c r="A9529">
        <v>2025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  <c r="M9529" t="str">
        <f t="shared" si="592"/>
        <v>30-45</v>
      </c>
      <c r="N9529" t="str">
        <f t="shared" si="593"/>
        <v>High</v>
      </c>
      <c r="O9529" t="str">
        <f t="shared" si="594"/>
        <v>Low Balance</v>
      </c>
      <c r="P9529" t="str">
        <f t="shared" si="595"/>
        <v>Long-term</v>
      </c>
    </row>
    <row r="9530" spans="1:16" x14ac:dyDescent="0.25">
      <c r="A9530">
        <v>2025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  <c r="M9530" t="str">
        <f t="shared" si="592"/>
        <v>30-45</v>
      </c>
      <c r="N9530" t="str">
        <f t="shared" si="593"/>
        <v>High</v>
      </c>
      <c r="O9530" t="str">
        <f t="shared" si="594"/>
        <v>Zero Balance</v>
      </c>
      <c r="P9530" t="str">
        <f t="shared" si="595"/>
        <v>Long-term</v>
      </c>
    </row>
    <row r="9531" spans="1:16" x14ac:dyDescent="0.25">
      <c r="A9531">
        <v>2025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  <c r="M9531" t="str">
        <f t="shared" si="592"/>
        <v>30-45</v>
      </c>
      <c r="N9531" t="str">
        <f t="shared" si="593"/>
        <v>Medium</v>
      </c>
      <c r="O9531" t="str">
        <f t="shared" si="594"/>
        <v>Zero Balance</v>
      </c>
      <c r="P9531" t="str">
        <f t="shared" si="595"/>
        <v>Mid-term</v>
      </c>
    </row>
    <row r="9532" spans="1:16" x14ac:dyDescent="0.25">
      <c r="A9532">
        <v>2025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  <c r="M9532" t="str">
        <f t="shared" si="592"/>
        <v>30-45</v>
      </c>
      <c r="N9532" t="str">
        <f t="shared" si="593"/>
        <v>Medium</v>
      </c>
      <c r="O9532" t="str">
        <f t="shared" si="594"/>
        <v>Zero Balance</v>
      </c>
      <c r="P9532" t="str">
        <f t="shared" si="595"/>
        <v>Mid-term</v>
      </c>
    </row>
    <row r="9533" spans="1:16" x14ac:dyDescent="0.25">
      <c r="A9533">
        <v>2025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  <c r="M9533" t="str">
        <f t="shared" si="592"/>
        <v>46-60</v>
      </c>
      <c r="N9533" t="str">
        <f t="shared" si="593"/>
        <v>High</v>
      </c>
      <c r="O9533" t="str">
        <f t="shared" si="594"/>
        <v>Zero Balance</v>
      </c>
      <c r="P9533" t="str">
        <f t="shared" si="595"/>
        <v>Mid-term</v>
      </c>
    </row>
    <row r="9534" spans="1:16" x14ac:dyDescent="0.25">
      <c r="A9534">
        <v>2025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  <c r="M9534" t="str">
        <f t="shared" si="592"/>
        <v>&lt;30</v>
      </c>
      <c r="N9534" t="str">
        <f t="shared" si="593"/>
        <v>Medium</v>
      </c>
      <c r="O9534" t="str">
        <f t="shared" si="594"/>
        <v>Zero Balance</v>
      </c>
      <c r="P9534" t="str">
        <f t="shared" si="595"/>
        <v>Mid-term</v>
      </c>
    </row>
    <row r="9535" spans="1:16" x14ac:dyDescent="0.25">
      <c r="A9535">
        <v>2025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  <c r="M9535" t="str">
        <f t="shared" si="592"/>
        <v>30-45</v>
      </c>
      <c r="N9535" t="str">
        <f t="shared" si="593"/>
        <v>Medium</v>
      </c>
      <c r="O9535" t="str">
        <f t="shared" si="594"/>
        <v>Low Balance</v>
      </c>
      <c r="P9535" t="str">
        <f t="shared" si="595"/>
        <v>Mid-term</v>
      </c>
    </row>
    <row r="9536" spans="1:16" x14ac:dyDescent="0.25">
      <c r="A9536">
        <v>2025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  <c r="M9536" t="str">
        <f t="shared" si="592"/>
        <v>46-60</v>
      </c>
      <c r="N9536" t="str">
        <f t="shared" si="593"/>
        <v>High</v>
      </c>
      <c r="O9536" t="str">
        <f t="shared" si="594"/>
        <v>Zero Balance</v>
      </c>
      <c r="P9536" t="str">
        <f t="shared" si="595"/>
        <v>New</v>
      </c>
    </row>
    <row r="9537" spans="1:16" x14ac:dyDescent="0.25">
      <c r="A9537">
        <v>2025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  <c r="M9537" t="str">
        <f t="shared" si="592"/>
        <v>30-45</v>
      </c>
      <c r="N9537" t="str">
        <f t="shared" si="593"/>
        <v>High</v>
      </c>
      <c r="O9537" t="str">
        <f t="shared" si="594"/>
        <v>High Balance</v>
      </c>
      <c r="P9537" t="str">
        <f t="shared" si="595"/>
        <v>Long-term</v>
      </c>
    </row>
    <row r="9538" spans="1:16" x14ac:dyDescent="0.25">
      <c r="A9538">
        <v>2025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  <c r="M9538" t="str">
        <f t="shared" si="592"/>
        <v>30-45</v>
      </c>
      <c r="N9538" t="str">
        <f t="shared" si="593"/>
        <v>Medium</v>
      </c>
      <c r="O9538" t="str">
        <f t="shared" si="594"/>
        <v>High Balance</v>
      </c>
      <c r="P9538" t="str">
        <f t="shared" si="595"/>
        <v>Long-term</v>
      </c>
    </row>
    <row r="9539" spans="1:16" x14ac:dyDescent="0.25">
      <c r="A9539">
        <v>2025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  <c r="M9539" t="str">
        <f t="shared" ref="M9539:M9602" si="596">IF(E9539&lt;30,"&lt;30",IF(E9539&lt;=45,"30-45",IF(E9539&lt;=60,"46-60","60+")))</f>
        <v>30-45</v>
      </c>
      <c r="N9539" t="str">
        <f t="shared" ref="N9539:N9602" si="597">IF(B9539&lt;500,"Low",IF(B9539&lt;700,"Medium","High"))</f>
        <v>High</v>
      </c>
      <c r="O9539" t="str">
        <f t="shared" ref="O9539:O9602" si="598">IF(G9539=0,"Zero Balance",IF(G9539&lt;100000,"Low Balance","High Balance"))</f>
        <v>Zero Balance</v>
      </c>
      <c r="P9539" t="str">
        <f t="shared" ref="P9539:P9602" si="599">IF(F9539&lt;=3,"New",IF(F9539&lt;=7,"Mid-term","Long-term"))</f>
        <v>Mid-term</v>
      </c>
    </row>
    <row r="9540" spans="1:16" x14ac:dyDescent="0.25">
      <c r="A9540">
        <v>2025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  <c r="M9540" t="str">
        <f t="shared" si="596"/>
        <v>&lt;30</v>
      </c>
      <c r="N9540" t="str">
        <f t="shared" si="597"/>
        <v>High</v>
      </c>
      <c r="O9540" t="str">
        <f t="shared" si="598"/>
        <v>Zero Balance</v>
      </c>
      <c r="P9540" t="str">
        <f t="shared" si="599"/>
        <v>New</v>
      </c>
    </row>
    <row r="9541" spans="1:16" x14ac:dyDescent="0.25">
      <c r="A9541">
        <v>2025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  <c r="M9541" t="str">
        <f t="shared" si="596"/>
        <v>&lt;30</v>
      </c>
      <c r="N9541" t="str">
        <f t="shared" si="597"/>
        <v>Medium</v>
      </c>
      <c r="O9541" t="str">
        <f t="shared" si="598"/>
        <v>High Balance</v>
      </c>
      <c r="P9541" t="str">
        <f t="shared" si="599"/>
        <v>Mid-term</v>
      </c>
    </row>
    <row r="9542" spans="1:16" x14ac:dyDescent="0.25">
      <c r="A9542">
        <v>2025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  <c r="M9542" t="str">
        <f t="shared" si="596"/>
        <v>46-60</v>
      </c>
      <c r="N9542" t="str">
        <f t="shared" si="597"/>
        <v>High</v>
      </c>
      <c r="O9542" t="str">
        <f t="shared" si="598"/>
        <v>High Balance</v>
      </c>
      <c r="P9542" t="str">
        <f t="shared" si="599"/>
        <v>New</v>
      </c>
    </row>
    <row r="9543" spans="1:16" x14ac:dyDescent="0.25">
      <c r="A9543">
        <v>2025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  <c r="M9543" t="str">
        <f t="shared" si="596"/>
        <v>30-45</v>
      </c>
      <c r="N9543" t="str">
        <f t="shared" si="597"/>
        <v>Medium</v>
      </c>
      <c r="O9543" t="str">
        <f t="shared" si="598"/>
        <v>Low Balance</v>
      </c>
      <c r="P9543" t="str">
        <f t="shared" si="599"/>
        <v>Long-term</v>
      </c>
    </row>
    <row r="9544" spans="1:16" x14ac:dyDescent="0.25">
      <c r="A9544">
        <v>2025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  <c r="M9544" t="str">
        <f t="shared" si="596"/>
        <v>30-45</v>
      </c>
      <c r="N9544" t="str">
        <f t="shared" si="597"/>
        <v>Medium</v>
      </c>
      <c r="O9544" t="str">
        <f t="shared" si="598"/>
        <v>Zero Balance</v>
      </c>
      <c r="P9544" t="str">
        <f t="shared" si="599"/>
        <v>Long-term</v>
      </c>
    </row>
    <row r="9545" spans="1:16" x14ac:dyDescent="0.25">
      <c r="A9545">
        <v>2025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  <c r="M9545" t="str">
        <f t="shared" si="596"/>
        <v>30-45</v>
      </c>
      <c r="N9545" t="str">
        <f t="shared" si="597"/>
        <v>Medium</v>
      </c>
      <c r="O9545" t="str">
        <f t="shared" si="598"/>
        <v>High Balance</v>
      </c>
      <c r="P9545" t="str">
        <f t="shared" si="599"/>
        <v>Mid-term</v>
      </c>
    </row>
    <row r="9546" spans="1:16" x14ac:dyDescent="0.25">
      <c r="A9546">
        <v>2025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  <c r="M9546" t="str">
        <f t="shared" si="596"/>
        <v>30-45</v>
      </c>
      <c r="N9546" t="str">
        <f t="shared" si="597"/>
        <v>Medium</v>
      </c>
      <c r="O9546" t="str">
        <f t="shared" si="598"/>
        <v>High Balance</v>
      </c>
      <c r="P9546" t="str">
        <f t="shared" si="599"/>
        <v>Mid-term</v>
      </c>
    </row>
    <row r="9547" spans="1:16" x14ac:dyDescent="0.25">
      <c r="A9547">
        <v>2025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  <c r="M9547" t="str">
        <f t="shared" si="596"/>
        <v>46-60</v>
      </c>
      <c r="N9547" t="str">
        <f t="shared" si="597"/>
        <v>High</v>
      </c>
      <c r="O9547" t="str">
        <f t="shared" si="598"/>
        <v>Zero Balance</v>
      </c>
      <c r="P9547" t="str">
        <f t="shared" si="599"/>
        <v>New</v>
      </c>
    </row>
    <row r="9548" spans="1:16" x14ac:dyDescent="0.25">
      <c r="A9548">
        <v>2025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  <c r="M9548" t="str">
        <f t="shared" si="596"/>
        <v>&lt;30</v>
      </c>
      <c r="N9548" t="str">
        <f t="shared" si="597"/>
        <v>Medium</v>
      </c>
      <c r="O9548" t="str">
        <f t="shared" si="598"/>
        <v>Zero Balance</v>
      </c>
      <c r="P9548" t="str">
        <f t="shared" si="599"/>
        <v>Mid-term</v>
      </c>
    </row>
    <row r="9549" spans="1:16" x14ac:dyDescent="0.25">
      <c r="A9549">
        <v>2025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  <c r="M9549" t="str">
        <f t="shared" si="596"/>
        <v>30-45</v>
      </c>
      <c r="N9549" t="str">
        <f t="shared" si="597"/>
        <v>Medium</v>
      </c>
      <c r="O9549" t="str">
        <f t="shared" si="598"/>
        <v>Zero Balance</v>
      </c>
      <c r="P9549" t="str">
        <f t="shared" si="599"/>
        <v>New</v>
      </c>
    </row>
    <row r="9550" spans="1:16" x14ac:dyDescent="0.25">
      <c r="A9550">
        <v>2025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  <c r="M9550" t="str">
        <f t="shared" si="596"/>
        <v>30-45</v>
      </c>
      <c r="N9550" t="str">
        <f t="shared" si="597"/>
        <v>Medium</v>
      </c>
      <c r="O9550" t="str">
        <f t="shared" si="598"/>
        <v>Zero Balance</v>
      </c>
      <c r="P9550" t="str">
        <f t="shared" si="599"/>
        <v>Mid-term</v>
      </c>
    </row>
    <row r="9551" spans="1:16" x14ac:dyDescent="0.25">
      <c r="A9551">
        <v>2025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  <c r="M9551" t="str">
        <f t="shared" si="596"/>
        <v>30-45</v>
      </c>
      <c r="N9551" t="str">
        <f t="shared" si="597"/>
        <v>Medium</v>
      </c>
      <c r="O9551" t="str">
        <f t="shared" si="598"/>
        <v>High Balance</v>
      </c>
      <c r="P9551" t="str">
        <f t="shared" si="599"/>
        <v>New</v>
      </c>
    </row>
    <row r="9552" spans="1:16" x14ac:dyDescent="0.25">
      <c r="A9552">
        <v>2025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  <c r="M9552" t="str">
        <f t="shared" si="596"/>
        <v>30-45</v>
      </c>
      <c r="N9552" t="str">
        <f t="shared" si="597"/>
        <v>High</v>
      </c>
      <c r="O9552" t="str">
        <f t="shared" si="598"/>
        <v>High Balance</v>
      </c>
      <c r="P9552" t="str">
        <f t="shared" si="599"/>
        <v>Long-term</v>
      </c>
    </row>
    <row r="9553" spans="1:16" x14ac:dyDescent="0.25">
      <c r="A9553">
        <v>2025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  <c r="M9553" t="str">
        <f t="shared" si="596"/>
        <v>30-45</v>
      </c>
      <c r="N9553" t="str">
        <f t="shared" si="597"/>
        <v>Medium</v>
      </c>
      <c r="O9553" t="str">
        <f t="shared" si="598"/>
        <v>High Balance</v>
      </c>
      <c r="P9553" t="str">
        <f t="shared" si="599"/>
        <v>Mid-term</v>
      </c>
    </row>
    <row r="9554" spans="1:16" x14ac:dyDescent="0.25">
      <c r="A9554">
        <v>2025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  <c r="M9554" t="str">
        <f t="shared" si="596"/>
        <v>30-45</v>
      </c>
      <c r="N9554" t="str">
        <f t="shared" si="597"/>
        <v>Medium</v>
      </c>
      <c r="O9554" t="str">
        <f t="shared" si="598"/>
        <v>Zero Balance</v>
      </c>
      <c r="P9554" t="str">
        <f t="shared" si="599"/>
        <v>Mid-term</v>
      </c>
    </row>
    <row r="9555" spans="1:16" x14ac:dyDescent="0.25">
      <c r="A9555">
        <v>2025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  <c r="M9555" t="str">
        <f t="shared" si="596"/>
        <v>30-45</v>
      </c>
      <c r="N9555" t="str">
        <f t="shared" si="597"/>
        <v>Medium</v>
      </c>
      <c r="O9555" t="str">
        <f t="shared" si="598"/>
        <v>Zero Balance</v>
      </c>
      <c r="P9555" t="str">
        <f t="shared" si="599"/>
        <v>Mid-term</v>
      </c>
    </row>
    <row r="9556" spans="1:16" x14ac:dyDescent="0.25">
      <c r="A9556">
        <v>2025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  <c r="M9556" t="str">
        <f t="shared" si="596"/>
        <v>&lt;30</v>
      </c>
      <c r="N9556" t="str">
        <f t="shared" si="597"/>
        <v>High</v>
      </c>
      <c r="O9556" t="str">
        <f t="shared" si="598"/>
        <v>Low Balance</v>
      </c>
      <c r="P9556" t="str">
        <f t="shared" si="599"/>
        <v>New</v>
      </c>
    </row>
    <row r="9557" spans="1:16" x14ac:dyDescent="0.25">
      <c r="A9557">
        <v>2025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  <c r="M9557" t="str">
        <f t="shared" si="596"/>
        <v>60+</v>
      </c>
      <c r="N9557" t="str">
        <f t="shared" si="597"/>
        <v>High</v>
      </c>
      <c r="O9557" t="str">
        <f t="shared" si="598"/>
        <v>High Balance</v>
      </c>
      <c r="P9557" t="str">
        <f t="shared" si="599"/>
        <v>Mid-term</v>
      </c>
    </row>
    <row r="9558" spans="1:16" x14ac:dyDescent="0.25">
      <c r="A9558">
        <v>2025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  <c r="M9558" t="str">
        <f t="shared" si="596"/>
        <v>30-45</v>
      </c>
      <c r="N9558" t="str">
        <f t="shared" si="597"/>
        <v>High</v>
      </c>
      <c r="O9558" t="str">
        <f t="shared" si="598"/>
        <v>High Balance</v>
      </c>
      <c r="P9558" t="str">
        <f t="shared" si="599"/>
        <v>Mid-term</v>
      </c>
    </row>
    <row r="9559" spans="1:16" x14ac:dyDescent="0.25">
      <c r="A9559">
        <v>2025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  <c r="M9559" t="str">
        <f t="shared" si="596"/>
        <v>60+</v>
      </c>
      <c r="N9559" t="str">
        <f t="shared" si="597"/>
        <v>Medium</v>
      </c>
      <c r="O9559" t="str">
        <f t="shared" si="598"/>
        <v>High Balance</v>
      </c>
      <c r="P9559" t="str">
        <f t="shared" si="599"/>
        <v>Mid-term</v>
      </c>
    </row>
    <row r="9560" spans="1:16" x14ac:dyDescent="0.25">
      <c r="A9560">
        <v>2025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  <c r="M9560" t="str">
        <f t="shared" si="596"/>
        <v>46-60</v>
      </c>
      <c r="N9560" t="str">
        <f t="shared" si="597"/>
        <v>Medium</v>
      </c>
      <c r="O9560" t="str">
        <f t="shared" si="598"/>
        <v>Zero Balance</v>
      </c>
      <c r="P9560" t="str">
        <f t="shared" si="599"/>
        <v>Mid-term</v>
      </c>
    </row>
    <row r="9561" spans="1:16" x14ac:dyDescent="0.25">
      <c r="A9561">
        <v>2025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  <c r="M9561" t="str">
        <f t="shared" si="596"/>
        <v>30-45</v>
      </c>
      <c r="N9561" t="str">
        <f t="shared" si="597"/>
        <v>High</v>
      </c>
      <c r="O9561" t="str">
        <f t="shared" si="598"/>
        <v>High Balance</v>
      </c>
      <c r="P9561" t="str">
        <f t="shared" si="599"/>
        <v>Long-term</v>
      </c>
    </row>
    <row r="9562" spans="1:16" x14ac:dyDescent="0.25">
      <c r="A9562">
        <v>2025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  <c r="M9562" t="str">
        <f t="shared" si="596"/>
        <v>30-45</v>
      </c>
      <c r="N9562" t="str">
        <f t="shared" si="597"/>
        <v>Medium</v>
      </c>
      <c r="O9562" t="str">
        <f t="shared" si="598"/>
        <v>High Balance</v>
      </c>
      <c r="P9562" t="str">
        <f t="shared" si="599"/>
        <v>Mid-term</v>
      </c>
    </row>
    <row r="9563" spans="1:16" x14ac:dyDescent="0.25">
      <c r="A9563">
        <v>2025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  <c r="M9563" t="str">
        <f t="shared" si="596"/>
        <v>30-45</v>
      </c>
      <c r="N9563" t="str">
        <f t="shared" si="597"/>
        <v>Medium</v>
      </c>
      <c r="O9563" t="str">
        <f t="shared" si="598"/>
        <v>High Balance</v>
      </c>
      <c r="P9563" t="str">
        <f t="shared" si="599"/>
        <v>Mid-term</v>
      </c>
    </row>
    <row r="9564" spans="1:16" x14ac:dyDescent="0.25">
      <c r="A9564">
        <v>2025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  <c r="M9564" t="str">
        <f t="shared" si="596"/>
        <v>30-45</v>
      </c>
      <c r="N9564" t="str">
        <f t="shared" si="597"/>
        <v>High</v>
      </c>
      <c r="O9564" t="str">
        <f t="shared" si="598"/>
        <v>Zero Balance</v>
      </c>
      <c r="P9564" t="str">
        <f t="shared" si="599"/>
        <v>Mid-term</v>
      </c>
    </row>
    <row r="9565" spans="1:16" x14ac:dyDescent="0.25">
      <c r="A9565">
        <v>2025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  <c r="M9565" t="str">
        <f t="shared" si="596"/>
        <v>&lt;30</v>
      </c>
      <c r="N9565" t="str">
        <f t="shared" si="597"/>
        <v>High</v>
      </c>
      <c r="O9565" t="str">
        <f t="shared" si="598"/>
        <v>Zero Balance</v>
      </c>
      <c r="P9565" t="str">
        <f t="shared" si="599"/>
        <v>Long-term</v>
      </c>
    </row>
    <row r="9566" spans="1:16" x14ac:dyDescent="0.25">
      <c r="A9566">
        <v>2025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  <c r="M9566" t="str">
        <f t="shared" si="596"/>
        <v>30-45</v>
      </c>
      <c r="N9566" t="str">
        <f t="shared" si="597"/>
        <v>Medium</v>
      </c>
      <c r="O9566" t="str">
        <f t="shared" si="598"/>
        <v>Zero Balance</v>
      </c>
      <c r="P9566" t="str">
        <f t="shared" si="599"/>
        <v>New</v>
      </c>
    </row>
    <row r="9567" spans="1:16" x14ac:dyDescent="0.25">
      <c r="A9567">
        <v>2025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  <c r="M9567" t="str">
        <f t="shared" si="596"/>
        <v>30-45</v>
      </c>
      <c r="N9567" t="str">
        <f t="shared" si="597"/>
        <v>Medium</v>
      </c>
      <c r="O9567" t="str">
        <f t="shared" si="598"/>
        <v>High Balance</v>
      </c>
      <c r="P9567" t="str">
        <f t="shared" si="599"/>
        <v>Long-term</v>
      </c>
    </row>
    <row r="9568" spans="1:16" x14ac:dyDescent="0.25">
      <c r="A9568">
        <v>2025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  <c r="M9568" t="str">
        <f t="shared" si="596"/>
        <v>30-45</v>
      </c>
      <c r="N9568" t="str">
        <f t="shared" si="597"/>
        <v>Medium</v>
      </c>
      <c r="O9568" t="str">
        <f t="shared" si="598"/>
        <v>High Balance</v>
      </c>
      <c r="P9568" t="str">
        <f t="shared" si="599"/>
        <v>Mid-term</v>
      </c>
    </row>
    <row r="9569" spans="1:16" x14ac:dyDescent="0.25">
      <c r="A9569">
        <v>2025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  <c r="M9569" t="str">
        <f t="shared" si="596"/>
        <v>&lt;30</v>
      </c>
      <c r="N9569" t="str">
        <f t="shared" si="597"/>
        <v>High</v>
      </c>
      <c r="O9569" t="str">
        <f t="shared" si="598"/>
        <v>Zero Balance</v>
      </c>
      <c r="P9569" t="str">
        <f t="shared" si="599"/>
        <v>Mid-term</v>
      </c>
    </row>
    <row r="9570" spans="1:16" x14ac:dyDescent="0.25">
      <c r="A9570">
        <v>2025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  <c r="M9570" t="str">
        <f t="shared" si="596"/>
        <v>30-45</v>
      </c>
      <c r="N9570" t="str">
        <f t="shared" si="597"/>
        <v>Medium</v>
      </c>
      <c r="O9570" t="str">
        <f t="shared" si="598"/>
        <v>Zero Balance</v>
      </c>
      <c r="P9570" t="str">
        <f t="shared" si="599"/>
        <v>New</v>
      </c>
    </row>
    <row r="9571" spans="1:16" x14ac:dyDescent="0.25">
      <c r="A9571">
        <v>2025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  <c r="M9571" t="str">
        <f t="shared" si="596"/>
        <v>30-45</v>
      </c>
      <c r="N9571" t="str">
        <f t="shared" si="597"/>
        <v>High</v>
      </c>
      <c r="O9571" t="str">
        <f t="shared" si="598"/>
        <v>Zero Balance</v>
      </c>
      <c r="P9571" t="str">
        <f t="shared" si="599"/>
        <v>Long-term</v>
      </c>
    </row>
    <row r="9572" spans="1:16" x14ac:dyDescent="0.25">
      <c r="A9572">
        <v>2025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  <c r="M9572" t="str">
        <f t="shared" si="596"/>
        <v>30-45</v>
      </c>
      <c r="N9572" t="str">
        <f t="shared" si="597"/>
        <v>Medium</v>
      </c>
      <c r="O9572" t="str">
        <f t="shared" si="598"/>
        <v>High Balance</v>
      </c>
      <c r="P9572" t="str">
        <f t="shared" si="599"/>
        <v>Long-term</v>
      </c>
    </row>
    <row r="9573" spans="1:16" x14ac:dyDescent="0.25">
      <c r="A9573">
        <v>2025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  <c r="M9573" t="str">
        <f t="shared" si="596"/>
        <v>30-45</v>
      </c>
      <c r="N9573" t="str">
        <f t="shared" si="597"/>
        <v>High</v>
      </c>
      <c r="O9573" t="str">
        <f t="shared" si="598"/>
        <v>Zero Balance</v>
      </c>
      <c r="P9573" t="str">
        <f t="shared" si="599"/>
        <v>Long-term</v>
      </c>
    </row>
    <row r="9574" spans="1:16" x14ac:dyDescent="0.25">
      <c r="A9574">
        <v>2025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  <c r="M9574" t="str">
        <f t="shared" si="596"/>
        <v>&lt;30</v>
      </c>
      <c r="N9574" t="str">
        <f t="shared" si="597"/>
        <v>Medium</v>
      </c>
      <c r="O9574" t="str">
        <f t="shared" si="598"/>
        <v>Zero Balance</v>
      </c>
      <c r="P9574" t="str">
        <f t="shared" si="599"/>
        <v>Mid-term</v>
      </c>
    </row>
    <row r="9575" spans="1:16" x14ac:dyDescent="0.25">
      <c r="A9575">
        <v>2025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  <c r="M9575" t="str">
        <f t="shared" si="596"/>
        <v>30-45</v>
      </c>
      <c r="N9575" t="str">
        <f t="shared" si="597"/>
        <v>Medium</v>
      </c>
      <c r="O9575" t="str">
        <f t="shared" si="598"/>
        <v>High Balance</v>
      </c>
      <c r="P9575" t="str">
        <f t="shared" si="599"/>
        <v>Mid-term</v>
      </c>
    </row>
    <row r="9576" spans="1:16" x14ac:dyDescent="0.25">
      <c r="A9576">
        <v>2025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  <c r="M9576" t="str">
        <f t="shared" si="596"/>
        <v>30-45</v>
      </c>
      <c r="N9576" t="str">
        <f t="shared" si="597"/>
        <v>Medium</v>
      </c>
      <c r="O9576" t="str">
        <f t="shared" si="598"/>
        <v>Zero Balance</v>
      </c>
      <c r="P9576" t="str">
        <f t="shared" si="599"/>
        <v>New</v>
      </c>
    </row>
    <row r="9577" spans="1:16" x14ac:dyDescent="0.25">
      <c r="A9577">
        <v>2025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  <c r="M9577" t="str">
        <f t="shared" si="596"/>
        <v>30-45</v>
      </c>
      <c r="N9577" t="str">
        <f t="shared" si="597"/>
        <v>Low</v>
      </c>
      <c r="O9577" t="str">
        <f t="shared" si="598"/>
        <v>Zero Balance</v>
      </c>
      <c r="P9577" t="str">
        <f t="shared" si="599"/>
        <v>Long-term</v>
      </c>
    </row>
    <row r="9578" spans="1:16" x14ac:dyDescent="0.25">
      <c r="A9578">
        <v>2025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  <c r="M9578" t="str">
        <f t="shared" si="596"/>
        <v>30-45</v>
      </c>
      <c r="N9578" t="str">
        <f t="shared" si="597"/>
        <v>Medium</v>
      </c>
      <c r="O9578" t="str">
        <f t="shared" si="598"/>
        <v>High Balance</v>
      </c>
      <c r="P9578" t="str">
        <f t="shared" si="599"/>
        <v>New</v>
      </c>
    </row>
    <row r="9579" spans="1:16" x14ac:dyDescent="0.25">
      <c r="A9579">
        <v>2025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  <c r="M9579" t="str">
        <f t="shared" si="596"/>
        <v>46-60</v>
      </c>
      <c r="N9579" t="str">
        <f t="shared" si="597"/>
        <v>High</v>
      </c>
      <c r="O9579" t="str">
        <f t="shared" si="598"/>
        <v>High Balance</v>
      </c>
      <c r="P9579" t="str">
        <f t="shared" si="599"/>
        <v>New</v>
      </c>
    </row>
    <row r="9580" spans="1:16" x14ac:dyDescent="0.25">
      <c r="A9580">
        <v>2025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  <c r="M9580" t="str">
        <f t="shared" si="596"/>
        <v>30-45</v>
      </c>
      <c r="N9580" t="str">
        <f t="shared" si="597"/>
        <v>Medium</v>
      </c>
      <c r="O9580" t="str">
        <f t="shared" si="598"/>
        <v>High Balance</v>
      </c>
      <c r="P9580" t="str">
        <f t="shared" si="599"/>
        <v>New</v>
      </c>
    </row>
    <row r="9581" spans="1:16" x14ac:dyDescent="0.25">
      <c r="A9581">
        <v>2025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  <c r="M9581" t="str">
        <f t="shared" si="596"/>
        <v>30-45</v>
      </c>
      <c r="N9581" t="str">
        <f t="shared" si="597"/>
        <v>High</v>
      </c>
      <c r="O9581" t="str">
        <f t="shared" si="598"/>
        <v>High Balance</v>
      </c>
      <c r="P9581" t="str">
        <f t="shared" si="599"/>
        <v>New</v>
      </c>
    </row>
    <row r="9582" spans="1:16" x14ac:dyDescent="0.25">
      <c r="A9582">
        <v>2025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  <c r="M9582" t="str">
        <f t="shared" si="596"/>
        <v>30-45</v>
      </c>
      <c r="N9582" t="str">
        <f t="shared" si="597"/>
        <v>High</v>
      </c>
      <c r="O9582" t="str">
        <f t="shared" si="598"/>
        <v>High Balance</v>
      </c>
      <c r="P9582" t="str">
        <f t="shared" si="599"/>
        <v>Long-term</v>
      </c>
    </row>
    <row r="9583" spans="1:16" x14ac:dyDescent="0.25">
      <c r="A9583">
        <v>2025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  <c r="M9583" t="str">
        <f t="shared" si="596"/>
        <v>&lt;30</v>
      </c>
      <c r="N9583" t="str">
        <f t="shared" si="597"/>
        <v>High</v>
      </c>
      <c r="O9583" t="str">
        <f t="shared" si="598"/>
        <v>Zero Balance</v>
      </c>
      <c r="P9583" t="str">
        <f t="shared" si="599"/>
        <v>Long-term</v>
      </c>
    </row>
    <row r="9584" spans="1:16" x14ac:dyDescent="0.25">
      <c r="A9584">
        <v>2025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  <c r="M9584" t="str">
        <f t="shared" si="596"/>
        <v>60+</v>
      </c>
      <c r="N9584" t="str">
        <f t="shared" si="597"/>
        <v>Medium</v>
      </c>
      <c r="O9584" t="str">
        <f t="shared" si="598"/>
        <v>High Balance</v>
      </c>
      <c r="P9584" t="str">
        <f t="shared" si="599"/>
        <v>Mid-term</v>
      </c>
    </row>
    <row r="9585" spans="1:16" x14ac:dyDescent="0.25">
      <c r="A9585">
        <v>2025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  <c r="M9585" t="str">
        <f t="shared" si="596"/>
        <v>30-45</v>
      </c>
      <c r="N9585" t="str">
        <f t="shared" si="597"/>
        <v>Medium</v>
      </c>
      <c r="O9585" t="str">
        <f t="shared" si="598"/>
        <v>Low Balance</v>
      </c>
      <c r="P9585" t="str">
        <f t="shared" si="599"/>
        <v>Long-term</v>
      </c>
    </row>
    <row r="9586" spans="1:16" x14ac:dyDescent="0.25">
      <c r="A9586">
        <v>2025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  <c r="M9586" t="str">
        <f t="shared" si="596"/>
        <v>30-45</v>
      </c>
      <c r="N9586" t="str">
        <f t="shared" si="597"/>
        <v>Medium</v>
      </c>
      <c r="O9586" t="str">
        <f t="shared" si="598"/>
        <v>High Balance</v>
      </c>
      <c r="P9586" t="str">
        <f t="shared" si="599"/>
        <v>New</v>
      </c>
    </row>
    <row r="9587" spans="1:16" x14ac:dyDescent="0.25">
      <c r="A9587">
        <v>2025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  <c r="M9587" t="str">
        <f t="shared" si="596"/>
        <v>30-45</v>
      </c>
      <c r="N9587" t="str">
        <f t="shared" si="597"/>
        <v>Medium</v>
      </c>
      <c r="O9587" t="str">
        <f t="shared" si="598"/>
        <v>Low Balance</v>
      </c>
      <c r="P9587" t="str">
        <f t="shared" si="599"/>
        <v>Mid-term</v>
      </c>
    </row>
    <row r="9588" spans="1:16" x14ac:dyDescent="0.25">
      <c r="A9588">
        <v>2025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  <c r="M9588" t="str">
        <f t="shared" si="596"/>
        <v>&lt;30</v>
      </c>
      <c r="N9588" t="str">
        <f t="shared" si="597"/>
        <v>Medium</v>
      </c>
      <c r="O9588" t="str">
        <f t="shared" si="598"/>
        <v>Zero Balance</v>
      </c>
      <c r="P9588" t="str">
        <f t="shared" si="599"/>
        <v>Mid-term</v>
      </c>
    </row>
    <row r="9589" spans="1:16" x14ac:dyDescent="0.25">
      <c r="A9589">
        <v>2025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  <c r="M9589" t="str">
        <f t="shared" si="596"/>
        <v>60+</v>
      </c>
      <c r="N9589" t="str">
        <f t="shared" si="597"/>
        <v>High</v>
      </c>
      <c r="O9589" t="str">
        <f t="shared" si="598"/>
        <v>Low Balance</v>
      </c>
      <c r="P9589" t="str">
        <f t="shared" si="599"/>
        <v>Long-term</v>
      </c>
    </row>
    <row r="9590" spans="1:16" x14ac:dyDescent="0.25">
      <c r="A9590">
        <v>2025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  <c r="M9590" t="str">
        <f t="shared" si="596"/>
        <v>30-45</v>
      </c>
      <c r="N9590" t="str">
        <f t="shared" si="597"/>
        <v>Medium</v>
      </c>
      <c r="O9590" t="str">
        <f t="shared" si="598"/>
        <v>High Balance</v>
      </c>
      <c r="P9590" t="str">
        <f t="shared" si="599"/>
        <v>New</v>
      </c>
    </row>
    <row r="9591" spans="1:16" x14ac:dyDescent="0.25">
      <c r="A9591">
        <v>2025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  <c r="M9591" t="str">
        <f t="shared" si="596"/>
        <v>60+</v>
      </c>
      <c r="N9591" t="str">
        <f t="shared" si="597"/>
        <v>Medium</v>
      </c>
      <c r="O9591" t="str">
        <f t="shared" si="598"/>
        <v>Low Balance</v>
      </c>
      <c r="P9591" t="str">
        <f t="shared" si="599"/>
        <v>New</v>
      </c>
    </row>
    <row r="9592" spans="1:16" x14ac:dyDescent="0.25">
      <c r="A9592">
        <v>2025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  <c r="M9592" t="str">
        <f t="shared" si="596"/>
        <v>30-45</v>
      </c>
      <c r="N9592" t="str">
        <f t="shared" si="597"/>
        <v>High</v>
      </c>
      <c r="O9592" t="str">
        <f t="shared" si="598"/>
        <v>High Balance</v>
      </c>
      <c r="P9592" t="str">
        <f t="shared" si="599"/>
        <v>Mid-term</v>
      </c>
    </row>
    <row r="9593" spans="1:16" x14ac:dyDescent="0.25">
      <c r="A9593">
        <v>2025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  <c r="M9593" t="str">
        <f t="shared" si="596"/>
        <v>30-45</v>
      </c>
      <c r="N9593" t="str">
        <f t="shared" si="597"/>
        <v>High</v>
      </c>
      <c r="O9593" t="str">
        <f t="shared" si="598"/>
        <v>Low Balance</v>
      </c>
      <c r="P9593" t="str">
        <f t="shared" si="599"/>
        <v>Long-term</v>
      </c>
    </row>
    <row r="9594" spans="1:16" x14ac:dyDescent="0.25">
      <c r="A9594">
        <v>2025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  <c r="M9594" t="str">
        <f t="shared" si="596"/>
        <v>&lt;30</v>
      </c>
      <c r="N9594" t="str">
        <f t="shared" si="597"/>
        <v>Medium</v>
      </c>
      <c r="O9594" t="str">
        <f t="shared" si="598"/>
        <v>High Balance</v>
      </c>
      <c r="P9594" t="str">
        <f t="shared" si="599"/>
        <v>New</v>
      </c>
    </row>
    <row r="9595" spans="1:16" x14ac:dyDescent="0.25">
      <c r="A9595">
        <v>2025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  <c r="M9595" t="str">
        <f t="shared" si="596"/>
        <v>60+</v>
      </c>
      <c r="N9595" t="str">
        <f t="shared" si="597"/>
        <v>High</v>
      </c>
      <c r="O9595" t="str">
        <f t="shared" si="598"/>
        <v>High Balance</v>
      </c>
      <c r="P9595" t="str">
        <f t="shared" si="599"/>
        <v>New</v>
      </c>
    </row>
    <row r="9596" spans="1:16" x14ac:dyDescent="0.25">
      <c r="A9596">
        <v>2025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  <c r="M9596" t="str">
        <f t="shared" si="596"/>
        <v>46-60</v>
      </c>
      <c r="N9596" t="str">
        <f t="shared" si="597"/>
        <v>High</v>
      </c>
      <c r="O9596" t="str">
        <f t="shared" si="598"/>
        <v>Zero Balance</v>
      </c>
      <c r="P9596" t="str">
        <f t="shared" si="599"/>
        <v>Mid-term</v>
      </c>
    </row>
    <row r="9597" spans="1:16" x14ac:dyDescent="0.25">
      <c r="A9597">
        <v>2025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  <c r="M9597" t="str">
        <f t="shared" si="596"/>
        <v>60+</v>
      </c>
      <c r="N9597" t="str">
        <f t="shared" si="597"/>
        <v>Medium</v>
      </c>
      <c r="O9597" t="str">
        <f t="shared" si="598"/>
        <v>Zero Balance</v>
      </c>
      <c r="P9597" t="str">
        <f t="shared" si="599"/>
        <v>Mid-term</v>
      </c>
    </row>
    <row r="9598" spans="1:16" x14ac:dyDescent="0.25">
      <c r="A9598">
        <v>2025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  <c r="M9598" t="str">
        <f t="shared" si="596"/>
        <v>30-45</v>
      </c>
      <c r="N9598" t="str">
        <f t="shared" si="597"/>
        <v>Medium</v>
      </c>
      <c r="O9598" t="str">
        <f t="shared" si="598"/>
        <v>High Balance</v>
      </c>
      <c r="P9598" t="str">
        <f t="shared" si="599"/>
        <v>Mid-term</v>
      </c>
    </row>
    <row r="9599" spans="1:16" x14ac:dyDescent="0.25">
      <c r="A9599">
        <v>2025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  <c r="M9599" t="str">
        <f t="shared" si="596"/>
        <v>&lt;30</v>
      </c>
      <c r="N9599" t="str">
        <f t="shared" si="597"/>
        <v>Medium</v>
      </c>
      <c r="O9599" t="str">
        <f t="shared" si="598"/>
        <v>Zero Balance</v>
      </c>
      <c r="P9599" t="str">
        <f t="shared" si="599"/>
        <v>Long-term</v>
      </c>
    </row>
    <row r="9600" spans="1:16" x14ac:dyDescent="0.25">
      <c r="A9600">
        <v>2025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  <c r="M9600" t="str">
        <f t="shared" si="596"/>
        <v>30-45</v>
      </c>
      <c r="N9600" t="str">
        <f t="shared" si="597"/>
        <v>Medium</v>
      </c>
      <c r="O9600" t="str">
        <f t="shared" si="598"/>
        <v>Low Balance</v>
      </c>
      <c r="P9600" t="str">
        <f t="shared" si="599"/>
        <v>New</v>
      </c>
    </row>
    <row r="9601" spans="1:16" x14ac:dyDescent="0.25">
      <c r="A9601">
        <v>2025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  <c r="M9601" t="str">
        <f t="shared" si="596"/>
        <v>30-45</v>
      </c>
      <c r="N9601" t="str">
        <f t="shared" si="597"/>
        <v>High</v>
      </c>
      <c r="O9601" t="str">
        <f t="shared" si="598"/>
        <v>Low Balance</v>
      </c>
      <c r="P9601" t="str">
        <f t="shared" si="599"/>
        <v>Mid-term</v>
      </c>
    </row>
    <row r="9602" spans="1:16" x14ac:dyDescent="0.25">
      <c r="A9602">
        <v>2025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  <c r="M9602" t="str">
        <f t="shared" si="596"/>
        <v>46-60</v>
      </c>
      <c r="N9602" t="str">
        <f t="shared" si="597"/>
        <v>Medium</v>
      </c>
      <c r="O9602" t="str">
        <f t="shared" si="598"/>
        <v>High Balance</v>
      </c>
      <c r="P9602" t="str">
        <f t="shared" si="599"/>
        <v>Mid-term</v>
      </c>
    </row>
    <row r="9603" spans="1:16" x14ac:dyDescent="0.25">
      <c r="A9603">
        <v>2025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  <c r="M9603" t="str">
        <f t="shared" ref="M9603:M9666" si="600">IF(E9603&lt;30,"&lt;30",IF(E9603&lt;=45,"30-45",IF(E9603&lt;=60,"46-60","60+")))</f>
        <v>30-45</v>
      </c>
      <c r="N9603" t="str">
        <f t="shared" ref="N9603:N9666" si="601">IF(B9603&lt;500,"Low",IF(B9603&lt;700,"Medium","High"))</f>
        <v>Medium</v>
      </c>
      <c r="O9603" t="str">
        <f t="shared" ref="O9603:O9666" si="602">IF(G9603=0,"Zero Balance",IF(G9603&lt;100000,"Low Balance","High Balance"))</f>
        <v>Low Balance</v>
      </c>
      <c r="P9603" t="str">
        <f t="shared" ref="P9603:P9666" si="603">IF(F9603&lt;=3,"New",IF(F9603&lt;=7,"Mid-term","Long-term"))</f>
        <v>Mid-term</v>
      </c>
    </row>
    <row r="9604" spans="1:16" x14ac:dyDescent="0.25">
      <c r="A9604">
        <v>2025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  <c r="M9604" t="str">
        <f t="shared" si="600"/>
        <v>46-60</v>
      </c>
      <c r="N9604" t="str">
        <f t="shared" si="601"/>
        <v>Medium</v>
      </c>
      <c r="O9604" t="str">
        <f t="shared" si="602"/>
        <v>Low Balance</v>
      </c>
      <c r="P9604" t="str">
        <f t="shared" si="603"/>
        <v>New</v>
      </c>
    </row>
    <row r="9605" spans="1:16" x14ac:dyDescent="0.25">
      <c r="A9605">
        <v>2025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  <c r="M9605" t="str">
        <f t="shared" si="600"/>
        <v>30-45</v>
      </c>
      <c r="N9605" t="str">
        <f t="shared" si="601"/>
        <v>Medium</v>
      </c>
      <c r="O9605" t="str">
        <f t="shared" si="602"/>
        <v>Zero Balance</v>
      </c>
      <c r="P9605" t="str">
        <f t="shared" si="603"/>
        <v>Mid-term</v>
      </c>
    </row>
    <row r="9606" spans="1:16" x14ac:dyDescent="0.25">
      <c r="A9606">
        <v>2025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  <c r="M9606" t="str">
        <f t="shared" si="600"/>
        <v>30-45</v>
      </c>
      <c r="N9606" t="str">
        <f t="shared" si="601"/>
        <v>High</v>
      </c>
      <c r="O9606" t="str">
        <f t="shared" si="602"/>
        <v>High Balance</v>
      </c>
      <c r="P9606" t="str">
        <f t="shared" si="603"/>
        <v>New</v>
      </c>
    </row>
    <row r="9607" spans="1:16" x14ac:dyDescent="0.25">
      <c r="A9607">
        <v>2025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  <c r="M9607" t="str">
        <f t="shared" si="600"/>
        <v>&lt;30</v>
      </c>
      <c r="N9607" t="str">
        <f t="shared" si="601"/>
        <v>High</v>
      </c>
      <c r="O9607" t="str">
        <f t="shared" si="602"/>
        <v>Zero Balance</v>
      </c>
      <c r="P9607" t="str">
        <f t="shared" si="603"/>
        <v>Long-term</v>
      </c>
    </row>
    <row r="9608" spans="1:16" x14ac:dyDescent="0.25">
      <c r="A9608">
        <v>2025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  <c r="M9608" t="str">
        <f t="shared" si="600"/>
        <v>30-45</v>
      </c>
      <c r="N9608" t="str">
        <f t="shared" si="601"/>
        <v>Medium</v>
      </c>
      <c r="O9608" t="str">
        <f t="shared" si="602"/>
        <v>High Balance</v>
      </c>
      <c r="P9608" t="str">
        <f t="shared" si="603"/>
        <v>Long-term</v>
      </c>
    </row>
    <row r="9609" spans="1:16" x14ac:dyDescent="0.25">
      <c r="A9609">
        <v>2025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  <c r="M9609" t="str">
        <f t="shared" si="600"/>
        <v>&lt;30</v>
      </c>
      <c r="N9609" t="str">
        <f t="shared" si="601"/>
        <v>Medium</v>
      </c>
      <c r="O9609" t="str">
        <f t="shared" si="602"/>
        <v>Zero Balance</v>
      </c>
      <c r="P9609" t="str">
        <f t="shared" si="603"/>
        <v>Mid-term</v>
      </c>
    </row>
    <row r="9610" spans="1:16" x14ac:dyDescent="0.25">
      <c r="A9610">
        <v>2025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  <c r="M9610" t="str">
        <f t="shared" si="600"/>
        <v>30-45</v>
      </c>
      <c r="N9610" t="str">
        <f t="shared" si="601"/>
        <v>High</v>
      </c>
      <c r="O9610" t="str">
        <f t="shared" si="602"/>
        <v>Zero Balance</v>
      </c>
      <c r="P9610" t="str">
        <f t="shared" si="603"/>
        <v>Long-term</v>
      </c>
    </row>
    <row r="9611" spans="1:16" x14ac:dyDescent="0.25">
      <c r="A9611">
        <v>2025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  <c r="M9611" t="str">
        <f t="shared" si="600"/>
        <v>30-45</v>
      </c>
      <c r="N9611" t="str">
        <f t="shared" si="601"/>
        <v>High</v>
      </c>
      <c r="O9611" t="str">
        <f t="shared" si="602"/>
        <v>Zero Balance</v>
      </c>
      <c r="P9611" t="str">
        <f t="shared" si="603"/>
        <v>New</v>
      </c>
    </row>
    <row r="9612" spans="1:16" x14ac:dyDescent="0.25">
      <c r="A9612">
        <v>2025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  <c r="M9612" t="str">
        <f t="shared" si="600"/>
        <v>30-45</v>
      </c>
      <c r="N9612" t="str">
        <f t="shared" si="601"/>
        <v>Low</v>
      </c>
      <c r="O9612" t="str">
        <f t="shared" si="602"/>
        <v>Zero Balance</v>
      </c>
      <c r="P9612" t="str">
        <f t="shared" si="603"/>
        <v>New</v>
      </c>
    </row>
    <row r="9613" spans="1:16" x14ac:dyDescent="0.25">
      <c r="A9613">
        <v>2025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  <c r="M9613" t="str">
        <f t="shared" si="600"/>
        <v>30-45</v>
      </c>
      <c r="N9613" t="str">
        <f t="shared" si="601"/>
        <v>Medium</v>
      </c>
      <c r="O9613" t="str">
        <f t="shared" si="602"/>
        <v>High Balance</v>
      </c>
      <c r="P9613" t="str">
        <f t="shared" si="603"/>
        <v>New</v>
      </c>
    </row>
    <row r="9614" spans="1:16" x14ac:dyDescent="0.25">
      <c r="A9614">
        <v>2025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  <c r="M9614" t="str">
        <f t="shared" si="600"/>
        <v>30-45</v>
      </c>
      <c r="N9614" t="str">
        <f t="shared" si="601"/>
        <v>High</v>
      </c>
      <c r="O9614" t="str">
        <f t="shared" si="602"/>
        <v>Zero Balance</v>
      </c>
      <c r="P9614" t="str">
        <f t="shared" si="603"/>
        <v>New</v>
      </c>
    </row>
    <row r="9615" spans="1:16" x14ac:dyDescent="0.25">
      <c r="A9615">
        <v>2025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  <c r="M9615" t="str">
        <f t="shared" si="600"/>
        <v>30-45</v>
      </c>
      <c r="N9615" t="str">
        <f t="shared" si="601"/>
        <v>Medium</v>
      </c>
      <c r="O9615" t="str">
        <f t="shared" si="602"/>
        <v>Zero Balance</v>
      </c>
      <c r="P9615" t="str">
        <f t="shared" si="603"/>
        <v>New</v>
      </c>
    </row>
    <row r="9616" spans="1:16" x14ac:dyDescent="0.25">
      <c r="A9616">
        <v>2025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  <c r="M9616" t="str">
        <f t="shared" si="600"/>
        <v>30-45</v>
      </c>
      <c r="N9616" t="str">
        <f t="shared" si="601"/>
        <v>High</v>
      </c>
      <c r="O9616" t="str">
        <f t="shared" si="602"/>
        <v>Zero Balance</v>
      </c>
      <c r="P9616" t="str">
        <f t="shared" si="603"/>
        <v>Mid-term</v>
      </c>
    </row>
    <row r="9617" spans="1:16" x14ac:dyDescent="0.25">
      <c r="A9617">
        <v>2025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  <c r="M9617" t="str">
        <f t="shared" si="600"/>
        <v>46-60</v>
      </c>
      <c r="N9617" t="str">
        <f t="shared" si="601"/>
        <v>Medium</v>
      </c>
      <c r="O9617" t="str">
        <f t="shared" si="602"/>
        <v>Zero Balance</v>
      </c>
      <c r="P9617" t="str">
        <f t="shared" si="603"/>
        <v>New</v>
      </c>
    </row>
    <row r="9618" spans="1:16" x14ac:dyDescent="0.25">
      <c r="A9618">
        <v>2025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  <c r="M9618" t="str">
        <f t="shared" si="600"/>
        <v>30-45</v>
      </c>
      <c r="N9618" t="str">
        <f t="shared" si="601"/>
        <v>Medium</v>
      </c>
      <c r="O9618" t="str">
        <f t="shared" si="602"/>
        <v>Low Balance</v>
      </c>
      <c r="P9618" t="str">
        <f t="shared" si="603"/>
        <v>Long-term</v>
      </c>
    </row>
    <row r="9619" spans="1:16" x14ac:dyDescent="0.25">
      <c r="A9619">
        <v>2025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  <c r="M9619" t="str">
        <f t="shared" si="600"/>
        <v>30-45</v>
      </c>
      <c r="N9619" t="str">
        <f t="shared" si="601"/>
        <v>Medium</v>
      </c>
      <c r="O9619" t="str">
        <f t="shared" si="602"/>
        <v>Low Balance</v>
      </c>
      <c r="P9619" t="str">
        <f t="shared" si="603"/>
        <v>New</v>
      </c>
    </row>
    <row r="9620" spans="1:16" x14ac:dyDescent="0.25">
      <c r="A9620">
        <v>2025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  <c r="M9620" t="str">
        <f t="shared" si="600"/>
        <v>&lt;30</v>
      </c>
      <c r="N9620" t="str">
        <f t="shared" si="601"/>
        <v>Medium</v>
      </c>
      <c r="O9620" t="str">
        <f t="shared" si="602"/>
        <v>Low Balance</v>
      </c>
      <c r="P9620" t="str">
        <f t="shared" si="603"/>
        <v>New</v>
      </c>
    </row>
    <row r="9621" spans="1:16" x14ac:dyDescent="0.25">
      <c r="A9621">
        <v>2025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  <c r="M9621" t="str">
        <f t="shared" si="600"/>
        <v>30-45</v>
      </c>
      <c r="N9621" t="str">
        <f t="shared" si="601"/>
        <v>Medium</v>
      </c>
      <c r="O9621" t="str">
        <f t="shared" si="602"/>
        <v>Low Balance</v>
      </c>
      <c r="P9621" t="str">
        <f t="shared" si="603"/>
        <v>New</v>
      </c>
    </row>
    <row r="9622" spans="1:16" x14ac:dyDescent="0.25">
      <c r="A9622">
        <v>2025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  <c r="M9622" t="str">
        <f t="shared" si="600"/>
        <v>30-45</v>
      </c>
      <c r="N9622" t="str">
        <f t="shared" si="601"/>
        <v>Medium</v>
      </c>
      <c r="O9622" t="str">
        <f t="shared" si="602"/>
        <v>High Balance</v>
      </c>
      <c r="P9622" t="str">
        <f t="shared" si="603"/>
        <v>Mid-term</v>
      </c>
    </row>
    <row r="9623" spans="1:16" x14ac:dyDescent="0.25">
      <c r="A9623">
        <v>2025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  <c r="M9623" t="str">
        <f t="shared" si="600"/>
        <v>30-45</v>
      </c>
      <c r="N9623" t="str">
        <f t="shared" si="601"/>
        <v>High</v>
      </c>
      <c r="O9623" t="str">
        <f t="shared" si="602"/>
        <v>Low Balance</v>
      </c>
      <c r="P9623" t="str">
        <f t="shared" si="603"/>
        <v>Mid-term</v>
      </c>
    </row>
    <row r="9624" spans="1:16" x14ac:dyDescent="0.25">
      <c r="A9624">
        <v>2025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  <c r="M9624" t="str">
        <f t="shared" si="600"/>
        <v>30-45</v>
      </c>
      <c r="N9624" t="str">
        <f t="shared" si="601"/>
        <v>Medium</v>
      </c>
      <c r="O9624" t="str">
        <f t="shared" si="602"/>
        <v>High Balance</v>
      </c>
      <c r="P9624" t="str">
        <f t="shared" si="603"/>
        <v>Long-term</v>
      </c>
    </row>
    <row r="9625" spans="1:16" x14ac:dyDescent="0.25">
      <c r="A9625">
        <v>2025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  <c r="M9625" t="str">
        <f t="shared" si="600"/>
        <v>46-60</v>
      </c>
      <c r="N9625" t="str">
        <f t="shared" si="601"/>
        <v>Medium</v>
      </c>
      <c r="O9625" t="str">
        <f t="shared" si="602"/>
        <v>High Balance</v>
      </c>
      <c r="P9625" t="str">
        <f t="shared" si="603"/>
        <v>Long-term</v>
      </c>
    </row>
    <row r="9626" spans="1:16" x14ac:dyDescent="0.25">
      <c r="A9626">
        <v>2025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  <c r="M9626" t="str">
        <f t="shared" si="600"/>
        <v>30-45</v>
      </c>
      <c r="N9626" t="str">
        <f t="shared" si="601"/>
        <v>Low</v>
      </c>
      <c r="O9626" t="str">
        <f t="shared" si="602"/>
        <v>High Balance</v>
      </c>
      <c r="P9626" t="str">
        <f t="shared" si="603"/>
        <v>New</v>
      </c>
    </row>
    <row r="9627" spans="1:16" x14ac:dyDescent="0.25">
      <c r="A9627">
        <v>2025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  <c r="M9627" t="str">
        <f t="shared" si="600"/>
        <v>30-45</v>
      </c>
      <c r="N9627" t="str">
        <f t="shared" si="601"/>
        <v>Medium</v>
      </c>
      <c r="O9627" t="str">
        <f t="shared" si="602"/>
        <v>High Balance</v>
      </c>
      <c r="P9627" t="str">
        <f t="shared" si="603"/>
        <v>New</v>
      </c>
    </row>
    <row r="9628" spans="1:16" x14ac:dyDescent="0.25">
      <c r="A9628">
        <v>2025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  <c r="M9628" t="str">
        <f t="shared" si="600"/>
        <v>&lt;30</v>
      </c>
      <c r="N9628" t="str">
        <f t="shared" si="601"/>
        <v>High</v>
      </c>
      <c r="O9628" t="str">
        <f t="shared" si="602"/>
        <v>High Balance</v>
      </c>
      <c r="P9628" t="str">
        <f t="shared" si="603"/>
        <v>New</v>
      </c>
    </row>
    <row r="9629" spans="1:16" x14ac:dyDescent="0.25">
      <c r="A9629">
        <v>2025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  <c r="M9629" t="str">
        <f t="shared" si="600"/>
        <v>30-45</v>
      </c>
      <c r="N9629" t="str">
        <f t="shared" si="601"/>
        <v>Medium</v>
      </c>
      <c r="O9629" t="str">
        <f t="shared" si="602"/>
        <v>High Balance</v>
      </c>
      <c r="P9629" t="str">
        <f t="shared" si="603"/>
        <v>New</v>
      </c>
    </row>
    <row r="9630" spans="1:16" x14ac:dyDescent="0.25">
      <c r="A9630">
        <v>2025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  <c r="M9630" t="str">
        <f t="shared" si="600"/>
        <v>&lt;30</v>
      </c>
      <c r="N9630" t="str">
        <f t="shared" si="601"/>
        <v>Medium</v>
      </c>
      <c r="O9630" t="str">
        <f t="shared" si="602"/>
        <v>Zero Balance</v>
      </c>
      <c r="P9630" t="str">
        <f t="shared" si="603"/>
        <v>Long-term</v>
      </c>
    </row>
    <row r="9631" spans="1:16" x14ac:dyDescent="0.25">
      <c r="A9631">
        <v>2025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  <c r="M9631" t="str">
        <f t="shared" si="600"/>
        <v>30-45</v>
      </c>
      <c r="N9631" t="str">
        <f t="shared" si="601"/>
        <v>Low</v>
      </c>
      <c r="O9631" t="str">
        <f t="shared" si="602"/>
        <v>High Balance</v>
      </c>
      <c r="P9631" t="str">
        <f t="shared" si="603"/>
        <v>New</v>
      </c>
    </row>
    <row r="9632" spans="1:16" x14ac:dyDescent="0.25">
      <c r="A9632">
        <v>2025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  <c r="M9632" t="str">
        <f t="shared" si="600"/>
        <v>30-45</v>
      </c>
      <c r="N9632" t="str">
        <f t="shared" si="601"/>
        <v>High</v>
      </c>
      <c r="O9632" t="str">
        <f t="shared" si="602"/>
        <v>High Balance</v>
      </c>
      <c r="P9632" t="str">
        <f t="shared" si="603"/>
        <v>Long-term</v>
      </c>
    </row>
    <row r="9633" spans="1:16" x14ac:dyDescent="0.25">
      <c r="A9633">
        <v>2025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  <c r="M9633" t="str">
        <f t="shared" si="600"/>
        <v>30-45</v>
      </c>
      <c r="N9633" t="str">
        <f t="shared" si="601"/>
        <v>Medium</v>
      </c>
      <c r="O9633" t="str">
        <f t="shared" si="602"/>
        <v>Low Balance</v>
      </c>
      <c r="P9633" t="str">
        <f t="shared" si="603"/>
        <v>Mid-term</v>
      </c>
    </row>
    <row r="9634" spans="1:16" x14ac:dyDescent="0.25">
      <c r="A9634">
        <v>2025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  <c r="M9634" t="str">
        <f t="shared" si="600"/>
        <v>30-45</v>
      </c>
      <c r="N9634" t="str">
        <f t="shared" si="601"/>
        <v>High</v>
      </c>
      <c r="O9634" t="str">
        <f t="shared" si="602"/>
        <v>Low Balance</v>
      </c>
      <c r="P9634" t="str">
        <f t="shared" si="603"/>
        <v>Mid-term</v>
      </c>
    </row>
    <row r="9635" spans="1:16" x14ac:dyDescent="0.25">
      <c r="A9635">
        <v>2025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  <c r="M9635" t="str">
        <f t="shared" si="600"/>
        <v>30-45</v>
      </c>
      <c r="N9635" t="str">
        <f t="shared" si="601"/>
        <v>Medium</v>
      </c>
      <c r="O9635" t="str">
        <f t="shared" si="602"/>
        <v>High Balance</v>
      </c>
      <c r="P9635" t="str">
        <f t="shared" si="603"/>
        <v>Mid-term</v>
      </c>
    </row>
    <row r="9636" spans="1:16" x14ac:dyDescent="0.25">
      <c r="A9636">
        <v>2025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  <c r="M9636" t="str">
        <f t="shared" si="600"/>
        <v>&lt;30</v>
      </c>
      <c r="N9636" t="str">
        <f t="shared" si="601"/>
        <v>Medium</v>
      </c>
      <c r="O9636" t="str">
        <f t="shared" si="602"/>
        <v>Zero Balance</v>
      </c>
      <c r="P9636" t="str">
        <f t="shared" si="603"/>
        <v>Long-term</v>
      </c>
    </row>
    <row r="9637" spans="1:16" x14ac:dyDescent="0.25">
      <c r="A9637">
        <v>2025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  <c r="M9637" t="str">
        <f t="shared" si="600"/>
        <v>46-60</v>
      </c>
      <c r="N9637" t="str">
        <f t="shared" si="601"/>
        <v>Medium</v>
      </c>
      <c r="O9637" t="str">
        <f t="shared" si="602"/>
        <v>Zero Balance</v>
      </c>
      <c r="P9637" t="str">
        <f t="shared" si="603"/>
        <v>New</v>
      </c>
    </row>
    <row r="9638" spans="1:16" x14ac:dyDescent="0.25">
      <c r="A9638">
        <v>2025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  <c r="M9638" t="str">
        <f t="shared" si="600"/>
        <v>30-45</v>
      </c>
      <c r="N9638" t="str">
        <f t="shared" si="601"/>
        <v>Medium</v>
      </c>
      <c r="O9638" t="str">
        <f t="shared" si="602"/>
        <v>High Balance</v>
      </c>
      <c r="P9638" t="str">
        <f t="shared" si="603"/>
        <v>Mid-term</v>
      </c>
    </row>
    <row r="9639" spans="1:16" x14ac:dyDescent="0.25">
      <c r="A9639">
        <v>2025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  <c r="M9639" t="str">
        <f t="shared" si="600"/>
        <v>30-45</v>
      </c>
      <c r="N9639" t="str">
        <f t="shared" si="601"/>
        <v>High</v>
      </c>
      <c r="O9639" t="str">
        <f t="shared" si="602"/>
        <v>High Balance</v>
      </c>
      <c r="P9639" t="str">
        <f t="shared" si="603"/>
        <v>New</v>
      </c>
    </row>
    <row r="9640" spans="1:16" x14ac:dyDescent="0.25">
      <c r="A9640">
        <v>2025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  <c r="M9640" t="str">
        <f t="shared" si="600"/>
        <v>46-60</v>
      </c>
      <c r="N9640" t="str">
        <f t="shared" si="601"/>
        <v>High</v>
      </c>
      <c r="O9640" t="str">
        <f t="shared" si="602"/>
        <v>High Balance</v>
      </c>
      <c r="P9640" t="str">
        <f t="shared" si="603"/>
        <v>New</v>
      </c>
    </row>
    <row r="9641" spans="1:16" x14ac:dyDescent="0.25">
      <c r="A9641">
        <v>2025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  <c r="M9641" t="str">
        <f t="shared" si="600"/>
        <v>30-45</v>
      </c>
      <c r="N9641" t="str">
        <f t="shared" si="601"/>
        <v>High</v>
      </c>
      <c r="O9641" t="str">
        <f t="shared" si="602"/>
        <v>High Balance</v>
      </c>
      <c r="P9641" t="str">
        <f t="shared" si="603"/>
        <v>Mid-term</v>
      </c>
    </row>
    <row r="9642" spans="1:16" x14ac:dyDescent="0.25">
      <c r="A9642">
        <v>2025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  <c r="M9642" t="str">
        <f t="shared" si="600"/>
        <v>30-45</v>
      </c>
      <c r="N9642" t="str">
        <f t="shared" si="601"/>
        <v>High</v>
      </c>
      <c r="O9642" t="str">
        <f t="shared" si="602"/>
        <v>Zero Balance</v>
      </c>
      <c r="P9642" t="str">
        <f t="shared" si="603"/>
        <v>New</v>
      </c>
    </row>
    <row r="9643" spans="1:16" x14ac:dyDescent="0.25">
      <c r="A9643">
        <v>2025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  <c r="M9643" t="str">
        <f t="shared" si="600"/>
        <v>30-45</v>
      </c>
      <c r="N9643" t="str">
        <f t="shared" si="601"/>
        <v>Medium</v>
      </c>
      <c r="O9643" t="str">
        <f t="shared" si="602"/>
        <v>Zero Balance</v>
      </c>
      <c r="P9643" t="str">
        <f t="shared" si="603"/>
        <v>Long-term</v>
      </c>
    </row>
    <row r="9644" spans="1:16" x14ac:dyDescent="0.25">
      <c r="A9644">
        <v>2025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  <c r="M9644" t="str">
        <f t="shared" si="600"/>
        <v>30-45</v>
      </c>
      <c r="N9644" t="str">
        <f t="shared" si="601"/>
        <v>High</v>
      </c>
      <c r="O9644" t="str">
        <f t="shared" si="602"/>
        <v>High Balance</v>
      </c>
      <c r="P9644" t="str">
        <f t="shared" si="603"/>
        <v>Mid-term</v>
      </c>
    </row>
    <row r="9645" spans="1:16" x14ac:dyDescent="0.25">
      <c r="A9645">
        <v>2025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  <c r="M9645" t="str">
        <f t="shared" si="600"/>
        <v>30-45</v>
      </c>
      <c r="N9645" t="str">
        <f t="shared" si="601"/>
        <v>Medium</v>
      </c>
      <c r="O9645" t="str">
        <f t="shared" si="602"/>
        <v>Zero Balance</v>
      </c>
      <c r="P9645" t="str">
        <f t="shared" si="603"/>
        <v>New</v>
      </c>
    </row>
    <row r="9646" spans="1:16" x14ac:dyDescent="0.25">
      <c r="A9646">
        <v>2025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  <c r="M9646" t="str">
        <f t="shared" si="600"/>
        <v>30-45</v>
      </c>
      <c r="N9646" t="str">
        <f t="shared" si="601"/>
        <v>Low</v>
      </c>
      <c r="O9646" t="str">
        <f t="shared" si="602"/>
        <v>Zero Balance</v>
      </c>
      <c r="P9646" t="str">
        <f t="shared" si="603"/>
        <v>Long-term</v>
      </c>
    </row>
    <row r="9647" spans="1:16" x14ac:dyDescent="0.25">
      <c r="A9647">
        <v>2025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  <c r="M9647" t="str">
        <f t="shared" si="600"/>
        <v>30-45</v>
      </c>
      <c r="N9647" t="str">
        <f t="shared" si="601"/>
        <v>Medium</v>
      </c>
      <c r="O9647" t="str">
        <f t="shared" si="602"/>
        <v>High Balance</v>
      </c>
      <c r="P9647" t="str">
        <f t="shared" si="603"/>
        <v>Mid-term</v>
      </c>
    </row>
    <row r="9648" spans="1:16" x14ac:dyDescent="0.25">
      <c r="A9648">
        <v>2025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  <c r="M9648" t="str">
        <f t="shared" si="600"/>
        <v>60+</v>
      </c>
      <c r="N9648" t="str">
        <f t="shared" si="601"/>
        <v>High</v>
      </c>
      <c r="O9648" t="str">
        <f t="shared" si="602"/>
        <v>Low Balance</v>
      </c>
      <c r="P9648" t="str">
        <f t="shared" si="603"/>
        <v>Long-term</v>
      </c>
    </row>
    <row r="9649" spans="1:16" x14ac:dyDescent="0.25">
      <c r="A9649">
        <v>2025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  <c r="M9649" t="str">
        <f t="shared" si="600"/>
        <v>30-45</v>
      </c>
      <c r="N9649" t="str">
        <f t="shared" si="601"/>
        <v>Medium</v>
      </c>
      <c r="O9649" t="str">
        <f t="shared" si="602"/>
        <v>Zero Balance</v>
      </c>
      <c r="P9649" t="str">
        <f t="shared" si="603"/>
        <v>Mid-term</v>
      </c>
    </row>
    <row r="9650" spans="1:16" x14ac:dyDescent="0.25">
      <c r="A9650">
        <v>2025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  <c r="M9650" t="str">
        <f t="shared" si="600"/>
        <v>30-45</v>
      </c>
      <c r="N9650" t="str">
        <f t="shared" si="601"/>
        <v>Medium</v>
      </c>
      <c r="O9650" t="str">
        <f t="shared" si="602"/>
        <v>Low Balance</v>
      </c>
      <c r="P9650" t="str">
        <f t="shared" si="603"/>
        <v>Mid-term</v>
      </c>
    </row>
    <row r="9651" spans="1:16" x14ac:dyDescent="0.25">
      <c r="A9651">
        <v>2025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  <c r="M9651" t="str">
        <f t="shared" si="600"/>
        <v>30-45</v>
      </c>
      <c r="N9651" t="str">
        <f t="shared" si="601"/>
        <v>High</v>
      </c>
      <c r="O9651" t="str">
        <f t="shared" si="602"/>
        <v>Zero Balance</v>
      </c>
      <c r="P9651" t="str">
        <f t="shared" si="603"/>
        <v>New</v>
      </c>
    </row>
    <row r="9652" spans="1:16" x14ac:dyDescent="0.25">
      <c r="A9652">
        <v>2025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  <c r="M9652" t="str">
        <f t="shared" si="600"/>
        <v>30-45</v>
      </c>
      <c r="N9652" t="str">
        <f t="shared" si="601"/>
        <v>High</v>
      </c>
      <c r="O9652" t="str">
        <f t="shared" si="602"/>
        <v>Zero Balance</v>
      </c>
      <c r="P9652" t="str">
        <f t="shared" si="603"/>
        <v>Mid-term</v>
      </c>
    </row>
    <row r="9653" spans="1:16" x14ac:dyDescent="0.25">
      <c r="A9653">
        <v>2025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  <c r="M9653" t="str">
        <f t="shared" si="600"/>
        <v>30-45</v>
      </c>
      <c r="N9653" t="str">
        <f t="shared" si="601"/>
        <v>Low</v>
      </c>
      <c r="O9653" t="str">
        <f t="shared" si="602"/>
        <v>High Balance</v>
      </c>
      <c r="P9653" t="str">
        <f t="shared" si="603"/>
        <v>New</v>
      </c>
    </row>
    <row r="9654" spans="1:16" x14ac:dyDescent="0.25">
      <c r="A9654">
        <v>2025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  <c r="M9654" t="str">
        <f t="shared" si="600"/>
        <v>30-45</v>
      </c>
      <c r="N9654" t="str">
        <f t="shared" si="601"/>
        <v>Low</v>
      </c>
      <c r="O9654" t="str">
        <f t="shared" si="602"/>
        <v>Zero Balance</v>
      </c>
      <c r="P9654" t="str">
        <f t="shared" si="603"/>
        <v>Mid-term</v>
      </c>
    </row>
    <row r="9655" spans="1:16" x14ac:dyDescent="0.25">
      <c r="A9655">
        <v>2025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  <c r="M9655" t="str">
        <f t="shared" si="600"/>
        <v>46-60</v>
      </c>
      <c r="N9655" t="str">
        <f t="shared" si="601"/>
        <v>Medium</v>
      </c>
      <c r="O9655" t="str">
        <f t="shared" si="602"/>
        <v>High Balance</v>
      </c>
      <c r="P9655" t="str">
        <f t="shared" si="603"/>
        <v>New</v>
      </c>
    </row>
    <row r="9656" spans="1:16" x14ac:dyDescent="0.25">
      <c r="A9656">
        <v>2025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  <c r="M9656" t="str">
        <f t="shared" si="600"/>
        <v>30-45</v>
      </c>
      <c r="N9656" t="str">
        <f t="shared" si="601"/>
        <v>High</v>
      </c>
      <c r="O9656" t="str">
        <f t="shared" si="602"/>
        <v>Zero Balance</v>
      </c>
      <c r="P9656" t="str">
        <f t="shared" si="603"/>
        <v>Mid-term</v>
      </c>
    </row>
    <row r="9657" spans="1:16" x14ac:dyDescent="0.25">
      <c r="A9657">
        <v>2025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  <c r="M9657" t="str">
        <f t="shared" si="600"/>
        <v>30-45</v>
      </c>
      <c r="N9657" t="str">
        <f t="shared" si="601"/>
        <v>Medium</v>
      </c>
      <c r="O9657" t="str">
        <f t="shared" si="602"/>
        <v>Low Balance</v>
      </c>
      <c r="P9657" t="str">
        <f t="shared" si="603"/>
        <v>Mid-term</v>
      </c>
    </row>
    <row r="9658" spans="1:16" x14ac:dyDescent="0.25">
      <c r="A9658">
        <v>2025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  <c r="M9658" t="str">
        <f t="shared" si="600"/>
        <v>30-45</v>
      </c>
      <c r="N9658" t="str">
        <f t="shared" si="601"/>
        <v>Medium</v>
      </c>
      <c r="O9658" t="str">
        <f t="shared" si="602"/>
        <v>Low Balance</v>
      </c>
      <c r="P9658" t="str">
        <f t="shared" si="603"/>
        <v>Mid-term</v>
      </c>
    </row>
    <row r="9659" spans="1:16" x14ac:dyDescent="0.25">
      <c r="A9659">
        <v>2025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  <c r="M9659" t="str">
        <f t="shared" si="600"/>
        <v>30-45</v>
      </c>
      <c r="N9659" t="str">
        <f t="shared" si="601"/>
        <v>Medium</v>
      </c>
      <c r="O9659" t="str">
        <f t="shared" si="602"/>
        <v>Low Balance</v>
      </c>
      <c r="P9659" t="str">
        <f t="shared" si="603"/>
        <v>Mid-term</v>
      </c>
    </row>
    <row r="9660" spans="1:16" x14ac:dyDescent="0.25">
      <c r="A9660">
        <v>2025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  <c r="M9660" t="str">
        <f t="shared" si="600"/>
        <v>30-45</v>
      </c>
      <c r="N9660" t="str">
        <f t="shared" si="601"/>
        <v>High</v>
      </c>
      <c r="O9660" t="str">
        <f t="shared" si="602"/>
        <v>Zero Balance</v>
      </c>
      <c r="P9660" t="str">
        <f t="shared" si="603"/>
        <v>Long-term</v>
      </c>
    </row>
    <row r="9661" spans="1:16" x14ac:dyDescent="0.25">
      <c r="A9661">
        <v>2025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  <c r="M9661" t="str">
        <f t="shared" si="600"/>
        <v>30-45</v>
      </c>
      <c r="N9661" t="str">
        <f t="shared" si="601"/>
        <v>High</v>
      </c>
      <c r="O9661" t="str">
        <f t="shared" si="602"/>
        <v>Low Balance</v>
      </c>
      <c r="P9661" t="str">
        <f t="shared" si="603"/>
        <v>New</v>
      </c>
    </row>
    <row r="9662" spans="1:16" x14ac:dyDescent="0.25">
      <c r="A9662">
        <v>2025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  <c r="M9662" t="str">
        <f t="shared" si="600"/>
        <v>30-45</v>
      </c>
      <c r="N9662" t="str">
        <f t="shared" si="601"/>
        <v>Medium</v>
      </c>
      <c r="O9662" t="str">
        <f t="shared" si="602"/>
        <v>Zero Balance</v>
      </c>
      <c r="P9662" t="str">
        <f t="shared" si="603"/>
        <v>Mid-term</v>
      </c>
    </row>
    <row r="9663" spans="1:16" x14ac:dyDescent="0.25">
      <c r="A9663">
        <v>2025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  <c r="M9663" t="str">
        <f t="shared" si="600"/>
        <v>30-45</v>
      </c>
      <c r="N9663" t="str">
        <f t="shared" si="601"/>
        <v>Medium</v>
      </c>
      <c r="O9663" t="str">
        <f t="shared" si="602"/>
        <v>Zero Balance</v>
      </c>
      <c r="P9663" t="str">
        <f t="shared" si="603"/>
        <v>Mid-term</v>
      </c>
    </row>
    <row r="9664" spans="1:16" x14ac:dyDescent="0.25">
      <c r="A9664">
        <v>2025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  <c r="M9664" t="str">
        <f t="shared" si="600"/>
        <v>30-45</v>
      </c>
      <c r="N9664" t="str">
        <f t="shared" si="601"/>
        <v>High</v>
      </c>
      <c r="O9664" t="str">
        <f t="shared" si="602"/>
        <v>Zero Balance</v>
      </c>
      <c r="P9664" t="str">
        <f t="shared" si="603"/>
        <v>New</v>
      </c>
    </row>
    <row r="9665" spans="1:16" x14ac:dyDescent="0.25">
      <c r="A9665">
        <v>2025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  <c r="M9665" t="str">
        <f t="shared" si="600"/>
        <v>30-45</v>
      </c>
      <c r="N9665" t="str">
        <f t="shared" si="601"/>
        <v>Medium</v>
      </c>
      <c r="O9665" t="str">
        <f t="shared" si="602"/>
        <v>Low Balance</v>
      </c>
      <c r="P9665" t="str">
        <f t="shared" si="603"/>
        <v>Long-term</v>
      </c>
    </row>
    <row r="9666" spans="1:16" x14ac:dyDescent="0.25">
      <c r="A9666">
        <v>2025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  <c r="M9666" t="str">
        <f t="shared" si="600"/>
        <v>30-45</v>
      </c>
      <c r="N9666" t="str">
        <f t="shared" si="601"/>
        <v>High</v>
      </c>
      <c r="O9666" t="str">
        <f t="shared" si="602"/>
        <v>Low Balance</v>
      </c>
      <c r="P9666" t="str">
        <f t="shared" si="603"/>
        <v>Mid-term</v>
      </c>
    </row>
    <row r="9667" spans="1:16" x14ac:dyDescent="0.25">
      <c r="A9667">
        <v>2025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  <c r="M9667" t="str">
        <f t="shared" ref="M9667:M9730" si="604">IF(E9667&lt;30,"&lt;30",IF(E9667&lt;=45,"30-45",IF(E9667&lt;=60,"46-60","60+")))</f>
        <v>30-45</v>
      </c>
      <c r="N9667" t="str">
        <f t="shared" ref="N9667:N9730" si="605">IF(B9667&lt;500,"Low",IF(B9667&lt;700,"Medium","High"))</f>
        <v>Medium</v>
      </c>
      <c r="O9667" t="str">
        <f t="shared" ref="O9667:O9730" si="606">IF(G9667=0,"Zero Balance",IF(G9667&lt;100000,"Low Balance","High Balance"))</f>
        <v>Zero Balance</v>
      </c>
      <c r="P9667" t="str">
        <f t="shared" ref="P9667:P9730" si="607">IF(F9667&lt;=3,"New",IF(F9667&lt;=7,"Mid-term","Long-term"))</f>
        <v>Mid-term</v>
      </c>
    </row>
    <row r="9668" spans="1:16" x14ac:dyDescent="0.25">
      <c r="A9668">
        <v>2025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  <c r="M9668" t="str">
        <f t="shared" si="604"/>
        <v>30-45</v>
      </c>
      <c r="N9668" t="str">
        <f t="shared" si="605"/>
        <v>High</v>
      </c>
      <c r="O9668" t="str">
        <f t="shared" si="606"/>
        <v>Zero Balance</v>
      </c>
      <c r="P9668" t="str">
        <f t="shared" si="607"/>
        <v>Mid-term</v>
      </c>
    </row>
    <row r="9669" spans="1:16" x14ac:dyDescent="0.25">
      <c r="A9669">
        <v>2025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  <c r="M9669" t="str">
        <f t="shared" si="604"/>
        <v>30-45</v>
      </c>
      <c r="N9669" t="str">
        <f t="shared" si="605"/>
        <v>Medium</v>
      </c>
      <c r="O9669" t="str">
        <f t="shared" si="606"/>
        <v>Zero Balance</v>
      </c>
      <c r="P9669" t="str">
        <f t="shared" si="607"/>
        <v>New</v>
      </c>
    </row>
    <row r="9670" spans="1:16" x14ac:dyDescent="0.25">
      <c r="A9670">
        <v>2025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  <c r="M9670" t="str">
        <f t="shared" si="604"/>
        <v>30-45</v>
      </c>
      <c r="N9670" t="str">
        <f t="shared" si="605"/>
        <v>High</v>
      </c>
      <c r="O9670" t="str">
        <f t="shared" si="606"/>
        <v>Zero Balance</v>
      </c>
      <c r="P9670" t="str">
        <f t="shared" si="607"/>
        <v>New</v>
      </c>
    </row>
    <row r="9671" spans="1:16" x14ac:dyDescent="0.25">
      <c r="A9671">
        <v>2025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  <c r="M9671" t="str">
        <f t="shared" si="604"/>
        <v>30-45</v>
      </c>
      <c r="N9671" t="str">
        <f t="shared" si="605"/>
        <v>Medium</v>
      </c>
      <c r="O9671" t="str">
        <f t="shared" si="606"/>
        <v>Zero Balance</v>
      </c>
      <c r="P9671" t="str">
        <f t="shared" si="607"/>
        <v>New</v>
      </c>
    </row>
    <row r="9672" spans="1:16" x14ac:dyDescent="0.25">
      <c r="A9672">
        <v>2025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  <c r="M9672" t="str">
        <f t="shared" si="604"/>
        <v>30-45</v>
      </c>
      <c r="N9672" t="str">
        <f t="shared" si="605"/>
        <v>High</v>
      </c>
      <c r="O9672" t="str">
        <f t="shared" si="606"/>
        <v>Zero Balance</v>
      </c>
      <c r="P9672" t="str">
        <f t="shared" si="607"/>
        <v>Mid-term</v>
      </c>
    </row>
    <row r="9673" spans="1:16" x14ac:dyDescent="0.25">
      <c r="A9673">
        <v>2025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  <c r="M9673" t="str">
        <f t="shared" si="604"/>
        <v>60+</v>
      </c>
      <c r="N9673" t="str">
        <f t="shared" si="605"/>
        <v>Medium</v>
      </c>
      <c r="O9673" t="str">
        <f t="shared" si="606"/>
        <v>Low Balance</v>
      </c>
      <c r="P9673" t="str">
        <f t="shared" si="607"/>
        <v>Mid-term</v>
      </c>
    </row>
    <row r="9674" spans="1:16" x14ac:dyDescent="0.25">
      <c r="A9674">
        <v>2025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  <c r="M9674" t="str">
        <f t="shared" si="604"/>
        <v>&lt;30</v>
      </c>
      <c r="N9674" t="str">
        <f t="shared" si="605"/>
        <v>Medium</v>
      </c>
      <c r="O9674" t="str">
        <f t="shared" si="606"/>
        <v>Low Balance</v>
      </c>
      <c r="P9674" t="str">
        <f t="shared" si="607"/>
        <v>Mid-term</v>
      </c>
    </row>
    <row r="9675" spans="1:16" x14ac:dyDescent="0.25">
      <c r="A9675">
        <v>2025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  <c r="M9675" t="str">
        <f t="shared" si="604"/>
        <v>60+</v>
      </c>
      <c r="N9675" t="str">
        <f t="shared" si="605"/>
        <v>Medium</v>
      </c>
      <c r="O9675" t="str">
        <f t="shared" si="606"/>
        <v>Zero Balance</v>
      </c>
      <c r="P9675" t="str">
        <f t="shared" si="607"/>
        <v>Long-term</v>
      </c>
    </row>
    <row r="9676" spans="1:16" x14ac:dyDescent="0.25">
      <c r="A9676">
        <v>2025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  <c r="M9676" t="str">
        <f t="shared" si="604"/>
        <v>30-45</v>
      </c>
      <c r="N9676" t="str">
        <f t="shared" si="605"/>
        <v>Medium</v>
      </c>
      <c r="O9676" t="str">
        <f t="shared" si="606"/>
        <v>Zero Balance</v>
      </c>
      <c r="P9676" t="str">
        <f t="shared" si="607"/>
        <v>Long-term</v>
      </c>
    </row>
    <row r="9677" spans="1:16" x14ac:dyDescent="0.25">
      <c r="A9677">
        <v>2025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  <c r="M9677" t="str">
        <f t="shared" si="604"/>
        <v>30-45</v>
      </c>
      <c r="N9677" t="str">
        <f t="shared" si="605"/>
        <v>High</v>
      </c>
      <c r="O9677" t="str">
        <f t="shared" si="606"/>
        <v>Low Balance</v>
      </c>
      <c r="P9677" t="str">
        <f t="shared" si="607"/>
        <v>New</v>
      </c>
    </row>
    <row r="9678" spans="1:16" x14ac:dyDescent="0.25">
      <c r="A9678">
        <v>2025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  <c r="M9678" t="str">
        <f t="shared" si="604"/>
        <v>30-45</v>
      </c>
      <c r="N9678" t="str">
        <f t="shared" si="605"/>
        <v>Medium</v>
      </c>
      <c r="O9678" t="str">
        <f t="shared" si="606"/>
        <v>Zero Balance</v>
      </c>
      <c r="P9678" t="str">
        <f t="shared" si="607"/>
        <v>New</v>
      </c>
    </row>
    <row r="9679" spans="1:16" x14ac:dyDescent="0.25">
      <c r="A9679">
        <v>2025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  <c r="M9679" t="str">
        <f t="shared" si="604"/>
        <v>30-45</v>
      </c>
      <c r="N9679" t="str">
        <f t="shared" si="605"/>
        <v>High</v>
      </c>
      <c r="O9679" t="str">
        <f t="shared" si="606"/>
        <v>Low Balance</v>
      </c>
      <c r="P9679" t="str">
        <f t="shared" si="607"/>
        <v>Mid-term</v>
      </c>
    </row>
    <row r="9680" spans="1:16" x14ac:dyDescent="0.25">
      <c r="A9680">
        <v>2025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  <c r="M9680" t="str">
        <f t="shared" si="604"/>
        <v>&lt;30</v>
      </c>
      <c r="N9680" t="str">
        <f t="shared" si="605"/>
        <v>Medium</v>
      </c>
      <c r="O9680" t="str">
        <f t="shared" si="606"/>
        <v>Zero Balance</v>
      </c>
      <c r="P9680" t="str">
        <f t="shared" si="607"/>
        <v>New</v>
      </c>
    </row>
    <row r="9681" spans="1:16" x14ac:dyDescent="0.25">
      <c r="A9681">
        <v>2025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  <c r="M9681" t="str">
        <f t="shared" si="604"/>
        <v>&lt;30</v>
      </c>
      <c r="N9681" t="str">
        <f t="shared" si="605"/>
        <v>Low</v>
      </c>
      <c r="O9681" t="str">
        <f t="shared" si="606"/>
        <v>Zero Balance</v>
      </c>
      <c r="P9681" t="str">
        <f t="shared" si="607"/>
        <v>Long-term</v>
      </c>
    </row>
    <row r="9682" spans="1:16" x14ac:dyDescent="0.25">
      <c r="A9682">
        <v>2025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  <c r="M9682" t="str">
        <f t="shared" si="604"/>
        <v>30-45</v>
      </c>
      <c r="N9682" t="str">
        <f t="shared" si="605"/>
        <v>Medium</v>
      </c>
      <c r="O9682" t="str">
        <f t="shared" si="606"/>
        <v>Zero Balance</v>
      </c>
      <c r="P9682" t="str">
        <f t="shared" si="607"/>
        <v>New</v>
      </c>
    </row>
    <row r="9683" spans="1:16" x14ac:dyDescent="0.25">
      <c r="A9683">
        <v>2025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  <c r="M9683" t="str">
        <f t="shared" si="604"/>
        <v>60+</v>
      </c>
      <c r="N9683" t="str">
        <f t="shared" si="605"/>
        <v>Medium</v>
      </c>
      <c r="O9683" t="str">
        <f t="shared" si="606"/>
        <v>High Balance</v>
      </c>
      <c r="P9683" t="str">
        <f t="shared" si="607"/>
        <v>Long-term</v>
      </c>
    </row>
    <row r="9684" spans="1:16" x14ac:dyDescent="0.25">
      <c r="A9684">
        <v>2025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  <c r="M9684" t="str">
        <f t="shared" si="604"/>
        <v>30-45</v>
      </c>
      <c r="N9684" t="str">
        <f t="shared" si="605"/>
        <v>Medium</v>
      </c>
      <c r="O9684" t="str">
        <f t="shared" si="606"/>
        <v>High Balance</v>
      </c>
      <c r="P9684" t="str">
        <f t="shared" si="607"/>
        <v>Mid-term</v>
      </c>
    </row>
    <row r="9685" spans="1:16" x14ac:dyDescent="0.25">
      <c r="A9685">
        <v>2025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  <c r="M9685" t="str">
        <f t="shared" si="604"/>
        <v>30-45</v>
      </c>
      <c r="N9685" t="str">
        <f t="shared" si="605"/>
        <v>Medium</v>
      </c>
      <c r="O9685" t="str">
        <f t="shared" si="606"/>
        <v>Zero Balance</v>
      </c>
      <c r="P9685" t="str">
        <f t="shared" si="607"/>
        <v>Mid-term</v>
      </c>
    </row>
    <row r="9686" spans="1:16" x14ac:dyDescent="0.25">
      <c r="A9686">
        <v>2025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  <c r="M9686" t="str">
        <f t="shared" si="604"/>
        <v>30-45</v>
      </c>
      <c r="N9686" t="str">
        <f t="shared" si="605"/>
        <v>High</v>
      </c>
      <c r="O9686" t="str">
        <f t="shared" si="606"/>
        <v>Low Balance</v>
      </c>
      <c r="P9686" t="str">
        <f t="shared" si="607"/>
        <v>New</v>
      </c>
    </row>
    <row r="9687" spans="1:16" x14ac:dyDescent="0.25">
      <c r="A9687">
        <v>2025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  <c r="M9687" t="str">
        <f t="shared" si="604"/>
        <v>30-45</v>
      </c>
      <c r="N9687" t="str">
        <f t="shared" si="605"/>
        <v>Medium</v>
      </c>
      <c r="O9687" t="str">
        <f t="shared" si="606"/>
        <v>High Balance</v>
      </c>
      <c r="P9687" t="str">
        <f t="shared" si="607"/>
        <v>Mid-term</v>
      </c>
    </row>
    <row r="9688" spans="1:16" x14ac:dyDescent="0.25">
      <c r="A9688">
        <v>2025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  <c r="M9688" t="str">
        <f t="shared" si="604"/>
        <v>60+</v>
      </c>
      <c r="N9688" t="str">
        <f t="shared" si="605"/>
        <v>High</v>
      </c>
      <c r="O9688" t="str">
        <f t="shared" si="606"/>
        <v>High Balance</v>
      </c>
      <c r="P9688" t="str">
        <f t="shared" si="607"/>
        <v>Mid-term</v>
      </c>
    </row>
    <row r="9689" spans="1:16" x14ac:dyDescent="0.25">
      <c r="A9689">
        <v>2025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  <c r="M9689" t="str">
        <f t="shared" si="604"/>
        <v>30-45</v>
      </c>
      <c r="N9689" t="str">
        <f t="shared" si="605"/>
        <v>High</v>
      </c>
      <c r="O9689" t="str">
        <f t="shared" si="606"/>
        <v>Low Balance</v>
      </c>
      <c r="P9689" t="str">
        <f t="shared" si="607"/>
        <v>Long-term</v>
      </c>
    </row>
    <row r="9690" spans="1:16" x14ac:dyDescent="0.25">
      <c r="A9690">
        <v>2025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  <c r="M9690" t="str">
        <f t="shared" si="604"/>
        <v>60+</v>
      </c>
      <c r="N9690" t="str">
        <f t="shared" si="605"/>
        <v>High</v>
      </c>
      <c r="O9690" t="str">
        <f t="shared" si="606"/>
        <v>High Balance</v>
      </c>
      <c r="P9690" t="str">
        <f t="shared" si="607"/>
        <v>Mid-term</v>
      </c>
    </row>
    <row r="9691" spans="1:16" x14ac:dyDescent="0.25">
      <c r="A9691">
        <v>2025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  <c r="M9691" t="str">
        <f t="shared" si="604"/>
        <v>46-60</v>
      </c>
      <c r="N9691" t="str">
        <f t="shared" si="605"/>
        <v>Medium</v>
      </c>
      <c r="O9691" t="str">
        <f t="shared" si="606"/>
        <v>High Balance</v>
      </c>
      <c r="P9691" t="str">
        <f t="shared" si="607"/>
        <v>Long-term</v>
      </c>
    </row>
    <row r="9692" spans="1:16" x14ac:dyDescent="0.25">
      <c r="A9692">
        <v>2025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  <c r="M9692" t="str">
        <f t="shared" si="604"/>
        <v>30-45</v>
      </c>
      <c r="N9692" t="str">
        <f t="shared" si="605"/>
        <v>High</v>
      </c>
      <c r="O9692" t="str">
        <f t="shared" si="606"/>
        <v>High Balance</v>
      </c>
      <c r="P9692" t="str">
        <f t="shared" si="607"/>
        <v>Long-term</v>
      </c>
    </row>
    <row r="9693" spans="1:16" x14ac:dyDescent="0.25">
      <c r="A9693">
        <v>2025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  <c r="M9693" t="str">
        <f t="shared" si="604"/>
        <v>30-45</v>
      </c>
      <c r="N9693" t="str">
        <f t="shared" si="605"/>
        <v>High</v>
      </c>
      <c r="O9693" t="str">
        <f t="shared" si="606"/>
        <v>High Balance</v>
      </c>
      <c r="P9693" t="str">
        <f t="shared" si="607"/>
        <v>Mid-term</v>
      </c>
    </row>
    <row r="9694" spans="1:16" x14ac:dyDescent="0.25">
      <c r="A9694">
        <v>2025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  <c r="M9694" t="str">
        <f t="shared" si="604"/>
        <v>46-60</v>
      </c>
      <c r="N9694" t="str">
        <f t="shared" si="605"/>
        <v>Medium</v>
      </c>
      <c r="O9694" t="str">
        <f t="shared" si="606"/>
        <v>High Balance</v>
      </c>
      <c r="P9694" t="str">
        <f t="shared" si="607"/>
        <v>Mid-term</v>
      </c>
    </row>
    <row r="9695" spans="1:16" x14ac:dyDescent="0.25">
      <c r="A9695">
        <v>2025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  <c r="M9695" t="str">
        <f t="shared" si="604"/>
        <v>46-60</v>
      </c>
      <c r="N9695" t="str">
        <f t="shared" si="605"/>
        <v>Medium</v>
      </c>
      <c r="O9695" t="str">
        <f t="shared" si="606"/>
        <v>High Balance</v>
      </c>
      <c r="P9695" t="str">
        <f t="shared" si="607"/>
        <v>Long-term</v>
      </c>
    </row>
    <row r="9696" spans="1:16" x14ac:dyDescent="0.25">
      <c r="A9696">
        <v>2025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  <c r="M9696" t="str">
        <f t="shared" si="604"/>
        <v>&lt;30</v>
      </c>
      <c r="N9696" t="str">
        <f t="shared" si="605"/>
        <v>Medium</v>
      </c>
      <c r="O9696" t="str">
        <f t="shared" si="606"/>
        <v>Low Balance</v>
      </c>
      <c r="P9696" t="str">
        <f t="shared" si="607"/>
        <v>Mid-term</v>
      </c>
    </row>
    <row r="9697" spans="1:16" x14ac:dyDescent="0.25">
      <c r="A9697">
        <v>2025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  <c r="M9697" t="str">
        <f t="shared" si="604"/>
        <v>30-45</v>
      </c>
      <c r="N9697" t="str">
        <f t="shared" si="605"/>
        <v>High</v>
      </c>
      <c r="O9697" t="str">
        <f t="shared" si="606"/>
        <v>High Balance</v>
      </c>
      <c r="P9697" t="str">
        <f t="shared" si="607"/>
        <v>Mid-term</v>
      </c>
    </row>
    <row r="9698" spans="1:16" x14ac:dyDescent="0.25">
      <c r="A9698">
        <v>2025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  <c r="M9698" t="str">
        <f t="shared" si="604"/>
        <v>30-45</v>
      </c>
      <c r="N9698" t="str">
        <f t="shared" si="605"/>
        <v>Medium</v>
      </c>
      <c r="O9698" t="str">
        <f t="shared" si="606"/>
        <v>Low Balance</v>
      </c>
      <c r="P9698" t="str">
        <f t="shared" si="607"/>
        <v>Long-term</v>
      </c>
    </row>
    <row r="9699" spans="1:16" x14ac:dyDescent="0.25">
      <c r="A9699">
        <v>2025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  <c r="M9699" t="str">
        <f t="shared" si="604"/>
        <v>46-60</v>
      </c>
      <c r="N9699" t="str">
        <f t="shared" si="605"/>
        <v>Medium</v>
      </c>
      <c r="O9699" t="str">
        <f t="shared" si="606"/>
        <v>High Balance</v>
      </c>
      <c r="P9699" t="str">
        <f t="shared" si="607"/>
        <v>Mid-term</v>
      </c>
    </row>
    <row r="9700" spans="1:16" x14ac:dyDescent="0.25">
      <c r="A9700">
        <v>2025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  <c r="M9700" t="str">
        <f t="shared" si="604"/>
        <v>46-60</v>
      </c>
      <c r="N9700" t="str">
        <f t="shared" si="605"/>
        <v>High</v>
      </c>
      <c r="O9700" t="str">
        <f t="shared" si="606"/>
        <v>High Balance</v>
      </c>
      <c r="P9700" t="str">
        <f t="shared" si="607"/>
        <v>Long-term</v>
      </c>
    </row>
    <row r="9701" spans="1:16" x14ac:dyDescent="0.25">
      <c r="A9701">
        <v>2025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  <c r="M9701" t="str">
        <f t="shared" si="604"/>
        <v>&lt;30</v>
      </c>
      <c r="N9701" t="str">
        <f t="shared" si="605"/>
        <v>High</v>
      </c>
      <c r="O9701" t="str">
        <f t="shared" si="606"/>
        <v>Zero Balance</v>
      </c>
      <c r="P9701" t="str">
        <f t="shared" si="607"/>
        <v>New</v>
      </c>
    </row>
    <row r="9702" spans="1:16" x14ac:dyDescent="0.25">
      <c r="A9702">
        <v>2025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  <c r="M9702" t="str">
        <f t="shared" si="604"/>
        <v>30-45</v>
      </c>
      <c r="N9702" t="str">
        <f t="shared" si="605"/>
        <v>Medium</v>
      </c>
      <c r="O9702" t="str">
        <f t="shared" si="606"/>
        <v>High Balance</v>
      </c>
      <c r="P9702" t="str">
        <f t="shared" si="607"/>
        <v>Mid-term</v>
      </c>
    </row>
    <row r="9703" spans="1:16" x14ac:dyDescent="0.25">
      <c r="A9703">
        <v>2025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  <c r="M9703" t="str">
        <f t="shared" si="604"/>
        <v>30-45</v>
      </c>
      <c r="N9703" t="str">
        <f t="shared" si="605"/>
        <v>Medium</v>
      </c>
      <c r="O9703" t="str">
        <f t="shared" si="606"/>
        <v>High Balance</v>
      </c>
      <c r="P9703" t="str">
        <f t="shared" si="607"/>
        <v>New</v>
      </c>
    </row>
    <row r="9704" spans="1:16" x14ac:dyDescent="0.25">
      <c r="A9704">
        <v>2025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  <c r="M9704" t="str">
        <f t="shared" si="604"/>
        <v>30-45</v>
      </c>
      <c r="N9704" t="str">
        <f t="shared" si="605"/>
        <v>Medium</v>
      </c>
      <c r="O9704" t="str">
        <f t="shared" si="606"/>
        <v>Low Balance</v>
      </c>
      <c r="P9704" t="str">
        <f t="shared" si="607"/>
        <v>Mid-term</v>
      </c>
    </row>
    <row r="9705" spans="1:16" x14ac:dyDescent="0.25">
      <c r="A9705">
        <v>2025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  <c r="M9705" t="str">
        <f t="shared" si="604"/>
        <v>30-45</v>
      </c>
      <c r="N9705" t="str">
        <f t="shared" si="605"/>
        <v>Medium</v>
      </c>
      <c r="O9705" t="str">
        <f t="shared" si="606"/>
        <v>High Balance</v>
      </c>
      <c r="P9705" t="str">
        <f t="shared" si="607"/>
        <v>Mid-term</v>
      </c>
    </row>
    <row r="9706" spans="1:16" x14ac:dyDescent="0.25">
      <c r="A9706">
        <v>2025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  <c r="M9706" t="str">
        <f t="shared" si="604"/>
        <v>&lt;30</v>
      </c>
      <c r="N9706" t="str">
        <f t="shared" si="605"/>
        <v>Medium</v>
      </c>
      <c r="O9706" t="str">
        <f t="shared" si="606"/>
        <v>Zero Balance</v>
      </c>
      <c r="P9706" t="str">
        <f t="shared" si="607"/>
        <v>Long-term</v>
      </c>
    </row>
    <row r="9707" spans="1:16" x14ac:dyDescent="0.25">
      <c r="A9707">
        <v>2025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  <c r="M9707" t="str">
        <f t="shared" si="604"/>
        <v>30-45</v>
      </c>
      <c r="N9707" t="str">
        <f t="shared" si="605"/>
        <v>High</v>
      </c>
      <c r="O9707" t="str">
        <f t="shared" si="606"/>
        <v>Zero Balance</v>
      </c>
      <c r="P9707" t="str">
        <f t="shared" si="607"/>
        <v>New</v>
      </c>
    </row>
    <row r="9708" spans="1:16" x14ac:dyDescent="0.25">
      <c r="A9708">
        <v>2025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  <c r="M9708" t="str">
        <f t="shared" si="604"/>
        <v>30-45</v>
      </c>
      <c r="N9708" t="str">
        <f t="shared" si="605"/>
        <v>Medium</v>
      </c>
      <c r="O9708" t="str">
        <f t="shared" si="606"/>
        <v>Zero Balance</v>
      </c>
      <c r="P9708" t="str">
        <f t="shared" si="607"/>
        <v>Mid-term</v>
      </c>
    </row>
    <row r="9709" spans="1:16" x14ac:dyDescent="0.25">
      <c r="A9709">
        <v>2025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  <c r="M9709" t="str">
        <f t="shared" si="604"/>
        <v>30-45</v>
      </c>
      <c r="N9709" t="str">
        <f t="shared" si="605"/>
        <v>Medium</v>
      </c>
      <c r="O9709" t="str">
        <f t="shared" si="606"/>
        <v>High Balance</v>
      </c>
      <c r="P9709" t="str">
        <f t="shared" si="607"/>
        <v>Mid-term</v>
      </c>
    </row>
    <row r="9710" spans="1:16" x14ac:dyDescent="0.25">
      <c r="A9710">
        <v>2025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  <c r="M9710" t="str">
        <f t="shared" si="604"/>
        <v>&lt;30</v>
      </c>
      <c r="N9710" t="str">
        <f t="shared" si="605"/>
        <v>High</v>
      </c>
      <c r="O9710" t="str">
        <f t="shared" si="606"/>
        <v>High Balance</v>
      </c>
      <c r="P9710" t="str">
        <f t="shared" si="607"/>
        <v>Long-term</v>
      </c>
    </row>
    <row r="9711" spans="1:16" x14ac:dyDescent="0.25">
      <c r="A9711">
        <v>2025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  <c r="M9711" t="str">
        <f t="shared" si="604"/>
        <v>46-60</v>
      </c>
      <c r="N9711" t="str">
        <f t="shared" si="605"/>
        <v>Medium</v>
      </c>
      <c r="O9711" t="str">
        <f t="shared" si="606"/>
        <v>High Balance</v>
      </c>
      <c r="P9711" t="str">
        <f t="shared" si="607"/>
        <v>Long-term</v>
      </c>
    </row>
    <row r="9712" spans="1:16" x14ac:dyDescent="0.25">
      <c r="A9712">
        <v>2025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  <c r="M9712" t="str">
        <f t="shared" si="604"/>
        <v>30-45</v>
      </c>
      <c r="N9712" t="str">
        <f t="shared" si="605"/>
        <v>Medium</v>
      </c>
      <c r="O9712" t="str">
        <f t="shared" si="606"/>
        <v>High Balance</v>
      </c>
      <c r="P9712" t="str">
        <f t="shared" si="607"/>
        <v>New</v>
      </c>
    </row>
    <row r="9713" spans="1:16" x14ac:dyDescent="0.25">
      <c r="A9713">
        <v>2025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  <c r="M9713" t="str">
        <f t="shared" si="604"/>
        <v>30-45</v>
      </c>
      <c r="N9713" t="str">
        <f t="shared" si="605"/>
        <v>Medium</v>
      </c>
      <c r="O9713" t="str">
        <f t="shared" si="606"/>
        <v>High Balance</v>
      </c>
      <c r="P9713" t="str">
        <f t="shared" si="607"/>
        <v>Long-term</v>
      </c>
    </row>
    <row r="9714" spans="1:16" x14ac:dyDescent="0.25">
      <c r="A9714">
        <v>2025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  <c r="M9714" t="str">
        <f t="shared" si="604"/>
        <v>30-45</v>
      </c>
      <c r="N9714" t="str">
        <f t="shared" si="605"/>
        <v>Medium</v>
      </c>
      <c r="O9714" t="str">
        <f t="shared" si="606"/>
        <v>Zero Balance</v>
      </c>
      <c r="P9714" t="str">
        <f t="shared" si="607"/>
        <v>New</v>
      </c>
    </row>
    <row r="9715" spans="1:16" x14ac:dyDescent="0.25">
      <c r="A9715">
        <v>2025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  <c r="M9715" t="str">
        <f t="shared" si="604"/>
        <v>30-45</v>
      </c>
      <c r="N9715" t="str">
        <f t="shared" si="605"/>
        <v>High</v>
      </c>
      <c r="O9715" t="str">
        <f t="shared" si="606"/>
        <v>Low Balance</v>
      </c>
      <c r="P9715" t="str">
        <f t="shared" si="607"/>
        <v>Long-term</v>
      </c>
    </row>
    <row r="9716" spans="1:16" x14ac:dyDescent="0.25">
      <c r="A9716">
        <v>2025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  <c r="M9716" t="str">
        <f t="shared" si="604"/>
        <v>46-60</v>
      </c>
      <c r="N9716" t="str">
        <f t="shared" si="605"/>
        <v>High</v>
      </c>
      <c r="O9716" t="str">
        <f t="shared" si="606"/>
        <v>High Balance</v>
      </c>
      <c r="P9716" t="str">
        <f t="shared" si="607"/>
        <v>New</v>
      </c>
    </row>
    <row r="9717" spans="1:16" x14ac:dyDescent="0.25">
      <c r="A9717">
        <v>2025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  <c r="M9717" t="str">
        <f t="shared" si="604"/>
        <v>30-45</v>
      </c>
      <c r="N9717" t="str">
        <f t="shared" si="605"/>
        <v>Medium</v>
      </c>
      <c r="O9717" t="str">
        <f t="shared" si="606"/>
        <v>Zero Balance</v>
      </c>
      <c r="P9717" t="str">
        <f t="shared" si="607"/>
        <v>Mid-term</v>
      </c>
    </row>
    <row r="9718" spans="1:16" x14ac:dyDescent="0.25">
      <c r="A9718">
        <v>2025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  <c r="M9718" t="str">
        <f t="shared" si="604"/>
        <v>30-45</v>
      </c>
      <c r="N9718" t="str">
        <f t="shared" si="605"/>
        <v>High</v>
      </c>
      <c r="O9718" t="str">
        <f t="shared" si="606"/>
        <v>High Balance</v>
      </c>
      <c r="P9718" t="str">
        <f t="shared" si="607"/>
        <v>Mid-term</v>
      </c>
    </row>
    <row r="9719" spans="1:16" x14ac:dyDescent="0.25">
      <c r="A9719">
        <v>2025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  <c r="M9719" t="str">
        <f t="shared" si="604"/>
        <v>30-45</v>
      </c>
      <c r="N9719" t="str">
        <f t="shared" si="605"/>
        <v>High</v>
      </c>
      <c r="O9719" t="str">
        <f t="shared" si="606"/>
        <v>High Balance</v>
      </c>
      <c r="P9719" t="str">
        <f t="shared" si="607"/>
        <v>New</v>
      </c>
    </row>
    <row r="9720" spans="1:16" x14ac:dyDescent="0.25">
      <c r="A9720">
        <v>2025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  <c r="M9720" t="str">
        <f t="shared" si="604"/>
        <v>60+</v>
      </c>
      <c r="N9720" t="str">
        <f t="shared" si="605"/>
        <v>High</v>
      </c>
      <c r="O9720" t="str">
        <f t="shared" si="606"/>
        <v>High Balance</v>
      </c>
      <c r="P9720" t="str">
        <f t="shared" si="607"/>
        <v>New</v>
      </c>
    </row>
    <row r="9721" spans="1:16" x14ac:dyDescent="0.25">
      <c r="A9721">
        <v>2025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  <c r="M9721" t="str">
        <f t="shared" si="604"/>
        <v>46-60</v>
      </c>
      <c r="N9721" t="str">
        <f t="shared" si="605"/>
        <v>Medium</v>
      </c>
      <c r="O9721" t="str">
        <f t="shared" si="606"/>
        <v>High Balance</v>
      </c>
      <c r="P9721" t="str">
        <f t="shared" si="607"/>
        <v>Long-term</v>
      </c>
    </row>
    <row r="9722" spans="1:16" x14ac:dyDescent="0.25">
      <c r="A9722">
        <v>2025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  <c r="M9722" t="str">
        <f t="shared" si="604"/>
        <v>30-45</v>
      </c>
      <c r="N9722" t="str">
        <f t="shared" si="605"/>
        <v>High</v>
      </c>
      <c r="O9722" t="str">
        <f t="shared" si="606"/>
        <v>High Balance</v>
      </c>
      <c r="P9722" t="str">
        <f t="shared" si="607"/>
        <v>Mid-term</v>
      </c>
    </row>
    <row r="9723" spans="1:16" x14ac:dyDescent="0.25">
      <c r="A9723">
        <v>2025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  <c r="M9723" t="str">
        <f t="shared" si="604"/>
        <v>30-45</v>
      </c>
      <c r="N9723" t="str">
        <f t="shared" si="605"/>
        <v>Medium</v>
      </c>
      <c r="O9723" t="str">
        <f t="shared" si="606"/>
        <v>Low Balance</v>
      </c>
      <c r="P9723" t="str">
        <f t="shared" si="607"/>
        <v>Mid-term</v>
      </c>
    </row>
    <row r="9724" spans="1:16" x14ac:dyDescent="0.25">
      <c r="A9724">
        <v>2025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  <c r="M9724" t="str">
        <f t="shared" si="604"/>
        <v>30-45</v>
      </c>
      <c r="N9724" t="str">
        <f t="shared" si="605"/>
        <v>Medium</v>
      </c>
      <c r="O9724" t="str">
        <f t="shared" si="606"/>
        <v>Zero Balance</v>
      </c>
      <c r="P9724" t="str">
        <f t="shared" si="607"/>
        <v>New</v>
      </c>
    </row>
    <row r="9725" spans="1:16" x14ac:dyDescent="0.25">
      <c r="A9725">
        <v>2025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  <c r="M9725" t="str">
        <f t="shared" si="604"/>
        <v>30-45</v>
      </c>
      <c r="N9725" t="str">
        <f t="shared" si="605"/>
        <v>Medium</v>
      </c>
      <c r="O9725" t="str">
        <f t="shared" si="606"/>
        <v>High Balance</v>
      </c>
      <c r="P9725" t="str">
        <f t="shared" si="607"/>
        <v>Mid-term</v>
      </c>
    </row>
    <row r="9726" spans="1:16" x14ac:dyDescent="0.25">
      <c r="A9726">
        <v>2025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  <c r="M9726" t="str">
        <f t="shared" si="604"/>
        <v>30-45</v>
      </c>
      <c r="N9726" t="str">
        <f t="shared" si="605"/>
        <v>Low</v>
      </c>
      <c r="O9726" t="str">
        <f t="shared" si="606"/>
        <v>High Balance</v>
      </c>
      <c r="P9726" t="str">
        <f t="shared" si="607"/>
        <v>New</v>
      </c>
    </row>
    <row r="9727" spans="1:16" x14ac:dyDescent="0.25">
      <c r="A9727">
        <v>2025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  <c r="M9727" t="str">
        <f t="shared" si="604"/>
        <v>30-45</v>
      </c>
      <c r="N9727" t="str">
        <f t="shared" si="605"/>
        <v>Medium</v>
      </c>
      <c r="O9727" t="str">
        <f t="shared" si="606"/>
        <v>Zero Balance</v>
      </c>
      <c r="P9727" t="str">
        <f t="shared" si="607"/>
        <v>New</v>
      </c>
    </row>
    <row r="9728" spans="1:16" x14ac:dyDescent="0.25">
      <c r="A9728">
        <v>2025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  <c r="M9728" t="str">
        <f t="shared" si="604"/>
        <v>30-45</v>
      </c>
      <c r="N9728" t="str">
        <f t="shared" si="605"/>
        <v>High</v>
      </c>
      <c r="O9728" t="str">
        <f t="shared" si="606"/>
        <v>High Balance</v>
      </c>
      <c r="P9728" t="str">
        <f t="shared" si="607"/>
        <v>Mid-term</v>
      </c>
    </row>
    <row r="9729" spans="1:16" x14ac:dyDescent="0.25">
      <c r="A9729">
        <v>2025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  <c r="M9729" t="str">
        <f t="shared" si="604"/>
        <v>30-45</v>
      </c>
      <c r="N9729" t="str">
        <f t="shared" si="605"/>
        <v>Medium</v>
      </c>
      <c r="O9729" t="str">
        <f t="shared" si="606"/>
        <v>Zero Balance</v>
      </c>
      <c r="P9729" t="str">
        <f t="shared" si="607"/>
        <v>New</v>
      </c>
    </row>
    <row r="9730" spans="1:16" x14ac:dyDescent="0.25">
      <c r="A9730">
        <v>2025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  <c r="M9730" t="str">
        <f t="shared" si="604"/>
        <v>30-45</v>
      </c>
      <c r="N9730" t="str">
        <f t="shared" si="605"/>
        <v>Medium</v>
      </c>
      <c r="O9730" t="str">
        <f t="shared" si="606"/>
        <v>Low Balance</v>
      </c>
      <c r="P9730" t="str">
        <f t="shared" si="607"/>
        <v>Mid-term</v>
      </c>
    </row>
    <row r="9731" spans="1:16" x14ac:dyDescent="0.25">
      <c r="A9731">
        <v>2025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  <c r="M9731" t="str">
        <f t="shared" ref="M9731:M9794" si="608">IF(E9731&lt;30,"&lt;30",IF(E9731&lt;=45,"30-45",IF(E9731&lt;=60,"46-60","60+")))</f>
        <v>&lt;30</v>
      </c>
      <c r="N9731" t="str">
        <f t="shared" ref="N9731:N9794" si="609">IF(B9731&lt;500,"Low",IF(B9731&lt;700,"Medium","High"))</f>
        <v>Medium</v>
      </c>
      <c r="O9731" t="str">
        <f t="shared" ref="O9731:O9794" si="610">IF(G9731=0,"Zero Balance",IF(G9731&lt;100000,"Low Balance","High Balance"))</f>
        <v>Zero Balance</v>
      </c>
      <c r="P9731" t="str">
        <f t="shared" ref="P9731:P9794" si="611">IF(F9731&lt;=3,"New",IF(F9731&lt;=7,"Mid-term","Long-term"))</f>
        <v>Long-term</v>
      </c>
    </row>
    <row r="9732" spans="1:16" x14ac:dyDescent="0.25">
      <c r="A9732">
        <v>2025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  <c r="M9732" t="str">
        <f t="shared" si="608"/>
        <v>30-45</v>
      </c>
      <c r="N9732" t="str">
        <f t="shared" si="609"/>
        <v>Medium</v>
      </c>
      <c r="O9732" t="str">
        <f t="shared" si="610"/>
        <v>High Balance</v>
      </c>
      <c r="P9732" t="str">
        <f t="shared" si="611"/>
        <v>New</v>
      </c>
    </row>
    <row r="9733" spans="1:16" x14ac:dyDescent="0.25">
      <c r="A9733">
        <v>2025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  <c r="M9733" t="str">
        <f t="shared" si="608"/>
        <v>&lt;30</v>
      </c>
      <c r="N9733" t="str">
        <f t="shared" si="609"/>
        <v>Medium</v>
      </c>
      <c r="O9733" t="str">
        <f t="shared" si="610"/>
        <v>High Balance</v>
      </c>
      <c r="P9733" t="str">
        <f t="shared" si="611"/>
        <v>Mid-term</v>
      </c>
    </row>
    <row r="9734" spans="1:16" x14ac:dyDescent="0.25">
      <c r="A9734">
        <v>2025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  <c r="M9734" t="str">
        <f t="shared" si="608"/>
        <v>30-45</v>
      </c>
      <c r="N9734" t="str">
        <f t="shared" si="609"/>
        <v>High</v>
      </c>
      <c r="O9734" t="str">
        <f t="shared" si="610"/>
        <v>Zero Balance</v>
      </c>
      <c r="P9734" t="str">
        <f t="shared" si="611"/>
        <v>New</v>
      </c>
    </row>
    <row r="9735" spans="1:16" x14ac:dyDescent="0.25">
      <c r="A9735">
        <v>2025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  <c r="M9735" t="str">
        <f t="shared" si="608"/>
        <v>60+</v>
      </c>
      <c r="N9735" t="str">
        <f t="shared" si="609"/>
        <v>High</v>
      </c>
      <c r="O9735" t="str">
        <f t="shared" si="610"/>
        <v>Zero Balance</v>
      </c>
      <c r="P9735" t="str">
        <f t="shared" si="611"/>
        <v>New</v>
      </c>
    </row>
    <row r="9736" spans="1:16" x14ac:dyDescent="0.25">
      <c r="A9736">
        <v>2025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  <c r="M9736" t="str">
        <f t="shared" si="608"/>
        <v>60+</v>
      </c>
      <c r="N9736" t="str">
        <f t="shared" si="609"/>
        <v>Medium</v>
      </c>
      <c r="O9736" t="str">
        <f t="shared" si="610"/>
        <v>Low Balance</v>
      </c>
      <c r="P9736" t="str">
        <f t="shared" si="611"/>
        <v>New</v>
      </c>
    </row>
    <row r="9737" spans="1:16" x14ac:dyDescent="0.25">
      <c r="A9737">
        <v>2025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  <c r="M9737" t="str">
        <f t="shared" si="608"/>
        <v>30-45</v>
      </c>
      <c r="N9737" t="str">
        <f t="shared" si="609"/>
        <v>High</v>
      </c>
      <c r="O9737" t="str">
        <f t="shared" si="610"/>
        <v>High Balance</v>
      </c>
      <c r="P9737" t="str">
        <f t="shared" si="611"/>
        <v>Long-term</v>
      </c>
    </row>
    <row r="9738" spans="1:16" x14ac:dyDescent="0.25">
      <c r="A9738">
        <v>2025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  <c r="M9738" t="str">
        <f t="shared" si="608"/>
        <v>60+</v>
      </c>
      <c r="N9738" t="str">
        <f t="shared" si="609"/>
        <v>Medium</v>
      </c>
      <c r="O9738" t="str">
        <f t="shared" si="610"/>
        <v>High Balance</v>
      </c>
      <c r="P9738" t="str">
        <f t="shared" si="611"/>
        <v>New</v>
      </c>
    </row>
    <row r="9739" spans="1:16" x14ac:dyDescent="0.25">
      <c r="A9739">
        <v>2025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  <c r="M9739" t="str">
        <f t="shared" si="608"/>
        <v>&lt;30</v>
      </c>
      <c r="N9739" t="str">
        <f t="shared" si="609"/>
        <v>High</v>
      </c>
      <c r="O9739" t="str">
        <f t="shared" si="610"/>
        <v>Zero Balance</v>
      </c>
      <c r="P9739" t="str">
        <f t="shared" si="611"/>
        <v>Long-term</v>
      </c>
    </row>
    <row r="9740" spans="1:16" x14ac:dyDescent="0.25">
      <c r="A9740">
        <v>2025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  <c r="M9740" t="str">
        <f t="shared" si="608"/>
        <v>30-45</v>
      </c>
      <c r="N9740" t="str">
        <f t="shared" si="609"/>
        <v>High</v>
      </c>
      <c r="O9740" t="str">
        <f t="shared" si="610"/>
        <v>Zero Balance</v>
      </c>
      <c r="P9740" t="str">
        <f t="shared" si="611"/>
        <v>Mid-term</v>
      </c>
    </row>
    <row r="9741" spans="1:16" x14ac:dyDescent="0.25">
      <c r="A9741">
        <v>2025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  <c r="M9741" t="str">
        <f t="shared" si="608"/>
        <v>&lt;30</v>
      </c>
      <c r="N9741" t="str">
        <f t="shared" si="609"/>
        <v>Medium</v>
      </c>
      <c r="O9741" t="str">
        <f t="shared" si="610"/>
        <v>Zero Balance</v>
      </c>
      <c r="P9741" t="str">
        <f t="shared" si="611"/>
        <v>New</v>
      </c>
    </row>
    <row r="9742" spans="1:16" x14ac:dyDescent="0.25">
      <c r="A9742">
        <v>2025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  <c r="M9742" t="str">
        <f t="shared" si="608"/>
        <v>&lt;30</v>
      </c>
      <c r="N9742" t="str">
        <f t="shared" si="609"/>
        <v>High</v>
      </c>
      <c r="O9742" t="str">
        <f t="shared" si="610"/>
        <v>Low Balance</v>
      </c>
      <c r="P9742" t="str">
        <f t="shared" si="611"/>
        <v>Long-term</v>
      </c>
    </row>
    <row r="9743" spans="1:16" x14ac:dyDescent="0.25">
      <c r="A9743">
        <v>2025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  <c r="M9743" t="str">
        <f t="shared" si="608"/>
        <v>30-45</v>
      </c>
      <c r="N9743" t="str">
        <f t="shared" si="609"/>
        <v>High</v>
      </c>
      <c r="O9743" t="str">
        <f t="shared" si="610"/>
        <v>Zero Balance</v>
      </c>
      <c r="P9743" t="str">
        <f t="shared" si="611"/>
        <v>Mid-term</v>
      </c>
    </row>
    <row r="9744" spans="1:16" x14ac:dyDescent="0.25">
      <c r="A9744">
        <v>2025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  <c r="M9744" t="str">
        <f t="shared" si="608"/>
        <v>30-45</v>
      </c>
      <c r="N9744" t="str">
        <f t="shared" si="609"/>
        <v>High</v>
      </c>
      <c r="O9744" t="str">
        <f t="shared" si="610"/>
        <v>Zero Balance</v>
      </c>
      <c r="P9744" t="str">
        <f t="shared" si="611"/>
        <v>Mid-term</v>
      </c>
    </row>
    <row r="9745" spans="1:16" x14ac:dyDescent="0.25">
      <c r="A9745">
        <v>2025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  <c r="M9745" t="str">
        <f t="shared" si="608"/>
        <v>30-45</v>
      </c>
      <c r="N9745" t="str">
        <f t="shared" si="609"/>
        <v>High</v>
      </c>
      <c r="O9745" t="str">
        <f t="shared" si="610"/>
        <v>High Balance</v>
      </c>
      <c r="P9745" t="str">
        <f t="shared" si="611"/>
        <v>Long-term</v>
      </c>
    </row>
    <row r="9746" spans="1:16" x14ac:dyDescent="0.25">
      <c r="A9746">
        <v>2025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  <c r="M9746" t="str">
        <f t="shared" si="608"/>
        <v>46-60</v>
      </c>
      <c r="N9746" t="str">
        <f t="shared" si="609"/>
        <v>Medium</v>
      </c>
      <c r="O9746" t="str">
        <f t="shared" si="610"/>
        <v>High Balance</v>
      </c>
      <c r="P9746" t="str">
        <f t="shared" si="611"/>
        <v>Long-term</v>
      </c>
    </row>
    <row r="9747" spans="1:16" x14ac:dyDescent="0.25">
      <c r="A9747">
        <v>2025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  <c r="M9747" t="str">
        <f t="shared" si="608"/>
        <v>30-45</v>
      </c>
      <c r="N9747" t="str">
        <f t="shared" si="609"/>
        <v>High</v>
      </c>
      <c r="O9747" t="str">
        <f t="shared" si="610"/>
        <v>Zero Balance</v>
      </c>
      <c r="P9747" t="str">
        <f t="shared" si="611"/>
        <v>Mid-term</v>
      </c>
    </row>
    <row r="9748" spans="1:16" x14ac:dyDescent="0.25">
      <c r="A9748">
        <v>2025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  <c r="M9748" t="str">
        <f t="shared" si="608"/>
        <v>30-45</v>
      </c>
      <c r="N9748" t="str">
        <f t="shared" si="609"/>
        <v>Low</v>
      </c>
      <c r="O9748" t="str">
        <f t="shared" si="610"/>
        <v>High Balance</v>
      </c>
      <c r="P9748" t="str">
        <f t="shared" si="611"/>
        <v>New</v>
      </c>
    </row>
    <row r="9749" spans="1:16" x14ac:dyDescent="0.25">
      <c r="A9749">
        <v>2025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  <c r="M9749" t="str">
        <f t="shared" si="608"/>
        <v>60+</v>
      </c>
      <c r="N9749" t="str">
        <f t="shared" si="609"/>
        <v>Medium</v>
      </c>
      <c r="O9749" t="str">
        <f t="shared" si="610"/>
        <v>Low Balance</v>
      </c>
      <c r="P9749" t="str">
        <f t="shared" si="611"/>
        <v>Mid-term</v>
      </c>
    </row>
    <row r="9750" spans="1:16" x14ac:dyDescent="0.25">
      <c r="A9750">
        <v>2025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  <c r="M9750" t="str">
        <f t="shared" si="608"/>
        <v>&lt;30</v>
      </c>
      <c r="N9750" t="str">
        <f t="shared" si="609"/>
        <v>Medium</v>
      </c>
      <c r="O9750" t="str">
        <f t="shared" si="610"/>
        <v>High Balance</v>
      </c>
      <c r="P9750" t="str">
        <f t="shared" si="611"/>
        <v>Mid-term</v>
      </c>
    </row>
    <row r="9751" spans="1:16" x14ac:dyDescent="0.25">
      <c r="A9751">
        <v>2025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  <c r="M9751" t="str">
        <f t="shared" si="608"/>
        <v>30-45</v>
      </c>
      <c r="N9751" t="str">
        <f t="shared" si="609"/>
        <v>Medium</v>
      </c>
      <c r="O9751" t="str">
        <f t="shared" si="610"/>
        <v>Zero Balance</v>
      </c>
      <c r="P9751" t="str">
        <f t="shared" si="611"/>
        <v>Long-term</v>
      </c>
    </row>
    <row r="9752" spans="1:16" x14ac:dyDescent="0.25">
      <c r="A9752">
        <v>2025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  <c r="M9752" t="str">
        <f t="shared" si="608"/>
        <v>46-60</v>
      </c>
      <c r="N9752" t="str">
        <f t="shared" si="609"/>
        <v>High</v>
      </c>
      <c r="O9752" t="str">
        <f t="shared" si="610"/>
        <v>Low Balance</v>
      </c>
      <c r="P9752" t="str">
        <f t="shared" si="611"/>
        <v>Long-term</v>
      </c>
    </row>
    <row r="9753" spans="1:16" x14ac:dyDescent="0.25">
      <c r="A9753">
        <v>2025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  <c r="M9753" t="str">
        <f t="shared" si="608"/>
        <v>46-60</v>
      </c>
      <c r="N9753" t="str">
        <f t="shared" si="609"/>
        <v>Medium</v>
      </c>
      <c r="O9753" t="str">
        <f t="shared" si="610"/>
        <v>High Balance</v>
      </c>
      <c r="P9753" t="str">
        <f t="shared" si="611"/>
        <v>Mid-term</v>
      </c>
    </row>
    <row r="9754" spans="1:16" x14ac:dyDescent="0.25">
      <c r="A9754">
        <v>2025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  <c r="M9754" t="str">
        <f t="shared" si="608"/>
        <v>&lt;30</v>
      </c>
      <c r="N9754" t="str">
        <f t="shared" si="609"/>
        <v>Medium</v>
      </c>
      <c r="O9754" t="str">
        <f t="shared" si="610"/>
        <v>Zero Balance</v>
      </c>
      <c r="P9754" t="str">
        <f t="shared" si="611"/>
        <v>Long-term</v>
      </c>
    </row>
    <row r="9755" spans="1:16" x14ac:dyDescent="0.25">
      <c r="A9755">
        <v>2025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  <c r="M9755" t="str">
        <f t="shared" si="608"/>
        <v>60+</v>
      </c>
      <c r="N9755" t="str">
        <f t="shared" si="609"/>
        <v>Medium</v>
      </c>
      <c r="O9755" t="str">
        <f t="shared" si="610"/>
        <v>High Balance</v>
      </c>
      <c r="P9755" t="str">
        <f t="shared" si="611"/>
        <v>Mid-term</v>
      </c>
    </row>
    <row r="9756" spans="1:16" x14ac:dyDescent="0.25">
      <c r="A9756">
        <v>2025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  <c r="M9756" t="str">
        <f t="shared" si="608"/>
        <v>30-45</v>
      </c>
      <c r="N9756" t="str">
        <f t="shared" si="609"/>
        <v>Medium</v>
      </c>
      <c r="O9756" t="str">
        <f t="shared" si="610"/>
        <v>High Balance</v>
      </c>
      <c r="P9756" t="str">
        <f t="shared" si="611"/>
        <v>New</v>
      </c>
    </row>
    <row r="9757" spans="1:16" x14ac:dyDescent="0.25">
      <c r="A9757">
        <v>2025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  <c r="M9757" t="str">
        <f t="shared" si="608"/>
        <v>30-45</v>
      </c>
      <c r="N9757" t="str">
        <f t="shared" si="609"/>
        <v>High</v>
      </c>
      <c r="O9757" t="str">
        <f t="shared" si="610"/>
        <v>High Balance</v>
      </c>
      <c r="P9757" t="str">
        <f t="shared" si="611"/>
        <v>Long-term</v>
      </c>
    </row>
    <row r="9758" spans="1:16" x14ac:dyDescent="0.25">
      <c r="A9758">
        <v>2025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  <c r="M9758" t="str">
        <f t="shared" si="608"/>
        <v>30-45</v>
      </c>
      <c r="N9758" t="str">
        <f t="shared" si="609"/>
        <v>Medium</v>
      </c>
      <c r="O9758" t="str">
        <f t="shared" si="610"/>
        <v>Low Balance</v>
      </c>
      <c r="P9758" t="str">
        <f t="shared" si="611"/>
        <v>Mid-term</v>
      </c>
    </row>
    <row r="9759" spans="1:16" x14ac:dyDescent="0.25">
      <c r="A9759">
        <v>2025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  <c r="M9759" t="str">
        <f t="shared" si="608"/>
        <v>30-45</v>
      </c>
      <c r="N9759" t="str">
        <f t="shared" si="609"/>
        <v>Medium</v>
      </c>
      <c r="O9759" t="str">
        <f t="shared" si="610"/>
        <v>Low Balance</v>
      </c>
      <c r="P9759" t="str">
        <f t="shared" si="611"/>
        <v>Mid-term</v>
      </c>
    </row>
    <row r="9760" spans="1:16" x14ac:dyDescent="0.25">
      <c r="A9760">
        <v>2025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  <c r="M9760" t="str">
        <f t="shared" si="608"/>
        <v>30-45</v>
      </c>
      <c r="N9760" t="str">
        <f t="shared" si="609"/>
        <v>Medium</v>
      </c>
      <c r="O9760" t="str">
        <f t="shared" si="610"/>
        <v>High Balance</v>
      </c>
      <c r="P9760" t="str">
        <f t="shared" si="611"/>
        <v>Mid-term</v>
      </c>
    </row>
    <row r="9761" spans="1:16" x14ac:dyDescent="0.25">
      <c r="A9761">
        <v>2025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  <c r="M9761" t="str">
        <f t="shared" si="608"/>
        <v>&lt;30</v>
      </c>
      <c r="N9761" t="str">
        <f t="shared" si="609"/>
        <v>Medium</v>
      </c>
      <c r="O9761" t="str">
        <f t="shared" si="610"/>
        <v>Zero Balance</v>
      </c>
      <c r="P9761" t="str">
        <f t="shared" si="611"/>
        <v>New</v>
      </c>
    </row>
    <row r="9762" spans="1:16" x14ac:dyDescent="0.25">
      <c r="A9762">
        <v>2025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  <c r="M9762" t="str">
        <f t="shared" si="608"/>
        <v>30-45</v>
      </c>
      <c r="N9762" t="str">
        <f t="shared" si="609"/>
        <v>Medium</v>
      </c>
      <c r="O9762" t="str">
        <f t="shared" si="610"/>
        <v>High Balance</v>
      </c>
      <c r="P9762" t="str">
        <f t="shared" si="611"/>
        <v>New</v>
      </c>
    </row>
    <row r="9763" spans="1:16" x14ac:dyDescent="0.25">
      <c r="A9763">
        <v>2025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  <c r="M9763" t="str">
        <f t="shared" si="608"/>
        <v>46-60</v>
      </c>
      <c r="N9763" t="str">
        <f t="shared" si="609"/>
        <v>High</v>
      </c>
      <c r="O9763" t="str">
        <f t="shared" si="610"/>
        <v>Low Balance</v>
      </c>
      <c r="P9763" t="str">
        <f t="shared" si="611"/>
        <v>New</v>
      </c>
    </row>
    <row r="9764" spans="1:16" x14ac:dyDescent="0.25">
      <c r="A9764">
        <v>2025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  <c r="M9764" t="str">
        <f t="shared" si="608"/>
        <v>&lt;30</v>
      </c>
      <c r="N9764" t="str">
        <f t="shared" si="609"/>
        <v>High</v>
      </c>
      <c r="O9764" t="str">
        <f t="shared" si="610"/>
        <v>High Balance</v>
      </c>
      <c r="P9764" t="str">
        <f t="shared" si="611"/>
        <v>Long-term</v>
      </c>
    </row>
    <row r="9765" spans="1:16" x14ac:dyDescent="0.25">
      <c r="A9765">
        <v>2025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  <c r="M9765" t="str">
        <f t="shared" si="608"/>
        <v>&lt;30</v>
      </c>
      <c r="N9765" t="str">
        <f t="shared" si="609"/>
        <v>Medium</v>
      </c>
      <c r="O9765" t="str">
        <f t="shared" si="610"/>
        <v>High Balance</v>
      </c>
      <c r="P9765" t="str">
        <f t="shared" si="611"/>
        <v>New</v>
      </c>
    </row>
    <row r="9766" spans="1:16" x14ac:dyDescent="0.25">
      <c r="A9766">
        <v>2025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  <c r="M9766" t="str">
        <f t="shared" si="608"/>
        <v>30-45</v>
      </c>
      <c r="N9766" t="str">
        <f t="shared" si="609"/>
        <v>Medium</v>
      </c>
      <c r="O9766" t="str">
        <f t="shared" si="610"/>
        <v>Low Balance</v>
      </c>
      <c r="P9766" t="str">
        <f t="shared" si="611"/>
        <v>Long-term</v>
      </c>
    </row>
    <row r="9767" spans="1:16" x14ac:dyDescent="0.25">
      <c r="A9767">
        <v>2025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  <c r="M9767" t="str">
        <f t="shared" si="608"/>
        <v>60+</v>
      </c>
      <c r="N9767" t="str">
        <f t="shared" si="609"/>
        <v>Low</v>
      </c>
      <c r="O9767" t="str">
        <f t="shared" si="610"/>
        <v>High Balance</v>
      </c>
      <c r="P9767" t="str">
        <f t="shared" si="611"/>
        <v>New</v>
      </c>
    </row>
    <row r="9768" spans="1:16" x14ac:dyDescent="0.25">
      <c r="A9768">
        <v>2025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  <c r="M9768" t="str">
        <f t="shared" si="608"/>
        <v>30-45</v>
      </c>
      <c r="N9768" t="str">
        <f t="shared" si="609"/>
        <v>High</v>
      </c>
      <c r="O9768" t="str">
        <f t="shared" si="610"/>
        <v>Low Balance</v>
      </c>
      <c r="P9768" t="str">
        <f t="shared" si="611"/>
        <v>Mid-term</v>
      </c>
    </row>
    <row r="9769" spans="1:16" x14ac:dyDescent="0.25">
      <c r="A9769">
        <v>2025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  <c r="M9769" t="str">
        <f t="shared" si="608"/>
        <v>30-45</v>
      </c>
      <c r="N9769" t="str">
        <f t="shared" si="609"/>
        <v>Medium</v>
      </c>
      <c r="O9769" t="str">
        <f t="shared" si="610"/>
        <v>High Balance</v>
      </c>
      <c r="P9769" t="str">
        <f t="shared" si="611"/>
        <v>New</v>
      </c>
    </row>
    <row r="9770" spans="1:16" x14ac:dyDescent="0.25">
      <c r="A9770">
        <v>2025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  <c r="M9770" t="str">
        <f t="shared" si="608"/>
        <v>46-60</v>
      </c>
      <c r="N9770" t="str">
        <f t="shared" si="609"/>
        <v>High</v>
      </c>
      <c r="O9770" t="str">
        <f t="shared" si="610"/>
        <v>High Balance</v>
      </c>
      <c r="P9770" t="str">
        <f t="shared" si="611"/>
        <v>Mid-term</v>
      </c>
    </row>
    <row r="9771" spans="1:16" x14ac:dyDescent="0.25">
      <c r="A9771">
        <v>2025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  <c r="M9771" t="str">
        <f t="shared" si="608"/>
        <v>30-45</v>
      </c>
      <c r="N9771" t="str">
        <f t="shared" si="609"/>
        <v>Medium</v>
      </c>
      <c r="O9771" t="str">
        <f t="shared" si="610"/>
        <v>High Balance</v>
      </c>
      <c r="P9771" t="str">
        <f t="shared" si="611"/>
        <v>Long-term</v>
      </c>
    </row>
    <row r="9772" spans="1:16" x14ac:dyDescent="0.25">
      <c r="A9772">
        <v>2025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  <c r="M9772" t="str">
        <f t="shared" si="608"/>
        <v>46-60</v>
      </c>
      <c r="N9772" t="str">
        <f t="shared" si="609"/>
        <v>Medium</v>
      </c>
      <c r="O9772" t="str">
        <f t="shared" si="610"/>
        <v>High Balance</v>
      </c>
      <c r="P9772" t="str">
        <f t="shared" si="611"/>
        <v>Mid-term</v>
      </c>
    </row>
    <row r="9773" spans="1:16" x14ac:dyDescent="0.25">
      <c r="A9773">
        <v>2025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  <c r="M9773" t="str">
        <f t="shared" si="608"/>
        <v>30-45</v>
      </c>
      <c r="N9773" t="str">
        <f t="shared" si="609"/>
        <v>Low</v>
      </c>
      <c r="O9773" t="str">
        <f t="shared" si="610"/>
        <v>High Balance</v>
      </c>
      <c r="P9773" t="str">
        <f t="shared" si="611"/>
        <v>Mid-term</v>
      </c>
    </row>
    <row r="9774" spans="1:16" x14ac:dyDescent="0.25">
      <c r="A9774">
        <v>2025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  <c r="M9774" t="str">
        <f t="shared" si="608"/>
        <v>30-45</v>
      </c>
      <c r="N9774" t="str">
        <f t="shared" si="609"/>
        <v>Medium</v>
      </c>
      <c r="O9774" t="str">
        <f t="shared" si="610"/>
        <v>Low Balance</v>
      </c>
      <c r="P9774" t="str">
        <f t="shared" si="611"/>
        <v>New</v>
      </c>
    </row>
    <row r="9775" spans="1:16" x14ac:dyDescent="0.25">
      <c r="A9775">
        <v>2025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  <c r="M9775" t="str">
        <f t="shared" si="608"/>
        <v>30-45</v>
      </c>
      <c r="N9775" t="str">
        <f t="shared" si="609"/>
        <v>Medium</v>
      </c>
      <c r="O9775" t="str">
        <f t="shared" si="610"/>
        <v>Zero Balance</v>
      </c>
      <c r="P9775" t="str">
        <f t="shared" si="611"/>
        <v>Mid-term</v>
      </c>
    </row>
    <row r="9776" spans="1:16" x14ac:dyDescent="0.25">
      <c r="A9776">
        <v>2025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  <c r="M9776" t="str">
        <f t="shared" si="608"/>
        <v>30-45</v>
      </c>
      <c r="N9776" t="str">
        <f t="shared" si="609"/>
        <v>Medium</v>
      </c>
      <c r="O9776" t="str">
        <f t="shared" si="610"/>
        <v>Zero Balance</v>
      </c>
      <c r="P9776" t="str">
        <f t="shared" si="611"/>
        <v>New</v>
      </c>
    </row>
    <row r="9777" spans="1:16" x14ac:dyDescent="0.25">
      <c r="A9777">
        <v>2025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  <c r="M9777" t="str">
        <f t="shared" si="608"/>
        <v>&lt;30</v>
      </c>
      <c r="N9777" t="str">
        <f t="shared" si="609"/>
        <v>High</v>
      </c>
      <c r="O9777" t="str">
        <f t="shared" si="610"/>
        <v>High Balance</v>
      </c>
      <c r="P9777" t="str">
        <f t="shared" si="611"/>
        <v>New</v>
      </c>
    </row>
    <row r="9778" spans="1:16" x14ac:dyDescent="0.25">
      <c r="A9778">
        <v>2025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  <c r="M9778" t="str">
        <f t="shared" si="608"/>
        <v>&lt;30</v>
      </c>
      <c r="N9778" t="str">
        <f t="shared" si="609"/>
        <v>High</v>
      </c>
      <c r="O9778" t="str">
        <f t="shared" si="610"/>
        <v>Zero Balance</v>
      </c>
      <c r="P9778" t="str">
        <f t="shared" si="611"/>
        <v>Mid-term</v>
      </c>
    </row>
    <row r="9779" spans="1:16" x14ac:dyDescent="0.25">
      <c r="A9779">
        <v>2025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  <c r="M9779" t="str">
        <f t="shared" si="608"/>
        <v>30-45</v>
      </c>
      <c r="N9779" t="str">
        <f t="shared" si="609"/>
        <v>High</v>
      </c>
      <c r="O9779" t="str">
        <f t="shared" si="610"/>
        <v>Low Balance</v>
      </c>
      <c r="P9779" t="str">
        <f t="shared" si="611"/>
        <v>New</v>
      </c>
    </row>
    <row r="9780" spans="1:16" x14ac:dyDescent="0.25">
      <c r="A9780">
        <v>2025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  <c r="M9780" t="str">
        <f t="shared" si="608"/>
        <v>30-45</v>
      </c>
      <c r="N9780" t="str">
        <f t="shared" si="609"/>
        <v>High</v>
      </c>
      <c r="O9780" t="str">
        <f t="shared" si="610"/>
        <v>Zero Balance</v>
      </c>
      <c r="P9780" t="str">
        <f t="shared" si="611"/>
        <v>Long-term</v>
      </c>
    </row>
    <row r="9781" spans="1:16" x14ac:dyDescent="0.25">
      <c r="A9781">
        <v>2025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  <c r="M9781" t="str">
        <f t="shared" si="608"/>
        <v>30-45</v>
      </c>
      <c r="N9781" t="str">
        <f t="shared" si="609"/>
        <v>Medium</v>
      </c>
      <c r="O9781" t="str">
        <f t="shared" si="610"/>
        <v>High Balance</v>
      </c>
      <c r="P9781" t="str">
        <f t="shared" si="611"/>
        <v>Long-term</v>
      </c>
    </row>
    <row r="9782" spans="1:16" x14ac:dyDescent="0.25">
      <c r="A9782">
        <v>2025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  <c r="M9782" t="str">
        <f t="shared" si="608"/>
        <v>30-45</v>
      </c>
      <c r="N9782" t="str">
        <f t="shared" si="609"/>
        <v>High</v>
      </c>
      <c r="O9782" t="str">
        <f t="shared" si="610"/>
        <v>High Balance</v>
      </c>
      <c r="P9782" t="str">
        <f t="shared" si="611"/>
        <v>Long-term</v>
      </c>
    </row>
    <row r="9783" spans="1:16" x14ac:dyDescent="0.25">
      <c r="A9783">
        <v>2025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  <c r="M9783" t="str">
        <f t="shared" si="608"/>
        <v>46-60</v>
      </c>
      <c r="N9783" t="str">
        <f t="shared" si="609"/>
        <v>Medium</v>
      </c>
      <c r="O9783" t="str">
        <f t="shared" si="610"/>
        <v>High Balance</v>
      </c>
      <c r="P9783" t="str">
        <f t="shared" si="611"/>
        <v>New</v>
      </c>
    </row>
    <row r="9784" spans="1:16" x14ac:dyDescent="0.25">
      <c r="A9784">
        <v>2025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  <c r="M9784" t="str">
        <f t="shared" si="608"/>
        <v>&lt;30</v>
      </c>
      <c r="N9784" t="str">
        <f t="shared" si="609"/>
        <v>Medium</v>
      </c>
      <c r="O9784" t="str">
        <f t="shared" si="610"/>
        <v>High Balance</v>
      </c>
      <c r="P9784" t="str">
        <f t="shared" si="611"/>
        <v>Mid-term</v>
      </c>
    </row>
    <row r="9785" spans="1:16" x14ac:dyDescent="0.25">
      <c r="A9785">
        <v>2025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  <c r="M9785" t="str">
        <f t="shared" si="608"/>
        <v>46-60</v>
      </c>
      <c r="N9785" t="str">
        <f t="shared" si="609"/>
        <v>Medium</v>
      </c>
      <c r="O9785" t="str">
        <f t="shared" si="610"/>
        <v>Low Balance</v>
      </c>
      <c r="P9785" t="str">
        <f t="shared" si="611"/>
        <v>Mid-term</v>
      </c>
    </row>
    <row r="9786" spans="1:16" x14ac:dyDescent="0.25">
      <c r="A9786">
        <v>2025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  <c r="M9786" t="str">
        <f t="shared" si="608"/>
        <v>30-45</v>
      </c>
      <c r="N9786" t="str">
        <f t="shared" si="609"/>
        <v>Medium</v>
      </c>
      <c r="O9786" t="str">
        <f t="shared" si="610"/>
        <v>Zero Balance</v>
      </c>
      <c r="P9786" t="str">
        <f t="shared" si="611"/>
        <v>Mid-term</v>
      </c>
    </row>
    <row r="9787" spans="1:16" x14ac:dyDescent="0.25">
      <c r="A9787">
        <v>2025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  <c r="M9787" t="str">
        <f t="shared" si="608"/>
        <v>&lt;30</v>
      </c>
      <c r="N9787" t="str">
        <f t="shared" si="609"/>
        <v>Low</v>
      </c>
      <c r="O9787" t="str">
        <f t="shared" si="610"/>
        <v>High Balance</v>
      </c>
      <c r="P9787" t="str">
        <f t="shared" si="611"/>
        <v>Mid-term</v>
      </c>
    </row>
    <row r="9788" spans="1:16" x14ac:dyDescent="0.25">
      <c r="A9788">
        <v>2025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  <c r="M9788" t="str">
        <f t="shared" si="608"/>
        <v>30-45</v>
      </c>
      <c r="N9788" t="str">
        <f t="shared" si="609"/>
        <v>High</v>
      </c>
      <c r="O9788" t="str">
        <f t="shared" si="610"/>
        <v>High Balance</v>
      </c>
      <c r="P9788" t="str">
        <f t="shared" si="611"/>
        <v>Mid-term</v>
      </c>
    </row>
    <row r="9789" spans="1:16" x14ac:dyDescent="0.25">
      <c r="A9789">
        <v>2025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  <c r="M9789" t="str">
        <f t="shared" si="608"/>
        <v>30-45</v>
      </c>
      <c r="N9789" t="str">
        <f t="shared" si="609"/>
        <v>Medium</v>
      </c>
      <c r="O9789" t="str">
        <f t="shared" si="610"/>
        <v>Low Balance</v>
      </c>
      <c r="P9789" t="str">
        <f t="shared" si="611"/>
        <v>Mid-term</v>
      </c>
    </row>
    <row r="9790" spans="1:16" x14ac:dyDescent="0.25">
      <c r="A9790">
        <v>2025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  <c r="M9790" t="str">
        <f t="shared" si="608"/>
        <v>&lt;30</v>
      </c>
      <c r="N9790" t="str">
        <f t="shared" si="609"/>
        <v>High</v>
      </c>
      <c r="O9790" t="str">
        <f t="shared" si="610"/>
        <v>Zero Balance</v>
      </c>
      <c r="P9790" t="str">
        <f t="shared" si="611"/>
        <v>Mid-term</v>
      </c>
    </row>
    <row r="9791" spans="1:16" x14ac:dyDescent="0.25">
      <c r="A9791">
        <v>2025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  <c r="M9791" t="str">
        <f t="shared" si="608"/>
        <v>30-45</v>
      </c>
      <c r="N9791" t="str">
        <f t="shared" si="609"/>
        <v>Medium</v>
      </c>
      <c r="O9791" t="str">
        <f t="shared" si="610"/>
        <v>Zero Balance</v>
      </c>
      <c r="P9791" t="str">
        <f t="shared" si="611"/>
        <v>New</v>
      </c>
    </row>
    <row r="9792" spans="1:16" x14ac:dyDescent="0.25">
      <c r="A9792">
        <v>2025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  <c r="M9792" t="str">
        <f t="shared" si="608"/>
        <v>30-45</v>
      </c>
      <c r="N9792" t="str">
        <f t="shared" si="609"/>
        <v>Medium</v>
      </c>
      <c r="O9792" t="str">
        <f t="shared" si="610"/>
        <v>Zero Balance</v>
      </c>
      <c r="P9792" t="str">
        <f t="shared" si="611"/>
        <v>New</v>
      </c>
    </row>
    <row r="9793" spans="1:16" x14ac:dyDescent="0.25">
      <c r="A9793">
        <v>2025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  <c r="M9793" t="str">
        <f t="shared" si="608"/>
        <v>30-45</v>
      </c>
      <c r="N9793" t="str">
        <f t="shared" si="609"/>
        <v>High</v>
      </c>
      <c r="O9793" t="str">
        <f t="shared" si="610"/>
        <v>High Balance</v>
      </c>
      <c r="P9793" t="str">
        <f t="shared" si="611"/>
        <v>Mid-term</v>
      </c>
    </row>
    <row r="9794" spans="1:16" x14ac:dyDescent="0.25">
      <c r="A9794">
        <v>2025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  <c r="M9794" t="str">
        <f t="shared" si="608"/>
        <v>&lt;30</v>
      </c>
      <c r="N9794" t="str">
        <f t="shared" si="609"/>
        <v>High</v>
      </c>
      <c r="O9794" t="str">
        <f t="shared" si="610"/>
        <v>High Balance</v>
      </c>
      <c r="P9794" t="str">
        <f t="shared" si="611"/>
        <v>Long-term</v>
      </c>
    </row>
    <row r="9795" spans="1:16" x14ac:dyDescent="0.25">
      <c r="A9795">
        <v>2025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  <c r="M9795" t="str">
        <f t="shared" ref="M9795:M9858" si="612">IF(E9795&lt;30,"&lt;30",IF(E9795&lt;=45,"30-45",IF(E9795&lt;=60,"46-60","60+")))</f>
        <v>30-45</v>
      </c>
      <c r="N9795" t="str">
        <f t="shared" ref="N9795:N9858" si="613">IF(B9795&lt;500,"Low",IF(B9795&lt;700,"Medium","High"))</f>
        <v>High</v>
      </c>
      <c r="O9795" t="str">
        <f t="shared" ref="O9795:O9858" si="614">IF(G9795=0,"Zero Balance",IF(G9795&lt;100000,"Low Balance","High Balance"))</f>
        <v>High Balance</v>
      </c>
      <c r="P9795" t="str">
        <f t="shared" ref="P9795:P9858" si="615">IF(F9795&lt;=3,"New",IF(F9795&lt;=7,"Mid-term","Long-term"))</f>
        <v>New</v>
      </c>
    </row>
    <row r="9796" spans="1:16" x14ac:dyDescent="0.25">
      <c r="A9796">
        <v>2025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  <c r="M9796" t="str">
        <f t="shared" si="612"/>
        <v>&lt;30</v>
      </c>
      <c r="N9796" t="str">
        <f t="shared" si="613"/>
        <v>Medium</v>
      </c>
      <c r="O9796" t="str">
        <f t="shared" si="614"/>
        <v>High Balance</v>
      </c>
      <c r="P9796" t="str">
        <f t="shared" si="615"/>
        <v>Mid-term</v>
      </c>
    </row>
    <row r="9797" spans="1:16" x14ac:dyDescent="0.25">
      <c r="A9797">
        <v>2025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  <c r="M9797" t="str">
        <f t="shared" si="612"/>
        <v>30-45</v>
      </c>
      <c r="N9797" t="str">
        <f t="shared" si="613"/>
        <v>Medium</v>
      </c>
      <c r="O9797" t="str">
        <f t="shared" si="614"/>
        <v>Zero Balance</v>
      </c>
      <c r="P9797" t="str">
        <f t="shared" si="615"/>
        <v>New</v>
      </c>
    </row>
    <row r="9798" spans="1:16" x14ac:dyDescent="0.25">
      <c r="A9798">
        <v>2025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  <c r="M9798" t="str">
        <f t="shared" si="612"/>
        <v>&lt;30</v>
      </c>
      <c r="N9798" t="str">
        <f t="shared" si="613"/>
        <v>Medium</v>
      </c>
      <c r="O9798" t="str">
        <f t="shared" si="614"/>
        <v>High Balance</v>
      </c>
      <c r="P9798" t="str">
        <f t="shared" si="615"/>
        <v>Long-term</v>
      </c>
    </row>
    <row r="9799" spans="1:16" x14ac:dyDescent="0.25">
      <c r="A9799">
        <v>2025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  <c r="M9799" t="str">
        <f t="shared" si="612"/>
        <v>30-45</v>
      </c>
      <c r="N9799" t="str">
        <f t="shared" si="613"/>
        <v>Medium</v>
      </c>
      <c r="O9799" t="str">
        <f t="shared" si="614"/>
        <v>Zero Balance</v>
      </c>
      <c r="P9799" t="str">
        <f t="shared" si="615"/>
        <v>Long-term</v>
      </c>
    </row>
    <row r="9800" spans="1:16" x14ac:dyDescent="0.25">
      <c r="A9800">
        <v>2025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  <c r="M9800" t="str">
        <f t="shared" si="612"/>
        <v>30-45</v>
      </c>
      <c r="N9800" t="str">
        <f t="shared" si="613"/>
        <v>Medium</v>
      </c>
      <c r="O9800" t="str">
        <f t="shared" si="614"/>
        <v>High Balance</v>
      </c>
      <c r="P9800" t="str">
        <f t="shared" si="615"/>
        <v>New</v>
      </c>
    </row>
    <row r="9801" spans="1:16" x14ac:dyDescent="0.25">
      <c r="A9801">
        <v>2025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  <c r="M9801" t="str">
        <f t="shared" si="612"/>
        <v>46-60</v>
      </c>
      <c r="N9801" t="str">
        <f t="shared" si="613"/>
        <v>Medium</v>
      </c>
      <c r="O9801" t="str">
        <f t="shared" si="614"/>
        <v>High Balance</v>
      </c>
      <c r="P9801" t="str">
        <f t="shared" si="615"/>
        <v>New</v>
      </c>
    </row>
    <row r="9802" spans="1:16" x14ac:dyDescent="0.25">
      <c r="A9802">
        <v>2025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  <c r="M9802" t="str">
        <f t="shared" si="612"/>
        <v>30-45</v>
      </c>
      <c r="N9802" t="str">
        <f t="shared" si="613"/>
        <v>High</v>
      </c>
      <c r="O9802" t="str">
        <f t="shared" si="614"/>
        <v>High Balance</v>
      </c>
      <c r="P9802" t="str">
        <f t="shared" si="615"/>
        <v>New</v>
      </c>
    </row>
    <row r="9803" spans="1:16" x14ac:dyDescent="0.25">
      <c r="A9803">
        <v>2025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  <c r="M9803" t="str">
        <f t="shared" si="612"/>
        <v>30-45</v>
      </c>
      <c r="N9803" t="str">
        <f t="shared" si="613"/>
        <v>Medium</v>
      </c>
      <c r="O9803" t="str">
        <f t="shared" si="614"/>
        <v>High Balance</v>
      </c>
      <c r="P9803" t="str">
        <f t="shared" si="615"/>
        <v>New</v>
      </c>
    </row>
    <row r="9804" spans="1:16" x14ac:dyDescent="0.25">
      <c r="A9804">
        <v>2025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  <c r="M9804" t="str">
        <f t="shared" si="612"/>
        <v>30-45</v>
      </c>
      <c r="N9804" t="str">
        <f t="shared" si="613"/>
        <v>High</v>
      </c>
      <c r="O9804" t="str">
        <f t="shared" si="614"/>
        <v>Low Balance</v>
      </c>
      <c r="P9804" t="str">
        <f t="shared" si="615"/>
        <v>New</v>
      </c>
    </row>
    <row r="9805" spans="1:16" x14ac:dyDescent="0.25">
      <c r="A9805">
        <v>2025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  <c r="M9805" t="str">
        <f t="shared" si="612"/>
        <v>30-45</v>
      </c>
      <c r="N9805" t="str">
        <f t="shared" si="613"/>
        <v>Medium</v>
      </c>
      <c r="O9805" t="str">
        <f t="shared" si="614"/>
        <v>High Balance</v>
      </c>
      <c r="P9805" t="str">
        <f t="shared" si="615"/>
        <v>New</v>
      </c>
    </row>
    <row r="9806" spans="1:16" x14ac:dyDescent="0.25">
      <c r="A9806">
        <v>2025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  <c r="M9806" t="str">
        <f t="shared" si="612"/>
        <v>30-45</v>
      </c>
      <c r="N9806" t="str">
        <f t="shared" si="613"/>
        <v>Medium</v>
      </c>
      <c r="O9806" t="str">
        <f t="shared" si="614"/>
        <v>High Balance</v>
      </c>
      <c r="P9806" t="str">
        <f t="shared" si="615"/>
        <v>Long-term</v>
      </c>
    </row>
    <row r="9807" spans="1:16" x14ac:dyDescent="0.25">
      <c r="A9807">
        <v>2025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  <c r="M9807" t="str">
        <f t="shared" si="612"/>
        <v>30-45</v>
      </c>
      <c r="N9807" t="str">
        <f t="shared" si="613"/>
        <v>Medium</v>
      </c>
      <c r="O9807" t="str">
        <f t="shared" si="614"/>
        <v>High Balance</v>
      </c>
      <c r="P9807" t="str">
        <f t="shared" si="615"/>
        <v>Mid-term</v>
      </c>
    </row>
    <row r="9808" spans="1:16" x14ac:dyDescent="0.25">
      <c r="A9808">
        <v>2025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  <c r="M9808" t="str">
        <f t="shared" si="612"/>
        <v>30-45</v>
      </c>
      <c r="N9808" t="str">
        <f t="shared" si="613"/>
        <v>Medium</v>
      </c>
      <c r="O9808" t="str">
        <f t="shared" si="614"/>
        <v>Low Balance</v>
      </c>
      <c r="P9808" t="str">
        <f t="shared" si="615"/>
        <v>Long-term</v>
      </c>
    </row>
    <row r="9809" spans="1:16" x14ac:dyDescent="0.25">
      <c r="A9809">
        <v>2025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  <c r="M9809" t="str">
        <f t="shared" si="612"/>
        <v>30-45</v>
      </c>
      <c r="N9809" t="str">
        <f t="shared" si="613"/>
        <v>Medium</v>
      </c>
      <c r="O9809" t="str">
        <f t="shared" si="614"/>
        <v>Zero Balance</v>
      </c>
      <c r="P9809" t="str">
        <f t="shared" si="615"/>
        <v>Long-term</v>
      </c>
    </row>
    <row r="9810" spans="1:16" x14ac:dyDescent="0.25">
      <c r="A9810">
        <v>2025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  <c r="M9810" t="str">
        <f t="shared" si="612"/>
        <v>30-45</v>
      </c>
      <c r="N9810" t="str">
        <f t="shared" si="613"/>
        <v>Medium</v>
      </c>
      <c r="O9810" t="str">
        <f t="shared" si="614"/>
        <v>Low Balance</v>
      </c>
      <c r="P9810" t="str">
        <f t="shared" si="615"/>
        <v>Long-term</v>
      </c>
    </row>
    <row r="9811" spans="1:16" x14ac:dyDescent="0.25">
      <c r="A9811">
        <v>2025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  <c r="M9811" t="str">
        <f t="shared" si="612"/>
        <v>30-45</v>
      </c>
      <c r="N9811" t="str">
        <f t="shared" si="613"/>
        <v>High</v>
      </c>
      <c r="O9811" t="str">
        <f t="shared" si="614"/>
        <v>High Balance</v>
      </c>
      <c r="P9811" t="str">
        <f t="shared" si="615"/>
        <v>New</v>
      </c>
    </row>
    <row r="9812" spans="1:16" x14ac:dyDescent="0.25">
      <c r="A9812">
        <v>2025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  <c r="M9812" t="str">
        <f t="shared" si="612"/>
        <v>&lt;30</v>
      </c>
      <c r="N9812" t="str">
        <f t="shared" si="613"/>
        <v>High</v>
      </c>
      <c r="O9812" t="str">
        <f t="shared" si="614"/>
        <v>Zero Balance</v>
      </c>
      <c r="P9812" t="str">
        <f t="shared" si="615"/>
        <v>Long-term</v>
      </c>
    </row>
    <row r="9813" spans="1:16" x14ac:dyDescent="0.25">
      <c r="A9813">
        <v>2025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  <c r="M9813" t="str">
        <f t="shared" si="612"/>
        <v>30-45</v>
      </c>
      <c r="N9813" t="str">
        <f t="shared" si="613"/>
        <v>Medium</v>
      </c>
      <c r="O9813" t="str">
        <f t="shared" si="614"/>
        <v>High Balance</v>
      </c>
      <c r="P9813" t="str">
        <f t="shared" si="615"/>
        <v>New</v>
      </c>
    </row>
    <row r="9814" spans="1:16" x14ac:dyDescent="0.25">
      <c r="A9814">
        <v>2025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  <c r="M9814" t="str">
        <f t="shared" si="612"/>
        <v>30-45</v>
      </c>
      <c r="N9814" t="str">
        <f t="shared" si="613"/>
        <v>High</v>
      </c>
      <c r="O9814" t="str">
        <f t="shared" si="614"/>
        <v>High Balance</v>
      </c>
      <c r="P9814" t="str">
        <f t="shared" si="615"/>
        <v>Long-term</v>
      </c>
    </row>
    <row r="9815" spans="1:16" x14ac:dyDescent="0.25">
      <c r="A9815">
        <v>2025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  <c r="M9815" t="str">
        <f t="shared" si="612"/>
        <v>&lt;30</v>
      </c>
      <c r="N9815" t="str">
        <f t="shared" si="613"/>
        <v>Medium</v>
      </c>
      <c r="O9815" t="str">
        <f t="shared" si="614"/>
        <v>Low Balance</v>
      </c>
      <c r="P9815" t="str">
        <f t="shared" si="615"/>
        <v>Long-term</v>
      </c>
    </row>
    <row r="9816" spans="1:16" x14ac:dyDescent="0.25">
      <c r="A9816">
        <v>2025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  <c r="M9816" t="str">
        <f t="shared" si="612"/>
        <v>30-45</v>
      </c>
      <c r="N9816" t="str">
        <f t="shared" si="613"/>
        <v>Medium</v>
      </c>
      <c r="O9816" t="str">
        <f t="shared" si="614"/>
        <v>Zero Balance</v>
      </c>
      <c r="P9816" t="str">
        <f t="shared" si="615"/>
        <v>New</v>
      </c>
    </row>
    <row r="9817" spans="1:16" x14ac:dyDescent="0.25">
      <c r="A9817">
        <v>2025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  <c r="M9817" t="str">
        <f t="shared" si="612"/>
        <v>30-45</v>
      </c>
      <c r="N9817" t="str">
        <f t="shared" si="613"/>
        <v>Medium</v>
      </c>
      <c r="O9817" t="str">
        <f t="shared" si="614"/>
        <v>Zero Balance</v>
      </c>
      <c r="P9817" t="str">
        <f t="shared" si="615"/>
        <v>Mid-term</v>
      </c>
    </row>
    <row r="9818" spans="1:16" x14ac:dyDescent="0.25">
      <c r="A9818">
        <v>2025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  <c r="M9818" t="str">
        <f t="shared" si="612"/>
        <v>46-60</v>
      </c>
      <c r="N9818" t="str">
        <f t="shared" si="613"/>
        <v>Medium</v>
      </c>
      <c r="O9818" t="str">
        <f t="shared" si="614"/>
        <v>Zero Balance</v>
      </c>
      <c r="P9818" t="str">
        <f t="shared" si="615"/>
        <v>Long-term</v>
      </c>
    </row>
    <row r="9819" spans="1:16" x14ac:dyDescent="0.25">
      <c r="A9819">
        <v>2025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  <c r="M9819" t="str">
        <f t="shared" si="612"/>
        <v>30-45</v>
      </c>
      <c r="N9819" t="str">
        <f t="shared" si="613"/>
        <v>Medium</v>
      </c>
      <c r="O9819" t="str">
        <f t="shared" si="614"/>
        <v>Zero Balance</v>
      </c>
      <c r="P9819" t="str">
        <f t="shared" si="615"/>
        <v>Mid-term</v>
      </c>
    </row>
    <row r="9820" spans="1:16" x14ac:dyDescent="0.25">
      <c r="A9820">
        <v>2025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  <c r="M9820" t="str">
        <f t="shared" si="612"/>
        <v>30-45</v>
      </c>
      <c r="N9820" t="str">
        <f t="shared" si="613"/>
        <v>Medium</v>
      </c>
      <c r="O9820" t="str">
        <f t="shared" si="614"/>
        <v>Zero Balance</v>
      </c>
      <c r="P9820" t="str">
        <f t="shared" si="615"/>
        <v>Mid-term</v>
      </c>
    </row>
    <row r="9821" spans="1:16" x14ac:dyDescent="0.25">
      <c r="A9821">
        <v>2025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  <c r="M9821" t="str">
        <f t="shared" si="612"/>
        <v>46-60</v>
      </c>
      <c r="N9821" t="str">
        <f t="shared" si="613"/>
        <v>Medium</v>
      </c>
      <c r="O9821" t="str">
        <f t="shared" si="614"/>
        <v>High Balance</v>
      </c>
      <c r="P9821" t="str">
        <f t="shared" si="615"/>
        <v>New</v>
      </c>
    </row>
    <row r="9822" spans="1:16" x14ac:dyDescent="0.25">
      <c r="A9822">
        <v>2025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  <c r="M9822" t="str">
        <f t="shared" si="612"/>
        <v>30-45</v>
      </c>
      <c r="N9822" t="str">
        <f t="shared" si="613"/>
        <v>Medium</v>
      </c>
      <c r="O9822" t="str">
        <f t="shared" si="614"/>
        <v>High Balance</v>
      </c>
      <c r="P9822" t="str">
        <f t="shared" si="615"/>
        <v>Mid-term</v>
      </c>
    </row>
    <row r="9823" spans="1:16" x14ac:dyDescent="0.25">
      <c r="A9823">
        <v>2025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  <c r="M9823" t="str">
        <f t="shared" si="612"/>
        <v>&lt;30</v>
      </c>
      <c r="N9823" t="str">
        <f t="shared" si="613"/>
        <v>Medium</v>
      </c>
      <c r="O9823" t="str">
        <f t="shared" si="614"/>
        <v>High Balance</v>
      </c>
      <c r="P9823" t="str">
        <f t="shared" si="615"/>
        <v>Long-term</v>
      </c>
    </row>
    <row r="9824" spans="1:16" x14ac:dyDescent="0.25">
      <c r="A9824">
        <v>2025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  <c r="M9824" t="str">
        <f t="shared" si="612"/>
        <v>30-45</v>
      </c>
      <c r="N9824" t="str">
        <f t="shared" si="613"/>
        <v>High</v>
      </c>
      <c r="O9824" t="str">
        <f t="shared" si="614"/>
        <v>High Balance</v>
      </c>
      <c r="P9824" t="str">
        <f t="shared" si="615"/>
        <v>New</v>
      </c>
    </row>
    <row r="9825" spans="1:16" x14ac:dyDescent="0.25">
      <c r="A9825">
        <v>2025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  <c r="M9825" t="str">
        <f t="shared" si="612"/>
        <v>&lt;30</v>
      </c>
      <c r="N9825" t="str">
        <f t="shared" si="613"/>
        <v>Medium</v>
      </c>
      <c r="O9825" t="str">
        <f t="shared" si="614"/>
        <v>High Balance</v>
      </c>
      <c r="P9825" t="str">
        <f t="shared" si="615"/>
        <v>New</v>
      </c>
    </row>
    <row r="9826" spans="1:16" x14ac:dyDescent="0.25">
      <c r="A9826">
        <v>2025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  <c r="M9826" t="str">
        <f t="shared" si="612"/>
        <v>&lt;30</v>
      </c>
      <c r="N9826" t="str">
        <f t="shared" si="613"/>
        <v>High</v>
      </c>
      <c r="O9826" t="str">
        <f t="shared" si="614"/>
        <v>High Balance</v>
      </c>
      <c r="P9826" t="str">
        <f t="shared" si="615"/>
        <v>Long-term</v>
      </c>
    </row>
    <row r="9827" spans="1:16" x14ac:dyDescent="0.25">
      <c r="A9827">
        <v>2025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  <c r="M9827" t="str">
        <f t="shared" si="612"/>
        <v>&lt;30</v>
      </c>
      <c r="N9827" t="str">
        <f t="shared" si="613"/>
        <v>Low</v>
      </c>
      <c r="O9827" t="str">
        <f t="shared" si="614"/>
        <v>High Balance</v>
      </c>
      <c r="P9827" t="str">
        <f t="shared" si="615"/>
        <v>Long-term</v>
      </c>
    </row>
    <row r="9828" spans="1:16" x14ac:dyDescent="0.25">
      <c r="A9828">
        <v>2025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  <c r="M9828" t="str">
        <f t="shared" si="612"/>
        <v>30-45</v>
      </c>
      <c r="N9828" t="str">
        <f t="shared" si="613"/>
        <v>High</v>
      </c>
      <c r="O9828" t="str">
        <f t="shared" si="614"/>
        <v>Zero Balance</v>
      </c>
      <c r="P9828" t="str">
        <f t="shared" si="615"/>
        <v>Mid-term</v>
      </c>
    </row>
    <row r="9829" spans="1:16" x14ac:dyDescent="0.25">
      <c r="A9829">
        <v>2025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  <c r="M9829" t="str">
        <f t="shared" si="612"/>
        <v>30-45</v>
      </c>
      <c r="N9829" t="str">
        <f t="shared" si="613"/>
        <v>Medium</v>
      </c>
      <c r="O9829" t="str">
        <f t="shared" si="614"/>
        <v>Zero Balance</v>
      </c>
      <c r="P9829" t="str">
        <f t="shared" si="615"/>
        <v>Mid-term</v>
      </c>
    </row>
    <row r="9830" spans="1:16" x14ac:dyDescent="0.25">
      <c r="A9830">
        <v>2025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  <c r="M9830" t="str">
        <f t="shared" si="612"/>
        <v>30-45</v>
      </c>
      <c r="N9830" t="str">
        <f t="shared" si="613"/>
        <v>Medium</v>
      </c>
      <c r="O9830" t="str">
        <f t="shared" si="614"/>
        <v>Zero Balance</v>
      </c>
      <c r="P9830" t="str">
        <f t="shared" si="615"/>
        <v>New</v>
      </c>
    </row>
    <row r="9831" spans="1:16" x14ac:dyDescent="0.25">
      <c r="A9831">
        <v>2025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  <c r="M9831" t="str">
        <f t="shared" si="612"/>
        <v>30-45</v>
      </c>
      <c r="N9831" t="str">
        <f t="shared" si="613"/>
        <v>Medium</v>
      </c>
      <c r="O9831" t="str">
        <f t="shared" si="614"/>
        <v>High Balance</v>
      </c>
      <c r="P9831" t="str">
        <f t="shared" si="615"/>
        <v>New</v>
      </c>
    </row>
    <row r="9832" spans="1:16" x14ac:dyDescent="0.25">
      <c r="A9832">
        <v>2025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  <c r="M9832" t="str">
        <f t="shared" si="612"/>
        <v>30-45</v>
      </c>
      <c r="N9832" t="str">
        <f t="shared" si="613"/>
        <v>Medium</v>
      </c>
      <c r="O9832" t="str">
        <f t="shared" si="614"/>
        <v>Low Balance</v>
      </c>
      <c r="P9832" t="str">
        <f t="shared" si="615"/>
        <v>Mid-term</v>
      </c>
    </row>
    <row r="9833" spans="1:16" x14ac:dyDescent="0.25">
      <c r="A9833">
        <v>2025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  <c r="M9833" t="str">
        <f t="shared" si="612"/>
        <v>46-60</v>
      </c>
      <c r="N9833" t="str">
        <f t="shared" si="613"/>
        <v>High</v>
      </c>
      <c r="O9833" t="str">
        <f t="shared" si="614"/>
        <v>High Balance</v>
      </c>
      <c r="P9833" t="str">
        <f t="shared" si="615"/>
        <v>New</v>
      </c>
    </row>
    <row r="9834" spans="1:16" x14ac:dyDescent="0.25">
      <c r="A9834">
        <v>2025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  <c r="M9834" t="str">
        <f t="shared" si="612"/>
        <v>60+</v>
      </c>
      <c r="N9834" t="str">
        <f t="shared" si="613"/>
        <v>Medium</v>
      </c>
      <c r="O9834" t="str">
        <f t="shared" si="614"/>
        <v>High Balance</v>
      </c>
      <c r="P9834" t="str">
        <f t="shared" si="615"/>
        <v>New</v>
      </c>
    </row>
    <row r="9835" spans="1:16" x14ac:dyDescent="0.25">
      <c r="A9835">
        <v>2025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  <c r="M9835" t="str">
        <f t="shared" si="612"/>
        <v>30-45</v>
      </c>
      <c r="N9835" t="str">
        <f t="shared" si="613"/>
        <v>Medium</v>
      </c>
      <c r="O9835" t="str">
        <f t="shared" si="614"/>
        <v>High Balance</v>
      </c>
      <c r="P9835" t="str">
        <f t="shared" si="615"/>
        <v>New</v>
      </c>
    </row>
    <row r="9836" spans="1:16" x14ac:dyDescent="0.25">
      <c r="A9836">
        <v>2025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  <c r="M9836" t="str">
        <f t="shared" si="612"/>
        <v>46-60</v>
      </c>
      <c r="N9836" t="str">
        <f t="shared" si="613"/>
        <v>Medium</v>
      </c>
      <c r="O9836" t="str">
        <f t="shared" si="614"/>
        <v>Low Balance</v>
      </c>
      <c r="P9836" t="str">
        <f t="shared" si="615"/>
        <v>Mid-term</v>
      </c>
    </row>
    <row r="9837" spans="1:16" x14ac:dyDescent="0.25">
      <c r="A9837">
        <v>2025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  <c r="M9837" t="str">
        <f t="shared" si="612"/>
        <v>30-45</v>
      </c>
      <c r="N9837" t="str">
        <f t="shared" si="613"/>
        <v>High</v>
      </c>
      <c r="O9837" t="str">
        <f t="shared" si="614"/>
        <v>Zero Balance</v>
      </c>
      <c r="P9837" t="str">
        <f t="shared" si="615"/>
        <v>New</v>
      </c>
    </row>
    <row r="9838" spans="1:16" x14ac:dyDescent="0.25">
      <c r="A9838">
        <v>2025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  <c r="M9838" t="str">
        <f t="shared" si="612"/>
        <v>30-45</v>
      </c>
      <c r="N9838" t="str">
        <f t="shared" si="613"/>
        <v>Medium</v>
      </c>
      <c r="O9838" t="str">
        <f t="shared" si="614"/>
        <v>Zero Balance</v>
      </c>
      <c r="P9838" t="str">
        <f t="shared" si="615"/>
        <v>Long-term</v>
      </c>
    </row>
    <row r="9839" spans="1:16" x14ac:dyDescent="0.25">
      <c r="A9839">
        <v>2025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  <c r="M9839" t="str">
        <f t="shared" si="612"/>
        <v>30-45</v>
      </c>
      <c r="N9839" t="str">
        <f t="shared" si="613"/>
        <v>High</v>
      </c>
      <c r="O9839" t="str">
        <f t="shared" si="614"/>
        <v>High Balance</v>
      </c>
      <c r="P9839" t="str">
        <f t="shared" si="615"/>
        <v>Mid-term</v>
      </c>
    </row>
    <row r="9840" spans="1:16" x14ac:dyDescent="0.25">
      <c r="A9840">
        <v>2025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  <c r="M9840" t="str">
        <f t="shared" si="612"/>
        <v>30-45</v>
      </c>
      <c r="N9840" t="str">
        <f t="shared" si="613"/>
        <v>Medium</v>
      </c>
      <c r="O9840" t="str">
        <f t="shared" si="614"/>
        <v>High Balance</v>
      </c>
      <c r="P9840" t="str">
        <f t="shared" si="615"/>
        <v>New</v>
      </c>
    </row>
    <row r="9841" spans="1:16" x14ac:dyDescent="0.25">
      <c r="A9841">
        <v>2025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  <c r="M9841" t="str">
        <f t="shared" si="612"/>
        <v>30-45</v>
      </c>
      <c r="N9841" t="str">
        <f t="shared" si="613"/>
        <v>Low</v>
      </c>
      <c r="O9841" t="str">
        <f t="shared" si="614"/>
        <v>Zero Balance</v>
      </c>
      <c r="P9841" t="str">
        <f t="shared" si="615"/>
        <v>Mid-term</v>
      </c>
    </row>
    <row r="9842" spans="1:16" x14ac:dyDescent="0.25">
      <c r="A9842">
        <v>2025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  <c r="M9842" t="str">
        <f t="shared" si="612"/>
        <v>&lt;30</v>
      </c>
      <c r="N9842" t="str">
        <f t="shared" si="613"/>
        <v>Medium</v>
      </c>
      <c r="O9842" t="str">
        <f t="shared" si="614"/>
        <v>Zero Balance</v>
      </c>
      <c r="P9842" t="str">
        <f t="shared" si="615"/>
        <v>Long-term</v>
      </c>
    </row>
    <row r="9843" spans="1:16" x14ac:dyDescent="0.25">
      <c r="A9843">
        <v>2025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  <c r="M9843" t="str">
        <f t="shared" si="612"/>
        <v>46-60</v>
      </c>
      <c r="N9843" t="str">
        <f t="shared" si="613"/>
        <v>Medium</v>
      </c>
      <c r="O9843" t="str">
        <f t="shared" si="614"/>
        <v>Low Balance</v>
      </c>
      <c r="P9843" t="str">
        <f t="shared" si="615"/>
        <v>New</v>
      </c>
    </row>
    <row r="9844" spans="1:16" x14ac:dyDescent="0.25">
      <c r="A9844">
        <v>2025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  <c r="M9844" t="str">
        <f t="shared" si="612"/>
        <v>30-45</v>
      </c>
      <c r="N9844" t="str">
        <f t="shared" si="613"/>
        <v>Medium</v>
      </c>
      <c r="O9844" t="str">
        <f t="shared" si="614"/>
        <v>High Balance</v>
      </c>
      <c r="P9844" t="str">
        <f t="shared" si="615"/>
        <v>Long-term</v>
      </c>
    </row>
    <row r="9845" spans="1:16" x14ac:dyDescent="0.25">
      <c r="A9845">
        <v>2025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  <c r="M9845" t="str">
        <f t="shared" si="612"/>
        <v>&lt;30</v>
      </c>
      <c r="N9845" t="str">
        <f t="shared" si="613"/>
        <v>Medium</v>
      </c>
      <c r="O9845" t="str">
        <f t="shared" si="614"/>
        <v>Low Balance</v>
      </c>
      <c r="P9845" t="str">
        <f t="shared" si="615"/>
        <v>New</v>
      </c>
    </row>
    <row r="9846" spans="1:16" x14ac:dyDescent="0.25">
      <c r="A9846">
        <v>2025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  <c r="M9846" t="str">
        <f t="shared" si="612"/>
        <v>30-45</v>
      </c>
      <c r="N9846" t="str">
        <f t="shared" si="613"/>
        <v>Medium</v>
      </c>
      <c r="O9846" t="str">
        <f t="shared" si="614"/>
        <v>High Balance</v>
      </c>
      <c r="P9846" t="str">
        <f t="shared" si="615"/>
        <v>Mid-term</v>
      </c>
    </row>
    <row r="9847" spans="1:16" x14ac:dyDescent="0.25">
      <c r="A9847">
        <v>2025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  <c r="M9847" t="str">
        <f t="shared" si="612"/>
        <v>30-45</v>
      </c>
      <c r="N9847" t="str">
        <f t="shared" si="613"/>
        <v>Medium</v>
      </c>
      <c r="O9847" t="str">
        <f t="shared" si="614"/>
        <v>Zero Balance</v>
      </c>
      <c r="P9847" t="str">
        <f t="shared" si="615"/>
        <v>Long-term</v>
      </c>
    </row>
    <row r="9848" spans="1:16" x14ac:dyDescent="0.25">
      <c r="A9848">
        <v>2025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  <c r="M9848" t="str">
        <f t="shared" si="612"/>
        <v>&lt;30</v>
      </c>
      <c r="N9848" t="str">
        <f t="shared" si="613"/>
        <v>Medium</v>
      </c>
      <c r="O9848" t="str">
        <f t="shared" si="614"/>
        <v>High Balance</v>
      </c>
      <c r="P9848" t="str">
        <f t="shared" si="615"/>
        <v>Mid-term</v>
      </c>
    </row>
    <row r="9849" spans="1:16" x14ac:dyDescent="0.25">
      <c r="A9849">
        <v>2025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  <c r="M9849" t="str">
        <f t="shared" si="612"/>
        <v>30-45</v>
      </c>
      <c r="N9849" t="str">
        <f t="shared" si="613"/>
        <v>Medium</v>
      </c>
      <c r="O9849" t="str">
        <f t="shared" si="614"/>
        <v>Zero Balance</v>
      </c>
      <c r="P9849" t="str">
        <f t="shared" si="615"/>
        <v>Long-term</v>
      </c>
    </row>
    <row r="9850" spans="1:16" x14ac:dyDescent="0.25">
      <c r="A9850">
        <v>2025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  <c r="M9850" t="str">
        <f t="shared" si="612"/>
        <v>30-45</v>
      </c>
      <c r="N9850" t="str">
        <f t="shared" si="613"/>
        <v>Medium</v>
      </c>
      <c r="O9850" t="str">
        <f t="shared" si="614"/>
        <v>High Balance</v>
      </c>
      <c r="P9850" t="str">
        <f t="shared" si="615"/>
        <v>Long-term</v>
      </c>
    </row>
    <row r="9851" spans="1:16" x14ac:dyDescent="0.25">
      <c r="A9851">
        <v>2025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  <c r="M9851" t="str">
        <f t="shared" si="612"/>
        <v>30-45</v>
      </c>
      <c r="N9851" t="str">
        <f t="shared" si="613"/>
        <v>Medium</v>
      </c>
      <c r="O9851" t="str">
        <f t="shared" si="614"/>
        <v>Zero Balance</v>
      </c>
      <c r="P9851" t="str">
        <f t="shared" si="615"/>
        <v>Mid-term</v>
      </c>
    </row>
    <row r="9852" spans="1:16" x14ac:dyDescent="0.25">
      <c r="A9852">
        <v>2025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  <c r="M9852" t="str">
        <f t="shared" si="612"/>
        <v>&lt;30</v>
      </c>
      <c r="N9852" t="str">
        <f t="shared" si="613"/>
        <v>Low</v>
      </c>
      <c r="O9852" t="str">
        <f t="shared" si="614"/>
        <v>High Balance</v>
      </c>
      <c r="P9852" t="str">
        <f t="shared" si="615"/>
        <v>Mid-term</v>
      </c>
    </row>
    <row r="9853" spans="1:16" x14ac:dyDescent="0.25">
      <c r="A9853">
        <v>2025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  <c r="M9853" t="str">
        <f t="shared" si="612"/>
        <v>&lt;30</v>
      </c>
      <c r="N9853" t="str">
        <f t="shared" si="613"/>
        <v>Medium</v>
      </c>
      <c r="O9853" t="str">
        <f t="shared" si="614"/>
        <v>High Balance</v>
      </c>
      <c r="P9853" t="str">
        <f t="shared" si="615"/>
        <v>Long-term</v>
      </c>
    </row>
    <row r="9854" spans="1:16" x14ac:dyDescent="0.25">
      <c r="A9854">
        <v>2025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  <c r="M9854" t="str">
        <f t="shared" si="612"/>
        <v>30-45</v>
      </c>
      <c r="N9854" t="str">
        <f t="shared" si="613"/>
        <v>Medium</v>
      </c>
      <c r="O9854" t="str">
        <f t="shared" si="614"/>
        <v>High Balance</v>
      </c>
      <c r="P9854" t="str">
        <f t="shared" si="615"/>
        <v>Mid-term</v>
      </c>
    </row>
    <row r="9855" spans="1:16" x14ac:dyDescent="0.25">
      <c r="A9855">
        <v>2025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  <c r="M9855" t="str">
        <f t="shared" si="612"/>
        <v>30-45</v>
      </c>
      <c r="N9855" t="str">
        <f t="shared" si="613"/>
        <v>High</v>
      </c>
      <c r="O9855" t="str">
        <f t="shared" si="614"/>
        <v>High Balance</v>
      </c>
      <c r="P9855" t="str">
        <f t="shared" si="615"/>
        <v>Long-term</v>
      </c>
    </row>
    <row r="9856" spans="1:16" x14ac:dyDescent="0.25">
      <c r="A9856">
        <v>2025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  <c r="M9856" t="str">
        <f t="shared" si="612"/>
        <v>30-45</v>
      </c>
      <c r="N9856" t="str">
        <f t="shared" si="613"/>
        <v>Medium</v>
      </c>
      <c r="O9856" t="str">
        <f t="shared" si="614"/>
        <v>High Balance</v>
      </c>
      <c r="P9856" t="str">
        <f t="shared" si="615"/>
        <v>Mid-term</v>
      </c>
    </row>
    <row r="9857" spans="1:16" x14ac:dyDescent="0.25">
      <c r="A9857">
        <v>2025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  <c r="M9857" t="str">
        <f t="shared" si="612"/>
        <v>&lt;30</v>
      </c>
      <c r="N9857" t="str">
        <f t="shared" si="613"/>
        <v>High</v>
      </c>
      <c r="O9857" t="str">
        <f t="shared" si="614"/>
        <v>High Balance</v>
      </c>
      <c r="P9857" t="str">
        <f t="shared" si="615"/>
        <v>New</v>
      </c>
    </row>
    <row r="9858" spans="1:16" x14ac:dyDescent="0.25">
      <c r="A9858">
        <v>2025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  <c r="M9858" t="str">
        <f t="shared" si="612"/>
        <v>30-45</v>
      </c>
      <c r="N9858" t="str">
        <f t="shared" si="613"/>
        <v>High</v>
      </c>
      <c r="O9858" t="str">
        <f t="shared" si="614"/>
        <v>High Balance</v>
      </c>
      <c r="P9858" t="str">
        <f t="shared" si="615"/>
        <v>New</v>
      </c>
    </row>
    <row r="9859" spans="1:16" x14ac:dyDescent="0.25">
      <c r="A9859">
        <v>2025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  <c r="M9859" t="str">
        <f t="shared" ref="M9859:M9922" si="616">IF(E9859&lt;30,"&lt;30",IF(E9859&lt;=45,"30-45",IF(E9859&lt;=60,"46-60","60+")))</f>
        <v>30-45</v>
      </c>
      <c r="N9859" t="str">
        <f t="shared" ref="N9859:N9922" si="617">IF(B9859&lt;500,"Low",IF(B9859&lt;700,"Medium","High"))</f>
        <v>High</v>
      </c>
      <c r="O9859" t="str">
        <f t="shared" ref="O9859:O9922" si="618">IF(G9859=0,"Zero Balance",IF(G9859&lt;100000,"Low Balance","High Balance"))</f>
        <v>Low Balance</v>
      </c>
      <c r="P9859" t="str">
        <f t="shared" ref="P9859:P9922" si="619">IF(F9859&lt;=3,"New",IF(F9859&lt;=7,"Mid-term","Long-term"))</f>
        <v>New</v>
      </c>
    </row>
    <row r="9860" spans="1:16" x14ac:dyDescent="0.25">
      <c r="A9860">
        <v>2025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  <c r="M9860" t="str">
        <f t="shared" si="616"/>
        <v>30-45</v>
      </c>
      <c r="N9860" t="str">
        <f t="shared" si="617"/>
        <v>Medium</v>
      </c>
      <c r="O9860" t="str">
        <f t="shared" si="618"/>
        <v>High Balance</v>
      </c>
      <c r="P9860" t="str">
        <f t="shared" si="619"/>
        <v>New</v>
      </c>
    </row>
    <row r="9861" spans="1:16" x14ac:dyDescent="0.25">
      <c r="A9861">
        <v>2025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  <c r="M9861" t="str">
        <f t="shared" si="616"/>
        <v>46-60</v>
      </c>
      <c r="N9861" t="str">
        <f t="shared" si="617"/>
        <v>Medium</v>
      </c>
      <c r="O9861" t="str">
        <f t="shared" si="618"/>
        <v>High Balance</v>
      </c>
      <c r="P9861" t="str">
        <f t="shared" si="619"/>
        <v>Mid-term</v>
      </c>
    </row>
    <row r="9862" spans="1:16" x14ac:dyDescent="0.25">
      <c r="A9862">
        <v>2025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  <c r="M9862" t="str">
        <f t="shared" si="616"/>
        <v>30-45</v>
      </c>
      <c r="N9862" t="str">
        <f t="shared" si="617"/>
        <v>High</v>
      </c>
      <c r="O9862" t="str">
        <f t="shared" si="618"/>
        <v>High Balance</v>
      </c>
      <c r="P9862" t="str">
        <f t="shared" si="619"/>
        <v>Long-term</v>
      </c>
    </row>
    <row r="9863" spans="1:16" x14ac:dyDescent="0.25">
      <c r="A9863">
        <v>2025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  <c r="M9863" t="str">
        <f t="shared" si="616"/>
        <v>30-45</v>
      </c>
      <c r="N9863" t="str">
        <f t="shared" si="617"/>
        <v>Medium</v>
      </c>
      <c r="O9863" t="str">
        <f t="shared" si="618"/>
        <v>Zero Balance</v>
      </c>
      <c r="P9863" t="str">
        <f t="shared" si="619"/>
        <v>Long-term</v>
      </c>
    </row>
    <row r="9864" spans="1:16" x14ac:dyDescent="0.25">
      <c r="A9864">
        <v>2025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  <c r="M9864" t="str">
        <f t="shared" si="616"/>
        <v>&lt;30</v>
      </c>
      <c r="N9864" t="str">
        <f t="shared" si="617"/>
        <v>High</v>
      </c>
      <c r="O9864" t="str">
        <f t="shared" si="618"/>
        <v>Zero Balance</v>
      </c>
      <c r="P9864" t="str">
        <f t="shared" si="619"/>
        <v>Long-term</v>
      </c>
    </row>
    <row r="9865" spans="1:16" x14ac:dyDescent="0.25">
      <c r="A9865">
        <v>2025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  <c r="M9865" t="str">
        <f t="shared" si="616"/>
        <v>30-45</v>
      </c>
      <c r="N9865" t="str">
        <f t="shared" si="617"/>
        <v>High</v>
      </c>
      <c r="O9865" t="str">
        <f t="shared" si="618"/>
        <v>High Balance</v>
      </c>
      <c r="P9865" t="str">
        <f t="shared" si="619"/>
        <v>Mid-term</v>
      </c>
    </row>
    <row r="9866" spans="1:16" x14ac:dyDescent="0.25">
      <c r="A9866">
        <v>2025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  <c r="M9866" t="str">
        <f t="shared" si="616"/>
        <v>30-45</v>
      </c>
      <c r="N9866" t="str">
        <f t="shared" si="617"/>
        <v>High</v>
      </c>
      <c r="O9866" t="str">
        <f t="shared" si="618"/>
        <v>High Balance</v>
      </c>
      <c r="P9866" t="str">
        <f t="shared" si="619"/>
        <v>New</v>
      </c>
    </row>
    <row r="9867" spans="1:16" x14ac:dyDescent="0.25">
      <c r="A9867">
        <v>2025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  <c r="M9867" t="str">
        <f t="shared" si="616"/>
        <v>46-60</v>
      </c>
      <c r="N9867" t="str">
        <f t="shared" si="617"/>
        <v>Medium</v>
      </c>
      <c r="O9867" t="str">
        <f t="shared" si="618"/>
        <v>Zero Balance</v>
      </c>
      <c r="P9867" t="str">
        <f t="shared" si="619"/>
        <v>New</v>
      </c>
    </row>
    <row r="9868" spans="1:16" x14ac:dyDescent="0.25">
      <c r="A9868">
        <v>2025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  <c r="M9868" t="str">
        <f t="shared" si="616"/>
        <v>&lt;30</v>
      </c>
      <c r="N9868" t="str">
        <f t="shared" si="617"/>
        <v>Medium</v>
      </c>
      <c r="O9868" t="str">
        <f t="shared" si="618"/>
        <v>Zero Balance</v>
      </c>
      <c r="P9868" t="str">
        <f t="shared" si="619"/>
        <v>Mid-term</v>
      </c>
    </row>
    <row r="9869" spans="1:16" x14ac:dyDescent="0.25">
      <c r="A9869">
        <v>2025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  <c r="M9869" t="str">
        <f t="shared" si="616"/>
        <v>30-45</v>
      </c>
      <c r="N9869" t="str">
        <f t="shared" si="617"/>
        <v>High</v>
      </c>
      <c r="O9869" t="str">
        <f t="shared" si="618"/>
        <v>Zero Balance</v>
      </c>
      <c r="P9869" t="str">
        <f t="shared" si="619"/>
        <v>Mid-term</v>
      </c>
    </row>
    <row r="9870" spans="1:16" x14ac:dyDescent="0.25">
      <c r="A9870">
        <v>2025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  <c r="M9870" t="str">
        <f t="shared" si="616"/>
        <v>30-45</v>
      </c>
      <c r="N9870" t="str">
        <f t="shared" si="617"/>
        <v>High</v>
      </c>
      <c r="O9870" t="str">
        <f t="shared" si="618"/>
        <v>Low Balance</v>
      </c>
      <c r="P9870" t="str">
        <f t="shared" si="619"/>
        <v>New</v>
      </c>
    </row>
    <row r="9871" spans="1:16" x14ac:dyDescent="0.25">
      <c r="A9871">
        <v>2025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  <c r="M9871" t="str">
        <f t="shared" si="616"/>
        <v>30-45</v>
      </c>
      <c r="N9871" t="str">
        <f t="shared" si="617"/>
        <v>Medium</v>
      </c>
      <c r="O9871" t="str">
        <f t="shared" si="618"/>
        <v>Zero Balance</v>
      </c>
      <c r="P9871" t="str">
        <f t="shared" si="619"/>
        <v>Mid-term</v>
      </c>
    </row>
    <row r="9872" spans="1:16" x14ac:dyDescent="0.25">
      <c r="A9872">
        <v>2025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  <c r="M9872" t="str">
        <f t="shared" si="616"/>
        <v>30-45</v>
      </c>
      <c r="N9872" t="str">
        <f t="shared" si="617"/>
        <v>Medium</v>
      </c>
      <c r="O9872" t="str">
        <f t="shared" si="618"/>
        <v>High Balance</v>
      </c>
      <c r="P9872" t="str">
        <f t="shared" si="619"/>
        <v>New</v>
      </c>
    </row>
    <row r="9873" spans="1:16" x14ac:dyDescent="0.25">
      <c r="A9873">
        <v>2025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  <c r="M9873" t="str">
        <f t="shared" si="616"/>
        <v>30-45</v>
      </c>
      <c r="N9873" t="str">
        <f t="shared" si="617"/>
        <v>Medium</v>
      </c>
      <c r="O9873" t="str">
        <f t="shared" si="618"/>
        <v>High Balance</v>
      </c>
      <c r="P9873" t="str">
        <f t="shared" si="619"/>
        <v>New</v>
      </c>
    </row>
    <row r="9874" spans="1:16" x14ac:dyDescent="0.25">
      <c r="A9874">
        <v>2025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  <c r="M9874" t="str">
        <f t="shared" si="616"/>
        <v>30-45</v>
      </c>
      <c r="N9874" t="str">
        <f t="shared" si="617"/>
        <v>Medium</v>
      </c>
      <c r="O9874" t="str">
        <f t="shared" si="618"/>
        <v>Zero Balance</v>
      </c>
      <c r="P9874" t="str">
        <f t="shared" si="619"/>
        <v>New</v>
      </c>
    </row>
    <row r="9875" spans="1:16" x14ac:dyDescent="0.25">
      <c r="A9875">
        <v>2025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  <c r="M9875" t="str">
        <f t="shared" si="616"/>
        <v>30-45</v>
      </c>
      <c r="N9875" t="str">
        <f t="shared" si="617"/>
        <v>High</v>
      </c>
      <c r="O9875" t="str">
        <f t="shared" si="618"/>
        <v>High Balance</v>
      </c>
      <c r="P9875" t="str">
        <f t="shared" si="619"/>
        <v>Long-term</v>
      </c>
    </row>
    <row r="9876" spans="1:16" x14ac:dyDescent="0.25">
      <c r="A9876">
        <v>2025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  <c r="M9876" t="str">
        <f t="shared" si="616"/>
        <v>30-45</v>
      </c>
      <c r="N9876" t="str">
        <f t="shared" si="617"/>
        <v>High</v>
      </c>
      <c r="O9876" t="str">
        <f t="shared" si="618"/>
        <v>Zero Balance</v>
      </c>
      <c r="P9876" t="str">
        <f t="shared" si="619"/>
        <v>Mid-term</v>
      </c>
    </row>
    <row r="9877" spans="1:16" x14ac:dyDescent="0.25">
      <c r="A9877">
        <v>2025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  <c r="M9877" t="str">
        <f t="shared" si="616"/>
        <v>30-45</v>
      </c>
      <c r="N9877" t="str">
        <f t="shared" si="617"/>
        <v>Medium</v>
      </c>
      <c r="O9877" t="str">
        <f t="shared" si="618"/>
        <v>Zero Balance</v>
      </c>
      <c r="P9877" t="str">
        <f t="shared" si="619"/>
        <v>Mid-term</v>
      </c>
    </row>
    <row r="9878" spans="1:16" x14ac:dyDescent="0.25">
      <c r="A9878">
        <v>2025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  <c r="M9878" t="str">
        <f t="shared" si="616"/>
        <v>30-45</v>
      </c>
      <c r="N9878" t="str">
        <f t="shared" si="617"/>
        <v>Medium</v>
      </c>
      <c r="O9878" t="str">
        <f t="shared" si="618"/>
        <v>High Balance</v>
      </c>
      <c r="P9878" t="str">
        <f t="shared" si="619"/>
        <v>Mid-term</v>
      </c>
    </row>
    <row r="9879" spans="1:16" x14ac:dyDescent="0.25">
      <c r="A9879">
        <v>2025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  <c r="M9879" t="str">
        <f t="shared" si="616"/>
        <v>30-45</v>
      </c>
      <c r="N9879" t="str">
        <f t="shared" si="617"/>
        <v>Medium</v>
      </c>
      <c r="O9879" t="str">
        <f t="shared" si="618"/>
        <v>High Balance</v>
      </c>
      <c r="P9879" t="str">
        <f t="shared" si="619"/>
        <v>New</v>
      </c>
    </row>
    <row r="9880" spans="1:16" x14ac:dyDescent="0.25">
      <c r="A9880">
        <v>2025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  <c r="M9880" t="str">
        <f t="shared" si="616"/>
        <v>30-45</v>
      </c>
      <c r="N9880" t="str">
        <f t="shared" si="617"/>
        <v>High</v>
      </c>
      <c r="O9880" t="str">
        <f t="shared" si="618"/>
        <v>High Balance</v>
      </c>
      <c r="P9880" t="str">
        <f t="shared" si="619"/>
        <v>Long-term</v>
      </c>
    </row>
    <row r="9881" spans="1:16" x14ac:dyDescent="0.25">
      <c r="A9881">
        <v>2025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  <c r="M9881" t="str">
        <f t="shared" si="616"/>
        <v>60+</v>
      </c>
      <c r="N9881" t="str">
        <f t="shared" si="617"/>
        <v>Low</v>
      </c>
      <c r="O9881" t="str">
        <f t="shared" si="618"/>
        <v>High Balance</v>
      </c>
      <c r="P9881" t="str">
        <f t="shared" si="619"/>
        <v>Long-term</v>
      </c>
    </row>
    <row r="9882" spans="1:16" x14ac:dyDescent="0.25">
      <c r="A9882">
        <v>2025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  <c r="M9882" t="str">
        <f t="shared" si="616"/>
        <v>30-45</v>
      </c>
      <c r="N9882" t="str">
        <f t="shared" si="617"/>
        <v>Medium</v>
      </c>
      <c r="O9882" t="str">
        <f t="shared" si="618"/>
        <v>High Balance</v>
      </c>
      <c r="P9882" t="str">
        <f t="shared" si="619"/>
        <v>New</v>
      </c>
    </row>
    <row r="9883" spans="1:16" x14ac:dyDescent="0.25">
      <c r="A9883">
        <v>2025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  <c r="M9883" t="str">
        <f t="shared" si="616"/>
        <v>30-45</v>
      </c>
      <c r="N9883" t="str">
        <f t="shared" si="617"/>
        <v>Medium</v>
      </c>
      <c r="O9883" t="str">
        <f t="shared" si="618"/>
        <v>Zero Balance</v>
      </c>
      <c r="P9883" t="str">
        <f t="shared" si="619"/>
        <v>New</v>
      </c>
    </row>
    <row r="9884" spans="1:16" x14ac:dyDescent="0.25">
      <c r="A9884">
        <v>2025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  <c r="M9884" t="str">
        <f t="shared" si="616"/>
        <v>46-60</v>
      </c>
      <c r="N9884" t="str">
        <f t="shared" si="617"/>
        <v>High</v>
      </c>
      <c r="O9884" t="str">
        <f t="shared" si="618"/>
        <v>High Balance</v>
      </c>
      <c r="P9884" t="str">
        <f t="shared" si="619"/>
        <v>New</v>
      </c>
    </row>
    <row r="9885" spans="1:16" x14ac:dyDescent="0.25">
      <c r="A9885">
        <v>2025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  <c r="M9885" t="str">
        <f t="shared" si="616"/>
        <v>30-45</v>
      </c>
      <c r="N9885" t="str">
        <f t="shared" si="617"/>
        <v>Medium</v>
      </c>
      <c r="O9885" t="str">
        <f t="shared" si="618"/>
        <v>High Balance</v>
      </c>
      <c r="P9885" t="str">
        <f t="shared" si="619"/>
        <v>New</v>
      </c>
    </row>
    <row r="9886" spans="1:16" x14ac:dyDescent="0.25">
      <c r="A9886">
        <v>2025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  <c r="M9886" t="str">
        <f t="shared" si="616"/>
        <v>46-60</v>
      </c>
      <c r="N9886" t="str">
        <f t="shared" si="617"/>
        <v>High</v>
      </c>
      <c r="O9886" t="str">
        <f t="shared" si="618"/>
        <v>Zero Balance</v>
      </c>
      <c r="P9886" t="str">
        <f t="shared" si="619"/>
        <v>Mid-term</v>
      </c>
    </row>
    <row r="9887" spans="1:16" x14ac:dyDescent="0.25">
      <c r="A9887">
        <v>2025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  <c r="M9887" t="str">
        <f t="shared" si="616"/>
        <v>30-45</v>
      </c>
      <c r="N9887" t="str">
        <f t="shared" si="617"/>
        <v>Medium</v>
      </c>
      <c r="O9887" t="str">
        <f t="shared" si="618"/>
        <v>High Balance</v>
      </c>
      <c r="P9887" t="str">
        <f t="shared" si="619"/>
        <v>Long-term</v>
      </c>
    </row>
    <row r="9888" spans="1:16" x14ac:dyDescent="0.25">
      <c r="A9888">
        <v>2025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  <c r="M9888" t="str">
        <f t="shared" si="616"/>
        <v>30-45</v>
      </c>
      <c r="N9888" t="str">
        <f t="shared" si="617"/>
        <v>Medium</v>
      </c>
      <c r="O9888" t="str">
        <f t="shared" si="618"/>
        <v>Low Balance</v>
      </c>
      <c r="P9888" t="str">
        <f t="shared" si="619"/>
        <v>New</v>
      </c>
    </row>
    <row r="9889" spans="1:16" x14ac:dyDescent="0.25">
      <c r="A9889">
        <v>2025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  <c r="M9889" t="str">
        <f t="shared" si="616"/>
        <v>&lt;30</v>
      </c>
      <c r="N9889" t="str">
        <f t="shared" si="617"/>
        <v>Medium</v>
      </c>
      <c r="O9889" t="str">
        <f t="shared" si="618"/>
        <v>High Balance</v>
      </c>
      <c r="P9889" t="str">
        <f t="shared" si="619"/>
        <v>Long-term</v>
      </c>
    </row>
    <row r="9890" spans="1:16" x14ac:dyDescent="0.25">
      <c r="A9890">
        <v>2025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  <c r="M9890" t="str">
        <f t="shared" si="616"/>
        <v>&lt;30</v>
      </c>
      <c r="N9890" t="str">
        <f t="shared" si="617"/>
        <v>Medium</v>
      </c>
      <c r="O9890" t="str">
        <f t="shared" si="618"/>
        <v>High Balance</v>
      </c>
      <c r="P9890" t="str">
        <f t="shared" si="619"/>
        <v>Long-term</v>
      </c>
    </row>
    <row r="9891" spans="1:16" x14ac:dyDescent="0.25">
      <c r="A9891">
        <v>2025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  <c r="M9891" t="str">
        <f t="shared" si="616"/>
        <v>30-45</v>
      </c>
      <c r="N9891" t="str">
        <f t="shared" si="617"/>
        <v>High</v>
      </c>
      <c r="O9891" t="str">
        <f t="shared" si="618"/>
        <v>Zero Balance</v>
      </c>
      <c r="P9891" t="str">
        <f t="shared" si="619"/>
        <v>New</v>
      </c>
    </row>
    <row r="9892" spans="1:16" x14ac:dyDescent="0.25">
      <c r="A9892">
        <v>2025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  <c r="M9892" t="str">
        <f t="shared" si="616"/>
        <v>30-45</v>
      </c>
      <c r="N9892" t="str">
        <f t="shared" si="617"/>
        <v>Medium</v>
      </c>
      <c r="O9892" t="str">
        <f t="shared" si="618"/>
        <v>High Balance</v>
      </c>
      <c r="P9892" t="str">
        <f t="shared" si="619"/>
        <v>Mid-term</v>
      </c>
    </row>
    <row r="9893" spans="1:16" x14ac:dyDescent="0.25">
      <c r="A9893">
        <v>2025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  <c r="M9893" t="str">
        <f t="shared" si="616"/>
        <v>46-60</v>
      </c>
      <c r="N9893" t="str">
        <f t="shared" si="617"/>
        <v>Medium</v>
      </c>
      <c r="O9893" t="str">
        <f t="shared" si="618"/>
        <v>Zero Balance</v>
      </c>
      <c r="P9893" t="str">
        <f t="shared" si="619"/>
        <v>Long-term</v>
      </c>
    </row>
    <row r="9894" spans="1:16" x14ac:dyDescent="0.25">
      <c r="A9894">
        <v>2025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  <c r="M9894" t="str">
        <f t="shared" si="616"/>
        <v>30-45</v>
      </c>
      <c r="N9894" t="str">
        <f t="shared" si="617"/>
        <v>Medium</v>
      </c>
      <c r="O9894" t="str">
        <f t="shared" si="618"/>
        <v>High Balance</v>
      </c>
      <c r="P9894" t="str">
        <f t="shared" si="619"/>
        <v>Mid-term</v>
      </c>
    </row>
    <row r="9895" spans="1:16" x14ac:dyDescent="0.25">
      <c r="A9895">
        <v>2025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  <c r="M9895" t="str">
        <f t="shared" si="616"/>
        <v>30-45</v>
      </c>
      <c r="N9895" t="str">
        <f t="shared" si="617"/>
        <v>High</v>
      </c>
      <c r="O9895" t="str">
        <f t="shared" si="618"/>
        <v>High Balance</v>
      </c>
      <c r="P9895" t="str">
        <f t="shared" si="619"/>
        <v>Long-term</v>
      </c>
    </row>
    <row r="9896" spans="1:16" x14ac:dyDescent="0.25">
      <c r="A9896">
        <v>2025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  <c r="M9896" t="str">
        <f t="shared" si="616"/>
        <v>60+</v>
      </c>
      <c r="N9896" t="str">
        <f t="shared" si="617"/>
        <v>Medium</v>
      </c>
      <c r="O9896" t="str">
        <f t="shared" si="618"/>
        <v>Zero Balance</v>
      </c>
      <c r="P9896" t="str">
        <f t="shared" si="619"/>
        <v>Mid-term</v>
      </c>
    </row>
    <row r="9897" spans="1:16" x14ac:dyDescent="0.25">
      <c r="A9897">
        <v>2025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  <c r="M9897" t="str">
        <f t="shared" si="616"/>
        <v>46-60</v>
      </c>
      <c r="N9897" t="str">
        <f t="shared" si="617"/>
        <v>Medium</v>
      </c>
      <c r="O9897" t="str">
        <f t="shared" si="618"/>
        <v>High Balance</v>
      </c>
      <c r="P9897" t="str">
        <f t="shared" si="619"/>
        <v>New</v>
      </c>
    </row>
    <row r="9898" spans="1:16" x14ac:dyDescent="0.25">
      <c r="A9898">
        <v>2025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  <c r="M9898" t="str">
        <f t="shared" si="616"/>
        <v>30-45</v>
      </c>
      <c r="N9898" t="str">
        <f t="shared" si="617"/>
        <v>High</v>
      </c>
      <c r="O9898" t="str">
        <f t="shared" si="618"/>
        <v>High Balance</v>
      </c>
      <c r="P9898" t="str">
        <f t="shared" si="619"/>
        <v>New</v>
      </c>
    </row>
    <row r="9899" spans="1:16" x14ac:dyDescent="0.25">
      <c r="A9899">
        <v>2025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  <c r="M9899" t="str">
        <f t="shared" si="616"/>
        <v>60+</v>
      </c>
      <c r="N9899" t="str">
        <f t="shared" si="617"/>
        <v>Medium</v>
      </c>
      <c r="O9899" t="str">
        <f t="shared" si="618"/>
        <v>Zero Balance</v>
      </c>
      <c r="P9899" t="str">
        <f t="shared" si="619"/>
        <v>Long-term</v>
      </c>
    </row>
    <row r="9900" spans="1:16" x14ac:dyDescent="0.25">
      <c r="A9900">
        <v>2025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  <c r="M9900" t="str">
        <f t="shared" si="616"/>
        <v>30-45</v>
      </c>
      <c r="N9900" t="str">
        <f t="shared" si="617"/>
        <v>Medium</v>
      </c>
      <c r="O9900" t="str">
        <f t="shared" si="618"/>
        <v>Zero Balance</v>
      </c>
      <c r="P9900" t="str">
        <f t="shared" si="619"/>
        <v>Mid-term</v>
      </c>
    </row>
    <row r="9901" spans="1:16" x14ac:dyDescent="0.25">
      <c r="A9901">
        <v>2025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  <c r="M9901" t="str">
        <f t="shared" si="616"/>
        <v>&lt;30</v>
      </c>
      <c r="N9901" t="str">
        <f t="shared" si="617"/>
        <v>Medium</v>
      </c>
      <c r="O9901" t="str">
        <f t="shared" si="618"/>
        <v>High Balance</v>
      </c>
      <c r="P9901" t="str">
        <f t="shared" si="619"/>
        <v>New</v>
      </c>
    </row>
    <row r="9902" spans="1:16" x14ac:dyDescent="0.25">
      <c r="A9902">
        <v>2025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  <c r="M9902" t="str">
        <f t="shared" si="616"/>
        <v>30-45</v>
      </c>
      <c r="N9902" t="str">
        <f t="shared" si="617"/>
        <v>Medium</v>
      </c>
      <c r="O9902" t="str">
        <f t="shared" si="618"/>
        <v>High Balance</v>
      </c>
      <c r="P9902" t="str">
        <f t="shared" si="619"/>
        <v>Mid-term</v>
      </c>
    </row>
    <row r="9903" spans="1:16" x14ac:dyDescent="0.25">
      <c r="A9903">
        <v>2025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  <c r="M9903" t="str">
        <f t="shared" si="616"/>
        <v>46-60</v>
      </c>
      <c r="N9903" t="str">
        <f t="shared" si="617"/>
        <v>High</v>
      </c>
      <c r="O9903" t="str">
        <f t="shared" si="618"/>
        <v>High Balance</v>
      </c>
      <c r="P9903" t="str">
        <f t="shared" si="619"/>
        <v>New</v>
      </c>
    </row>
    <row r="9904" spans="1:16" x14ac:dyDescent="0.25">
      <c r="A9904">
        <v>2025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  <c r="M9904" t="str">
        <f t="shared" si="616"/>
        <v>&lt;30</v>
      </c>
      <c r="N9904" t="str">
        <f t="shared" si="617"/>
        <v>High</v>
      </c>
      <c r="O9904" t="str">
        <f t="shared" si="618"/>
        <v>Zero Balance</v>
      </c>
      <c r="P9904" t="str">
        <f t="shared" si="619"/>
        <v>Mid-term</v>
      </c>
    </row>
    <row r="9905" spans="1:16" x14ac:dyDescent="0.25">
      <c r="A9905">
        <v>2025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  <c r="M9905" t="str">
        <f t="shared" si="616"/>
        <v>30-45</v>
      </c>
      <c r="N9905" t="str">
        <f t="shared" si="617"/>
        <v>Medium</v>
      </c>
      <c r="O9905" t="str">
        <f t="shared" si="618"/>
        <v>Zero Balance</v>
      </c>
      <c r="P9905" t="str">
        <f t="shared" si="619"/>
        <v>Long-term</v>
      </c>
    </row>
    <row r="9906" spans="1:16" x14ac:dyDescent="0.25">
      <c r="A9906">
        <v>2025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  <c r="M9906" t="str">
        <f t="shared" si="616"/>
        <v>30-45</v>
      </c>
      <c r="N9906" t="str">
        <f t="shared" si="617"/>
        <v>Medium</v>
      </c>
      <c r="O9906" t="str">
        <f t="shared" si="618"/>
        <v>Low Balance</v>
      </c>
      <c r="P9906" t="str">
        <f t="shared" si="619"/>
        <v>Long-term</v>
      </c>
    </row>
    <row r="9907" spans="1:16" x14ac:dyDescent="0.25">
      <c r="A9907">
        <v>2025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  <c r="M9907" t="str">
        <f t="shared" si="616"/>
        <v>30-45</v>
      </c>
      <c r="N9907" t="str">
        <f t="shared" si="617"/>
        <v>Medium</v>
      </c>
      <c r="O9907" t="str">
        <f t="shared" si="618"/>
        <v>Low Balance</v>
      </c>
      <c r="P9907" t="str">
        <f t="shared" si="619"/>
        <v>New</v>
      </c>
    </row>
    <row r="9908" spans="1:16" x14ac:dyDescent="0.25">
      <c r="A9908">
        <v>2025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  <c r="M9908" t="str">
        <f t="shared" si="616"/>
        <v>30-45</v>
      </c>
      <c r="N9908" t="str">
        <f t="shared" si="617"/>
        <v>Medium</v>
      </c>
      <c r="O9908" t="str">
        <f t="shared" si="618"/>
        <v>High Balance</v>
      </c>
      <c r="P9908" t="str">
        <f t="shared" si="619"/>
        <v>Mid-term</v>
      </c>
    </row>
    <row r="9909" spans="1:16" x14ac:dyDescent="0.25">
      <c r="A9909">
        <v>2025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  <c r="M9909" t="str">
        <f t="shared" si="616"/>
        <v>&lt;30</v>
      </c>
      <c r="N9909" t="str">
        <f t="shared" si="617"/>
        <v>Low</v>
      </c>
      <c r="O9909" t="str">
        <f t="shared" si="618"/>
        <v>Zero Balance</v>
      </c>
      <c r="P9909" t="str">
        <f t="shared" si="619"/>
        <v>Long-term</v>
      </c>
    </row>
    <row r="9910" spans="1:16" x14ac:dyDescent="0.25">
      <c r="A9910">
        <v>2025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  <c r="M9910" t="str">
        <f t="shared" si="616"/>
        <v>30-45</v>
      </c>
      <c r="N9910" t="str">
        <f t="shared" si="617"/>
        <v>Low</v>
      </c>
      <c r="O9910" t="str">
        <f t="shared" si="618"/>
        <v>High Balance</v>
      </c>
      <c r="P9910" t="str">
        <f t="shared" si="619"/>
        <v>Long-term</v>
      </c>
    </row>
    <row r="9911" spans="1:16" x14ac:dyDescent="0.25">
      <c r="A9911">
        <v>2025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  <c r="M9911" t="str">
        <f t="shared" si="616"/>
        <v>46-60</v>
      </c>
      <c r="N9911" t="str">
        <f t="shared" si="617"/>
        <v>High</v>
      </c>
      <c r="O9911" t="str">
        <f t="shared" si="618"/>
        <v>High Balance</v>
      </c>
      <c r="P9911" t="str">
        <f t="shared" si="619"/>
        <v>New</v>
      </c>
    </row>
    <row r="9912" spans="1:16" x14ac:dyDescent="0.25">
      <c r="A9912">
        <v>2025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  <c r="M9912" t="str">
        <f t="shared" si="616"/>
        <v>46-60</v>
      </c>
      <c r="N9912" t="str">
        <f t="shared" si="617"/>
        <v>Medium</v>
      </c>
      <c r="O9912" t="str">
        <f t="shared" si="618"/>
        <v>High Balance</v>
      </c>
      <c r="P9912" t="str">
        <f t="shared" si="619"/>
        <v>Mid-term</v>
      </c>
    </row>
    <row r="9913" spans="1:16" x14ac:dyDescent="0.25">
      <c r="A9913">
        <v>2025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  <c r="M9913" t="str">
        <f t="shared" si="616"/>
        <v>30-45</v>
      </c>
      <c r="N9913" t="str">
        <f t="shared" si="617"/>
        <v>Medium</v>
      </c>
      <c r="O9913" t="str">
        <f t="shared" si="618"/>
        <v>High Balance</v>
      </c>
      <c r="P9913" t="str">
        <f t="shared" si="619"/>
        <v>New</v>
      </c>
    </row>
    <row r="9914" spans="1:16" x14ac:dyDescent="0.25">
      <c r="A9914">
        <v>2025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  <c r="M9914" t="str">
        <f t="shared" si="616"/>
        <v>30-45</v>
      </c>
      <c r="N9914" t="str">
        <f t="shared" si="617"/>
        <v>High</v>
      </c>
      <c r="O9914" t="str">
        <f t="shared" si="618"/>
        <v>High Balance</v>
      </c>
      <c r="P9914" t="str">
        <f t="shared" si="619"/>
        <v>Mid-term</v>
      </c>
    </row>
    <row r="9915" spans="1:16" x14ac:dyDescent="0.25">
      <c r="A9915">
        <v>2025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  <c r="M9915" t="str">
        <f t="shared" si="616"/>
        <v>30-45</v>
      </c>
      <c r="N9915" t="str">
        <f t="shared" si="617"/>
        <v>High</v>
      </c>
      <c r="O9915" t="str">
        <f t="shared" si="618"/>
        <v>High Balance</v>
      </c>
      <c r="P9915" t="str">
        <f t="shared" si="619"/>
        <v>New</v>
      </c>
    </row>
    <row r="9916" spans="1:16" x14ac:dyDescent="0.25">
      <c r="A9916">
        <v>2025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  <c r="M9916" t="str">
        <f t="shared" si="616"/>
        <v>30-45</v>
      </c>
      <c r="N9916" t="str">
        <f t="shared" si="617"/>
        <v>Low</v>
      </c>
      <c r="O9916" t="str">
        <f t="shared" si="618"/>
        <v>High Balance</v>
      </c>
      <c r="P9916" t="str">
        <f t="shared" si="619"/>
        <v>New</v>
      </c>
    </row>
    <row r="9917" spans="1:16" x14ac:dyDescent="0.25">
      <c r="A9917">
        <v>2025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  <c r="M9917" t="str">
        <f t="shared" si="616"/>
        <v>30-45</v>
      </c>
      <c r="N9917" t="str">
        <f t="shared" si="617"/>
        <v>Medium</v>
      </c>
      <c r="O9917" t="str">
        <f t="shared" si="618"/>
        <v>Zero Balance</v>
      </c>
      <c r="P9917" t="str">
        <f t="shared" si="619"/>
        <v>Mid-term</v>
      </c>
    </row>
    <row r="9918" spans="1:16" x14ac:dyDescent="0.25">
      <c r="A9918">
        <v>2025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  <c r="M9918" t="str">
        <f t="shared" si="616"/>
        <v>30-45</v>
      </c>
      <c r="N9918" t="str">
        <f t="shared" si="617"/>
        <v>Medium</v>
      </c>
      <c r="O9918" t="str">
        <f t="shared" si="618"/>
        <v>High Balance</v>
      </c>
      <c r="P9918" t="str">
        <f t="shared" si="619"/>
        <v>Mid-term</v>
      </c>
    </row>
    <row r="9919" spans="1:16" x14ac:dyDescent="0.25">
      <c r="A9919">
        <v>2025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  <c r="M9919" t="str">
        <f t="shared" si="616"/>
        <v>46-60</v>
      </c>
      <c r="N9919" t="str">
        <f t="shared" si="617"/>
        <v>Medium</v>
      </c>
      <c r="O9919" t="str">
        <f t="shared" si="618"/>
        <v>High Balance</v>
      </c>
      <c r="P9919" t="str">
        <f t="shared" si="619"/>
        <v>Long-term</v>
      </c>
    </row>
    <row r="9920" spans="1:16" x14ac:dyDescent="0.25">
      <c r="A9920">
        <v>2025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  <c r="M9920" t="str">
        <f t="shared" si="616"/>
        <v>30-45</v>
      </c>
      <c r="N9920" t="str">
        <f t="shared" si="617"/>
        <v>Medium</v>
      </c>
      <c r="O9920" t="str">
        <f t="shared" si="618"/>
        <v>High Balance</v>
      </c>
      <c r="P9920" t="str">
        <f t="shared" si="619"/>
        <v>New</v>
      </c>
    </row>
    <row r="9921" spans="1:16" x14ac:dyDescent="0.25">
      <c r="A9921">
        <v>2025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  <c r="M9921" t="str">
        <f t="shared" si="616"/>
        <v>&lt;30</v>
      </c>
      <c r="N9921" t="str">
        <f t="shared" si="617"/>
        <v>Medium</v>
      </c>
      <c r="O9921" t="str">
        <f t="shared" si="618"/>
        <v>Zero Balance</v>
      </c>
      <c r="P9921" t="str">
        <f t="shared" si="619"/>
        <v>New</v>
      </c>
    </row>
    <row r="9922" spans="1:16" x14ac:dyDescent="0.25">
      <c r="A9922">
        <v>2025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  <c r="M9922" t="str">
        <f t="shared" si="616"/>
        <v>46-60</v>
      </c>
      <c r="N9922" t="str">
        <f t="shared" si="617"/>
        <v>Medium</v>
      </c>
      <c r="O9922" t="str">
        <f t="shared" si="618"/>
        <v>High Balance</v>
      </c>
      <c r="P9922" t="str">
        <f t="shared" si="619"/>
        <v>New</v>
      </c>
    </row>
    <row r="9923" spans="1:16" x14ac:dyDescent="0.25">
      <c r="A9923">
        <v>2025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  <c r="M9923" t="str">
        <f t="shared" ref="M9923:M9986" si="620">IF(E9923&lt;30,"&lt;30",IF(E9923&lt;=45,"30-45",IF(E9923&lt;=60,"46-60","60+")))</f>
        <v>30-45</v>
      </c>
      <c r="N9923" t="str">
        <f t="shared" ref="N9923:N9986" si="621">IF(B9923&lt;500,"Low",IF(B9923&lt;700,"Medium","High"))</f>
        <v>High</v>
      </c>
      <c r="O9923" t="str">
        <f t="shared" ref="O9923:O9986" si="622">IF(G9923=0,"Zero Balance",IF(G9923&lt;100000,"Low Balance","High Balance"))</f>
        <v>Low Balance</v>
      </c>
      <c r="P9923" t="str">
        <f t="shared" ref="P9923:P9986" si="623">IF(F9923&lt;=3,"New",IF(F9923&lt;=7,"Mid-term","Long-term"))</f>
        <v>New</v>
      </c>
    </row>
    <row r="9924" spans="1:16" x14ac:dyDescent="0.25">
      <c r="A9924">
        <v>2025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  <c r="M9924" t="str">
        <f t="shared" si="620"/>
        <v>30-45</v>
      </c>
      <c r="N9924" t="str">
        <f t="shared" si="621"/>
        <v>Medium</v>
      </c>
      <c r="O9924" t="str">
        <f t="shared" si="622"/>
        <v>High Balance</v>
      </c>
      <c r="P9924" t="str">
        <f t="shared" si="623"/>
        <v>Long-term</v>
      </c>
    </row>
    <row r="9925" spans="1:16" x14ac:dyDescent="0.25">
      <c r="A9925">
        <v>2025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  <c r="M9925" t="str">
        <f t="shared" si="620"/>
        <v>&lt;30</v>
      </c>
      <c r="N9925" t="str">
        <f t="shared" si="621"/>
        <v>High</v>
      </c>
      <c r="O9925" t="str">
        <f t="shared" si="622"/>
        <v>Zero Balance</v>
      </c>
      <c r="P9925" t="str">
        <f t="shared" si="623"/>
        <v>Mid-term</v>
      </c>
    </row>
    <row r="9926" spans="1:16" x14ac:dyDescent="0.25">
      <c r="A9926">
        <v>2025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  <c r="M9926" t="str">
        <f t="shared" si="620"/>
        <v>46-60</v>
      </c>
      <c r="N9926" t="str">
        <f t="shared" si="621"/>
        <v>Medium</v>
      </c>
      <c r="O9926" t="str">
        <f t="shared" si="622"/>
        <v>High Balance</v>
      </c>
      <c r="P9926" t="str">
        <f t="shared" si="623"/>
        <v>Mid-term</v>
      </c>
    </row>
    <row r="9927" spans="1:16" x14ac:dyDescent="0.25">
      <c r="A9927">
        <v>2025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  <c r="M9927" t="str">
        <f t="shared" si="620"/>
        <v>30-45</v>
      </c>
      <c r="N9927" t="str">
        <f t="shared" si="621"/>
        <v>Medium</v>
      </c>
      <c r="O9927" t="str">
        <f t="shared" si="622"/>
        <v>High Balance</v>
      </c>
      <c r="P9927" t="str">
        <f t="shared" si="623"/>
        <v>Mid-term</v>
      </c>
    </row>
    <row r="9928" spans="1:16" x14ac:dyDescent="0.25">
      <c r="A9928">
        <v>2025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  <c r="M9928" t="str">
        <f t="shared" si="620"/>
        <v>30-45</v>
      </c>
      <c r="N9928" t="str">
        <f t="shared" si="621"/>
        <v>High</v>
      </c>
      <c r="O9928" t="str">
        <f t="shared" si="622"/>
        <v>Zero Balance</v>
      </c>
      <c r="P9928" t="str">
        <f t="shared" si="623"/>
        <v>New</v>
      </c>
    </row>
    <row r="9929" spans="1:16" x14ac:dyDescent="0.25">
      <c r="A9929">
        <v>2025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  <c r="M9929" t="str">
        <f t="shared" si="620"/>
        <v>30-45</v>
      </c>
      <c r="N9929" t="str">
        <f t="shared" si="621"/>
        <v>High</v>
      </c>
      <c r="O9929" t="str">
        <f t="shared" si="622"/>
        <v>Low Balance</v>
      </c>
      <c r="P9929" t="str">
        <f t="shared" si="623"/>
        <v>Mid-term</v>
      </c>
    </row>
    <row r="9930" spans="1:16" x14ac:dyDescent="0.25">
      <c r="A9930">
        <v>2025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  <c r="M9930" t="str">
        <f t="shared" si="620"/>
        <v>30-45</v>
      </c>
      <c r="N9930" t="str">
        <f t="shared" si="621"/>
        <v>Medium</v>
      </c>
      <c r="O9930" t="str">
        <f t="shared" si="622"/>
        <v>Low Balance</v>
      </c>
      <c r="P9930" t="str">
        <f t="shared" si="623"/>
        <v>Mid-term</v>
      </c>
    </row>
    <row r="9931" spans="1:16" x14ac:dyDescent="0.25">
      <c r="A9931">
        <v>2025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  <c r="M9931" t="str">
        <f t="shared" si="620"/>
        <v>30-45</v>
      </c>
      <c r="N9931" t="str">
        <f t="shared" si="621"/>
        <v>High</v>
      </c>
      <c r="O9931" t="str">
        <f t="shared" si="622"/>
        <v>High Balance</v>
      </c>
      <c r="P9931" t="str">
        <f t="shared" si="623"/>
        <v>Mid-term</v>
      </c>
    </row>
    <row r="9932" spans="1:16" x14ac:dyDescent="0.25">
      <c r="A9932">
        <v>2025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  <c r="M9932" t="str">
        <f t="shared" si="620"/>
        <v>30-45</v>
      </c>
      <c r="N9932" t="str">
        <f t="shared" si="621"/>
        <v>Low</v>
      </c>
      <c r="O9932" t="str">
        <f t="shared" si="622"/>
        <v>High Balance</v>
      </c>
      <c r="P9932" t="str">
        <f t="shared" si="623"/>
        <v>Long-term</v>
      </c>
    </row>
    <row r="9933" spans="1:16" x14ac:dyDescent="0.25">
      <c r="A9933">
        <v>2025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  <c r="M9933" t="str">
        <f t="shared" si="620"/>
        <v>30-45</v>
      </c>
      <c r="N9933" t="str">
        <f t="shared" si="621"/>
        <v>High</v>
      </c>
      <c r="O9933" t="str">
        <f t="shared" si="622"/>
        <v>High Balance</v>
      </c>
      <c r="P9933" t="str">
        <f t="shared" si="623"/>
        <v>Mid-term</v>
      </c>
    </row>
    <row r="9934" spans="1:16" x14ac:dyDescent="0.25">
      <c r="A9934">
        <v>2025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  <c r="M9934" t="str">
        <f t="shared" si="620"/>
        <v>&lt;30</v>
      </c>
      <c r="N9934" t="str">
        <f t="shared" si="621"/>
        <v>Medium</v>
      </c>
      <c r="O9934" t="str">
        <f t="shared" si="622"/>
        <v>High Balance</v>
      </c>
      <c r="P9934" t="str">
        <f t="shared" si="623"/>
        <v>Long-term</v>
      </c>
    </row>
    <row r="9935" spans="1:16" x14ac:dyDescent="0.25">
      <c r="A9935">
        <v>2025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  <c r="M9935" t="str">
        <f t="shared" si="620"/>
        <v>46-60</v>
      </c>
      <c r="N9935" t="str">
        <f t="shared" si="621"/>
        <v>High</v>
      </c>
      <c r="O9935" t="str">
        <f t="shared" si="622"/>
        <v>Zero Balance</v>
      </c>
      <c r="P9935" t="str">
        <f t="shared" si="623"/>
        <v>Long-term</v>
      </c>
    </row>
    <row r="9936" spans="1:16" x14ac:dyDescent="0.25">
      <c r="A9936">
        <v>2025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  <c r="M9936" t="str">
        <f t="shared" si="620"/>
        <v>30-45</v>
      </c>
      <c r="N9936" t="str">
        <f t="shared" si="621"/>
        <v>Medium</v>
      </c>
      <c r="O9936" t="str">
        <f t="shared" si="622"/>
        <v>High Balance</v>
      </c>
      <c r="P9936" t="str">
        <f t="shared" si="623"/>
        <v>Long-term</v>
      </c>
    </row>
    <row r="9937" spans="1:16" x14ac:dyDescent="0.25">
      <c r="A9937">
        <v>2025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  <c r="M9937" t="str">
        <f t="shared" si="620"/>
        <v>&lt;30</v>
      </c>
      <c r="N9937" t="str">
        <f t="shared" si="621"/>
        <v>High</v>
      </c>
      <c r="O9937" t="str">
        <f t="shared" si="622"/>
        <v>High Balance</v>
      </c>
      <c r="P9937" t="str">
        <f t="shared" si="623"/>
        <v>Mid-term</v>
      </c>
    </row>
    <row r="9938" spans="1:16" x14ac:dyDescent="0.25">
      <c r="A9938">
        <v>2025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  <c r="M9938" t="str">
        <f t="shared" si="620"/>
        <v>60+</v>
      </c>
      <c r="N9938" t="str">
        <f t="shared" si="621"/>
        <v>Medium</v>
      </c>
      <c r="O9938" t="str">
        <f t="shared" si="622"/>
        <v>Zero Balance</v>
      </c>
      <c r="P9938" t="str">
        <f t="shared" si="623"/>
        <v>New</v>
      </c>
    </row>
    <row r="9939" spans="1:16" x14ac:dyDescent="0.25">
      <c r="A9939">
        <v>2025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  <c r="M9939" t="str">
        <f t="shared" si="620"/>
        <v>30-45</v>
      </c>
      <c r="N9939" t="str">
        <f t="shared" si="621"/>
        <v>High</v>
      </c>
      <c r="O9939" t="str">
        <f t="shared" si="622"/>
        <v>Zero Balance</v>
      </c>
      <c r="P9939" t="str">
        <f t="shared" si="623"/>
        <v>Long-term</v>
      </c>
    </row>
    <row r="9940" spans="1:16" x14ac:dyDescent="0.25">
      <c r="A9940">
        <v>2025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  <c r="M9940" t="str">
        <f t="shared" si="620"/>
        <v>30-45</v>
      </c>
      <c r="N9940" t="str">
        <f t="shared" si="621"/>
        <v>Medium</v>
      </c>
      <c r="O9940" t="str">
        <f t="shared" si="622"/>
        <v>Low Balance</v>
      </c>
      <c r="P9940" t="str">
        <f t="shared" si="623"/>
        <v>Mid-term</v>
      </c>
    </row>
    <row r="9941" spans="1:16" x14ac:dyDescent="0.25">
      <c r="A9941">
        <v>2025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  <c r="M9941" t="str">
        <f t="shared" si="620"/>
        <v>46-60</v>
      </c>
      <c r="N9941" t="str">
        <f t="shared" si="621"/>
        <v>Medium</v>
      </c>
      <c r="O9941" t="str">
        <f t="shared" si="622"/>
        <v>Zero Balance</v>
      </c>
      <c r="P9941" t="str">
        <f t="shared" si="623"/>
        <v>Long-term</v>
      </c>
    </row>
    <row r="9942" spans="1:16" x14ac:dyDescent="0.25">
      <c r="A9942">
        <v>2025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  <c r="M9942" t="str">
        <f t="shared" si="620"/>
        <v>&lt;30</v>
      </c>
      <c r="N9942" t="str">
        <f t="shared" si="621"/>
        <v>High</v>
      </c>
      <c r="O9942" t="str">
        <f t="shared" si="622"/>
        <v>Zero Balance</v>
      </c>
      <c r="P9942" t="str">
        <f t="shared" si="623"/>
        <v>Mid-term</v>
      </c>
    </row>
    <row r="9943" spans="1:16" x14ac:dyDescent="0.25">
      <c r="A9943">
        <v>2025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  <c r="M9943" t="str">
        <f t="shared" si="620"/>
        <v>30-45</v>
      </c>
      <c r="N9943" t="str">
        <f t="shared" si="621"/>
        <v>Medium</v>
      </c>
      <c r="O9943" t="str">
        <f t="shared" si="622"/>
        <v>Zero Balance</v>
      </c>
      <c r="P9943" t="str">
        <f t="shared" si="623"/>
        <v>Long-term</v>
      </c>
    </row>
    <row r="9944" spans="1:16" x14ac:dyDescent="0.25">
      <c r="A9944">
        <v>2025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  <c r="M9944" t="str">
        <f t="shared" si="620"/>
        <v>&lt;30</v>
      </c>
      <c r="N9944" t="str">
        <f t="shared" si="621"/>
        <v>High</v>
      </c>
      <c r="O9944" t="str">
        <f t="shared" si="622"/>
        <v>High Balance</v>
      </c>
      <c r="P9944" t="str">
        <f t="shared" si="623"/>
        <v>Mid-term</v>
      </c>
    </row>
    <row r="9945" spans="1:16" x14ac:dyDescent="0.25">
      <c r="A9945">
        <v>2025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  <c r="M9945" t="str">
        <f t="shared" si="620"/>
        <v>&lt;30</v>
      </c>
      <c r="N9945" t="str">
        <f t="shared" si="621"/>
        <v>High</v>
      </c>
      <c r="O9945" t="str">
        <f t="shared" si="622"/>
        <v>Zero Balance</v>
      </c>
      <c r="P9945" t="str">
        <f t="shared" si="623"/>
        <v>New</v>
      </c>
    </row>
    <row r="9946" spans="1:16" x14ac:dyDescent="0.25">
      <c r="A9946">
        <v>2025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  <c r="M9946" t="str">
        <f t="shared" si="620"/>
        <v>30-45</v>
      </c>
      <c r="N9946" t="str">
        <f t="shared" si="621"/>
        <v>High</v>
      </c>
      <c r="O9946" t="str">
        <f t="shared" si="622"/>
        <v>High Balance</v>
      </c>
      <c r="P9946" t="str">
        <f t="shared" si="623"/>
        <v>Mid-term</v>
      </c>
    </row>
    <row r="9947" spans="1:16" x14ac:dyDescent="0.25">
      <c r="A9947">
        <v>2025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  <c r="M9947" t="str">
        <f t="shared" si="620"/>
        <v>30-45</v>
      </c>
      <c r="N9947" t="str">
        <f t="shared" si="621"/>
        <v>Medium</v>
      </c>
      <c r="O9947" t="str">
        <f t="shared" si="622"/>
        <v>Zero Balance</v>
      </c>
      <c r="P9947" t="str">
        <f t="shared" si="623"/>
        <v>Long-term</v>
      </c>
    </row>
    <row r="9948" spans="1:16" x14ac:dyDescent="0.25">
      <c r="A9948">
        <v>2025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  <c r="M9948" t="str">
        <f t="shared" si="620"/>
        <v>30-45</v>
      </c>
      <c r="N9948" t="str">
        <f t="shared" si="621"/>
        <v>Medium</v>
      </c>
      <c r="O9948" t="str">
        <f t="shared" si="622"/>
        <v>Zero Balance</v>
      </c>
      <c r="P9948" t="str">
        <f t="shared" si="623"/>
        <v>Long-term</v>
      </c>
    </row>
    <row r="9949" spans="1:16" x14ac:dyDescent="0.25">
      <c r="A9949">
        <v>2025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  <c r="M9949" t="str">
        <f t="shared" si="620"/>
        <v>30-45</v>
      </c>
      <c r="N9949" t="str">
        <f t="shared" si="621"/>
        <v>Medium</v>
      </c>
      <c r="O9949" t="str">
        <f t="shared" si="622"/>
        <v>Low Balance</v>
      </c>
      <c r="P9949" t="str">
        <f t="shared" si="623"/>
        <v>New</v>
      </c>
    </row>
    <row r="9950" spans="1:16" x14ac:dyDescent="0.25">
      <c r="A9950">
        <v>2025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  <c r="M9950" t="str">
        <f t="shared" si="620"/>
        <v>46-60</v>
      </c>
      <c r="N9950" t="str">
        <f t="shared" si="621"/>
        <v>High</v>
      </c>
      <c r="O9950" t="str">
        <f t="shared" si="622"/>
        <v>High Balance</v>
      </c>
      <c r="P9950" t="str">
        <f t="shared" si="623"/>
        <v>New</v>
      </c>
    </row>
    <row r="9951" spans="1:16" x14ac:dyDescent="0.25">
      <c r="A9951">
        <v>2025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  <c r="M9951" t="str">
        <f t="shared" si="620"/>
        <v>46-60</v>
      </c>
      <c r="N9951" t="str">
        <f t="shared" si="621"/>
        <v>High</v>
      </c>
      <c r="O9951" t="str">
        <f t="shared" si="622"/>
        <v>High Balance</v>
      </c>
      <c r="P9951" t="str">
        <f t="shared" si="623"/>
        <v>Long-term</v>
      </c>
    </row>
    <row r="9952" spans="1:16" x14ac:dyDescent="0.25">
      <c r="A9952">
        <v>2025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  <c r="M9952" t="str">
        <f t="shared" si="620"/>
        <v>30-45</v>
      </c>
      <c r="N9952" t="str">
        <f t="shared" si="621"/>
        <v>Medium</v>
      </c>
      <c r="O9952" t="str">
        <f t="shared" si="622"/>
        <v>High Balance</v>
      </c>
      <c r="P9952" t="str">
        <f t="shared" si="623"/>
        <v>Long-term</v>
      </c>
    </row>
    <row r="9953" spans="1:16" x14ac:dyDescent="0.25">
      <c r="A9953">
        <v>2025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  <c r="M9953" t="str">
        <f t="shared" si="620"/>
        <v>46-60</v>
      </c>
      <c r="N9953" t="str">
        <f t="shared" si="621"/>
        <v>Medium</v>
      </c>
      <c r="O9953" t="str">
        <f t="shared" si="622"/>
        <v>Zero Balance</v>
      </c>
      <c r="P9953" t="str">
        <f t="shared" si="623"/>
        <v>Long-term</v>
      </c>
    </row>
    <row r="9954" spans="1:16" x14ac:dyDescent="0.25">
      <c r="A9954">
        <v>2025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  <c r="M9954" t="str">
        <f t="shared" si="620"/>
        <v>30-45</v>
      </c>
      <c r="N9954" t="str">
        <f t="shared" si="621"/>
        <v>High</v>
      </c>
      <c r="O9954" t="str">
        <f t="shared" si="622"/>
        <v>High Balance</v>
      </c>
      <c r="P9954" t="str">
        <f t="shared" si="623"/>
        <v>Mid-term</v>
      </c>
    </row>
    <row r="9955" spans="1:16" x14ac:dyDescent="0.25">
      <c r="A9955">
        <v>2025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  <c r="M9955" t="str">
        <f t="shared" si="620"/>
        <v>46-60</v>
      </c>
      <c r="N9955" t="str">
        <f t="shared" si="621"/>
        <v>Medium</v>
      </c>
      <c r="O9955" t="str">
        <f t="shared" si="622"/>
        <v>Zero Balance</v>
      </c>
      <c r="P9955" t="str">
        <f t="shared" si="623"/>
        <v>New</v>
      </c>
    </row>
    <row r="9956" spans="1:16" x14ac:dyDescent="0.25">
      <c r="A9956">
        <v>2025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  <c r="M9956" t="str">
        <f t="shared" si="620"/>
        <v>30-45</v>
      </c>
      <c r="N9956" t="str">
        <f t="shared" si="621"/>
        <v>Medium</v>
      </c>
      <c r="O9956" t="str">
        <f t="shared" si="622"/>
        <v>High Balance</v>
      </c>
      <c r="P9956" t="str">
        <f t="shared" si="623"/>
        <v>Mid-term</v>
      </c>
    </row>
    <row r="9957" spans="1:16" x14ac:dyDescent="0.25">
      <c r="A9957">
        <v>2025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  <c r="M9957" t="str">
        <f t="shared" si="620"/>
        <v>&lt;30</v>
      </c>
      <c r="N9957" t="str">
        <f t="shared" si="621"/>
        <v>High</v>
      </c>
      <c r="O9957" t="str">
        <f t="shared" si="622"/>
        <v>Zero Balance</v>
      </c>
      <c r="P9957" t="str">
        <f t="shared" si="623"/>
        <v>Mid-term</v>
      </c>
    </row>
    <row r="9958" spans="1:16" x14ac:dyDescent="0.25">
      <c r="A9958">
        <v>2025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  <c r="M9958" t="str">
        <f t="shared" si="620"/>
        <v>46-60</v>
      </c>
      <c r="N9958" t="str">
        <f t="shared" si="621"/>
        <v>Medium</v>
      </c>
      <c r="O9958" t="str">
        <f t="shared" si="622"/>
        <v>Low Balance</v>
      </c>
      <c r="P9958" t="str">
        <f t="shared" si="623"/>
        <v>Long-term</v>
      </c>
    </row>
    <row r="9959" spans="1:16" x14ac:dyDescent="0.25">
      <c r="A9959">
        <v>2025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  <c r="M9959" t="str">
        <f t="shared" si="620"/>
        <v>&lt;30</v>
      </c>
      <c r="N9959" t="str">
        <f t="shared" si="621"/>
        <v>Medium</v>
      </c>
      <c r="O9959" t="str">
        <f t="shared" si="622"/>
        <v>Zero Balance</v>
      </c>
      <c r="P9959" t="str">
        <f t="shared" si="623"/>
        <v>New</v>
      </c>
    </row>
    <row r="9960" spans="1:16" x14ac:dyDescent="0.25">
      <c r="A9960">
        <v>2025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  <c r="M9960" t="str">
        <f t="shared" si="620"/>
        <v>30-45</v>
      </c>
      <c r="N9960" t="str">
        <f t="shared" si="621"/>
        <v>Medium</v>
      </c>
      <c r="O9960" t="str">
        <f t="shared" si="622"/>
        <v>Zero Balance</v>
      </c>
      <c r="P9960" t="str">
        <f t="shared" si="623"/>
        <v>Mid-term</v>
      </c>
    </row>
    <row r="9961" spans="1:16" x14ac:dyDescent="0.25">
      <c r="A9961">
        <v>2025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  <c r="M9961" t="str">
        <f t="shared" si="620"/>
        <v>30-45</v>
      </c>
      <c r="N9961" t="str">
        <f t="shared" si="621"/>
        <v>High</v>
      </c>
      <c r="O9961" t="str">
        <f t="shared" si="622"/>
        <v>High Balance</v>
      </c>
      <c r="P9961" t="str">
        <f t="shared" si="623"/>
        <v>Mid-term</v>
      </c>
    </row>
    <row r="9962" spans="1:16" x14ac:dyDescent="0.25">
      <c r="A9962">
        <v>2025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  <c r="M9962" t="str">
        <f t="shared" si="620"/>
        <v>30-45</v>
      </c>
      <c r="N9962" t="str">
        <f t="shared" si="621"/>
        <v>High</v>
      </c>
      <c r="O9962" t="str">
        <f t="shared" si="622"/>
        <v>High Balance</v>
      </c>
      <c r="P9962" t="str">
        <f t="shared" si="623"/>
        <v>Long-term</v>
      </c>
    </row>
    <row r="9963" spans="1:16" x14ac:dyDescent="0.25">
      <c r="A9963">
        <v>2025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  <c r="M9963" t="str">
        <f t="shared" si="620"/>
        <v>30-45</v>
      </c>
      <c r="N9963" t="str">
        <f t="shared" si="621"/>
        <v>Medium</v>
      </c>
      <c r="O9963" t="str">
        <f t="shared" si="622"/>
        <v>Zero Balance</v>
      </c>
      <c r="P9963" t="str">
        <f t="shared" si="623"/>
        <v>Long-term</v>
      </c>
    </row>
    <row r="9964" spans="1:16" x14ac:dyDescent="0.25">
      <c r="A9964">
        <v>2025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  <c r="M9964" t="str">
        <f t="shared" si="620"/>
        <v>30-45</v>
      </c>
      <c r="N9964" t="str">
        <f t="shared" si="621"/>
        <v>High</v>
      </c>
      <c r="O9964" t="str">
        <f t="shared" si="622"/>
        <v>Zero Balance</v>
      </c>
      <c r="P9964" t="str">
        <f t="shared" si="623"/>
        <v>Long-term</v>
      </c>
    </row>
    <row r="9965" spans="1:16" x14ac:dyDescent="0.25">
      <c r="A9965">
        <v>2025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  <c r="M9965" t="str">
        <f t="shared" si="620"/>
        <v>30-45</v>
      </c>
      <c r="N9965" t="str">
        <f t="shared" si="621"/>
        <v>High</v>
      </c>
      <c r="O9965" t="str">
        <f t="shared" si="622"/>
        <v>High Balance</v>
      </c>
      <c r="P9965" t="str">
        <f t="shared" si="623"/>
        <v>New</v>
      </c>
    </row>
    <row r="9966" spans="1:16" x14ac:dyDescent="0.25">
      <c r="A9966">
        <v>2025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  <c r="M9966" t="str">
        <f t="shared" si="620"/>
        <v>30-45</v>
      </c>
      <c r="N9966" t="str">
        <f t="shared" si="621"/>
        <v>Low</v>
      </c>
      <c r="O9966" t="str">
        <f t="shared" si="622"/>
        <v>High Balance</v>
      </c>
      <c r="P9966" t="str">
        <f t="shared" si="623"/>
        <v>Mid-term</v>
      </c>
    </row>
    <row r="9967" spans="1:16" x14ac:dyDescent="0.25">
      <c r="A9967">
        <v>2025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  <c r="M9967" t="str">
        <f t="shared" si="620"/>
        <v>30-45</v>
      </c>
      <c r="N9967" t="str">
        <f t="shared" si="621"/>
        <v>Medium</v>
      </c>
      <c r="O9967" t="str">
        <f t="shared" si="622"/>
        <v>Low Balance</v>
      </c>
      <c r="P9967" t="str">
        <f t="shared" si="623"/>
        <v>Mid-term</v>
      </c>
    </row>
    <row r="9968" spans="1:16" x14ac:dyDescent="0.25">
      <c r="A9968">
        <v>2025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  <c r="M9968" t="str">
        <f t="shared" si="620"/>
        <v>30-45</v>
      </c>
      <c r="N9968" t="str">
        <f t="shared" si="621"/>
        <v>Low</v>
      </c>
      <c r="O9968" t="str">
        <f t="shared" si="622"/>
        <v>High Balance</v>
      </c>
      <c r="P9968" t="str">
        <f t="shared" si="623"/>
        <v>Mid-term</v>
      </c>
    </row>
    <row r="9969" spans="1:16" x14ac:dyDescent="0.25">
      <c r="A9969">
        <v>2025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  <c r="M9969" t="str">
        <f t="shared" si="620"/>
        <v>46-60</v>
      </c>
      <c r="N9969" t="str">
        <f t="shared" si="621"/>
        <v>Medium</v>
      </c>
      <c r="O9969" t="str">
        <f t="shared" si="622"/>
        <v>High Balance</v>
      </c>
      <c r="P9969" t="str">
        <f t="shared" si="623"/>
        <v>Mid-term</v>
      </c>
    </row>
    <row r="9970" spans="1:16" x14ac:dyDescent="0.25">
      <c r="A9970">
        <v>2025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  <c r="M9970" t="str">
        <f t="shared" si="620"/>
        <v>30-45</v>
      </c>
      <c r="N9970" t="str">
        <f t="shared" si="621"/>
        <v>Medium</v>
      </c>
      <c r="O9970" t="str">
        <f t="shared" si="622"/>
        <v>High Balance</v>
      </c>
      <c r="P9970" t="str">
        <f t="shared" si="623"/>
        <v>Long-term</v>
      </c>
    </row>
    <row r="9971" spans="1:16" x14ac:dyDescent="0.25">
      <c r="A9971">
        <v>2025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  <c r="M9971" t="str">
        <f t="shared" si="620"/>
        <v>30-45</v>
      </c>
      <c r="N9971" t="str">
        <f t="shared" si="621"/>
        <v>Medium</v>
      </c>
      <c r="O9971" t="str">
        <f t="shared" si="622"/>
        <v>Zero Balance</v>
      </c>
      <c r="P9971" t="str">
        <f t="shared" si="623"/>
        <v>Mid-term</v>
      </c>
    </row>
    <row r="9972" spans="1:16" x14ac:dyDescent="0.25">
      <c r="A9972">
        <v>2025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  <c r="M9972" t="str">
        <f t="shared" si="620"/>
        <v>30-45</v>
      </c>
      <c r="N9972" t="str">
        <f t="shared" si="621"/>
        <v>Medium</v>
      </c>
      <c r="O9972" t="str">
        <f t="shared" si="622"/>
        <v>High Balance</v>
      </c>
      <c r="P9972" t="str">
        <f t="shared" si="623"/>
        <v>Mid-term</v>
      </c>
    </row>
    <row r="9973" spans="1:16" x14ac:dyDescent="0.25">
      <c r="A9973">
        <v>2025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  <c r="M9973" t="str">
        <f t="shared" si="620"/>
        <v>30-45</v>
      </c>
      <c r="N9973" t="str">
        <f t="shared" si="621"/>
        <v>High</v>
      </c>
      <c r="O9973" t="str">
        <f t="shared" si="622"/>
        <v>High Balance</v>
      </c>
      <c r="P9973" t="str">
        <f t="shared" si="623"/>
        <v>New</v>
      </c>
    </row>
    <row r="9974" spans="1:16" x14ac:dyDescent="0.25">
      <c r="A9974">
        <v>2025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  <c r="M9974" t="str">
        <f t="shared" si="620"/>
        <v>&lt;30</v>
      </c>
      <c r="N9974" t="str">
        <f t="shared" si="621"/>
        <v>High</v>
      </c>
      <c r="O9974" t="str">
        <f t="shared" si="622"/>
        <v>High Balance</v>
      </c>
      <c r="P9974" t="str">
        <f t="shared" si="623"/>
        <v>Mid-term</v>
      </c>
    </row>
    <row r="9975" spans="1:16" x14ac:dyDescent="0.25">
      <c r="A9975">
        <v>2025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  <c r="M9975" t="str">
        <f t="shared" si="620"/>
        <v>&lt;30</v>
      </c>
      <c r="N9975" t="str">
        <f t="shared" si="621"/>
        <v>Medium</v>
      </c>
      <c r="O9975" t="str">
        <f t="shared" si="622"/>
        <v>Zero Balance</v>
      </c>
      <c r="P9975" t="str">
        <f t="shared" si="623"/>
        <v>Mid-term</v>
      </c>
    </row>
    <row r="9976" spans="1:16" x14ac:dyDescent="0.25">
      <c r="A9976">
        <v>2025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  <c r="M9976" t="str">
        <f t="shared" si="620"/>
        <v>30-45</v>
      </c>
      <c r="N9976" t="str">
        <f t="shared" si="621"/>
        <v>Medium</v>
      </c>
      <c r="O9976" t="str">
        <f t="shared" si="622"/>
        <v>High Balance</v>
      </c>
      <c r="P9976" t="str">
        <f t="shared" si="623"/>
        <v>Mid-term</v>
      </c>
    </row>
    <row r="9977" spans="1:16" x14ac:dyDescent="0.25">
      <c r="A9977">
        <v>2025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  <c r="M9977" t="str">
        <f t="shared" si="620"/>
        <v>46-60</v>
      </c>
      <c r="N9977" t="str">
        <f t="shared" si="621"/>
        <v>Medium</v>
      </c>
      <c r="O9977" t="str">
        <f t="shared" si="622"/>
        <v>High Balance</v>
      </c>
      <c r="P9977" t="str">
        <f t="shared" si="623"/>
        <v>New</v>
      </c>
    </row>
    <row r="9978" spans="1:16" x14ac:dyDescent="0.25">
      <c r="A9978">
        <v>2025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  <c r="M9978" t="str">
        <f t="shared" si="620"/>
        <v>30-45</v>
      </c>
      <c r="N9978" t="str">
        <f t="shared" si="621"/>
        <v>Medium</v>
      </c>
      <c r="O9978" t="str">
        <f t="shared" si="622"/>
        <v>High Balance</v>
      </c>
      <c r="P9978" t="str">
        <f t="shared" si="623"/>
        <v>Mid-term</v>
      </c>
    </row>
    <row r="9979" spans="1:16" x14ac:dyDescent="0.25">
      <c r="A9979">
        <v>2025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  <c r="M9979" t="str">
        <f t="shared" si="620"/>
        <v>30-45</v>
      </c>
      <c r="N9979" t="str">
        <f t="shared" si="621"/>
        <v>Medium</v>
      </c>
      <c r="O9979" t="str">
        <f t="shared" si="622"/>
        <v>Zero Balance</v>
      </c>
      <c r="P9979" t="str">
        <f t="shared" si="623"/>
        <v>Long-term</v>
      </c>
    </row>
    <row r="9980" spans="1:16" x14ac:dyDescent="0.25">
      <c r="A9980">
        <v>2025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  <c r="M9980" t="str">
        <f t="shared" si="620"/>
        <v>30-45</v>
      </c>
      <c r="N9980" t="str">
        <f t="shared" si="621"/>
        <v>High</v>
      </c>
      <c r="O9980" t="str">
        <f t="shared" si="622"/>
        <v>Low Balance</v>
      </c>
      <c r="P9980" t="str">
        <f t="shared" si="623"/>
        <v>Long-term</v>
      </c>
    </row>
    <row r="9981" spans="1:16" x14ac:dyDescent="0.25">
      <c r="A9981">
        <v>2025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  <c r="M9981" t="str">
        <f t="shared" si="620"/>
        <v>46-60</v>
      </c>
      <c r="N9981" t="str">
        <f t="shared" si="621"/>
        <v>Medium</v>
      </c>
      <c r="O9981" t="str">
        <f t="shared" si="622"/>
        <v>Low Balance</v>
      </c>
      <c r="P9981" t="str">
        <f t="shared" si="623"/>
        <v>New</v>
      </c>
    </row>
    <row r="9982" spans="1:16" x14ac:dyDescent="0.25">
      <c r="A9982">
        <v>2025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  <c r="M9982" t="str">
        <f t="shared" si="620"/>
        <v>30-45</v>
      </c>
      <c r="N9982" t="str">
        <f t="shared" si="621"/>
        <v>High</v>
      </c>
      <c r="O9982" t="str">
        <f t="shared" si="622"/>
        <v>Low Balance</v>
      </c>
      <c r="P9982" t="str">
        <f t="shared" si="623"/>
        <v>Mid-term</v>
      </c>
    </row>
    <row r="9983" spans="1:16" x14ac:dyDescent="0.25">
      <c r="A9983">
        <v>2025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  <c r="M9983" t="str">
        <f t="shared" si="620"/>
        <v>30-45</v>
      </c>
      <c r="N9983" t="str">
        <f t="shared" si="621"/>
        <v>Low</v>
      </c>
      <c r="O9983" t="str">
        <f t="shared" si="622"/>
        <v>High Balance</v>
      </c>
      <c r="P9983" t="str">
        <f t="shared" si="623"/>
        <v>New</v>
      </c>
    </row>
    <row r="9984" spans="1:16" x14ac:dyDescent="0.25">
      <c r="A9984">
        <v>2025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  <c r="M9984" t="str">
        <f t="shared" si="620"/>
        <v>46-60</v>
      </c>
      <c r="N9984" t="str">
        <f t="shared" si="621"/>
        <v>Medium</v>
      </c>
      <c r="O9984" t="str">
        <f t="shared" si="622"/>
        <v>High Balance</v>
      </c>
      <c r="P9984" t="str">
        <f t="shared" si="623"/>
        <v>Mid-term</v>
      </c>
    </row>
    <row r="9985" spans="1:16" x14ac:dyDescent="0.25">
      <c r="A9985">
        <v>2025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  <c r="M9985" t="str">
        <f t="shared" si="620"/>
        <v>30-45</v>
      </c>
      <c r="N9985" t="str">
        <f t="shared" si="621"/>
        <v>Medium</v>
      </c>
      <c r="O9985" t="str">
        <f t="shared" si="622"/>
        <v>Zero Balance</v>
      </c>
      <c r="P9985" t="str">
        <f t="shared" si="623"/>
        <v>Mid-term</v>
      </c>
    </row>
    <row r="9986" spans="1:16" x14ac:dyDescent="0.25">
      <c r="A9986">
        <v>2025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  <c r="M9986" t="str">
        <f t="shared" si="620"/>
        <v>30-45</v>
      </c>
      <c r="N9986" t="str">
        <f t="shared" si="621"/>
        <v>Medium</v>
      </c>
      <c r="O9986" t="str">
        <f t="shared" si="622"/>
        <v>Low Balance</v>
      </c>
      <c r="P9986" t="str">
        <f t="shared" si="623"/>
        <v>Mid-term</v>
      </c>
    </row>
    <row r="9987" spans="1:16" x14ac:dyDescent="0.25">
      <c r="A9987">
        <v>2025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  <c r="M9987" t="str">
        <f t="shared" ref="M9987:M10001" si="624">IF(E9987&lt;30,"&lt;30",IF(E9987&lt;=45,"30-45",IF(E9987&lt;=60,"46-60","60+")))</f>
        <v>30-45</v>
      </c>
      <c r="N9987" t="str">
        <f t="shared" ref="N9987:N10001" si="625">IF(B9987&lt;500,"Low",IF(B9987&lt;700,"Medium","High"))</f>
        <v>Medium</v>
      </c>
      <c r="O9987" t="str">
        <f t="shared" ref="O9987:O10001" si="626">IF(G9987=0,"Zero Balance",IF(G9987&lt;100000,"Low Balance","High Balance"))</f>
        <v>High Balance</v>
      </c>
      <c r="P9987" t="str">
        <f t="shared" ref="P9987:P10001" si="627">IF(F9987&lt;=3,"New",IF(F9987&lt;=7,"Mid-term","Long-term"))</f>
        <v>Mid-term</v>
      </c>
    </row>
    <row r="9988" spans="1:16" x14ac:dyDescent="0.25">
      <c r="A9988">
        <v>2025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  <c r="M9988" t="str">
        <f t="shared" si="624"/>
        <v>46-60</v>
      </c>
      <c r="N9988" t="str">
        <f t="shared" si="625"/>
        <v>Medium</v>
      </c>
      <c r="O9988" t="str">
        <f t="shared" si="626"/>
        <v>High Balance</v>
      </c>
      <c r="P9988" t="str">
        <f t="shared" si="627"/>
        <v>New</v>
      </c>
    </row>
    <row r="9989" spans="1:16" x14ac:dyDescent="0.25">
      <c r="A9989">
        <v>2025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  <c r="M9989" t="str">
        <f t="shared" si="624"/>
        <v>30-45</v>
      </c>
      <c r="N9989" t="str">
        <f t="shared" si="625"/>
        <v>Medium</v>
      </c>
      <c r="O9989" t="str">
        <f t="shared" si="626"/>
        <v>High Balance</v>
      </c>
      <c r="P9989" t="str">
        <f t="shared" si="627"/>
        <v>Long-term</v>
      </c>
    </row>
    <row r="9990" spans="1:16" x14ac:dyDescent="0.25">
      <c r="A9990">
        <v>2025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  <c r="M9990" t="str">
        <f t="shared" si="624"/>
        <v>30-45</v>
      </c>
      <c r="N9990" t="str">
        <f t="shared" si="625"/>
        <v>High</v>
      </c>
      <c r="O9990" t="str">
        <f t="shared" si="626"/>
        <v>Zero Balance</v>
      </c>
      <c r="P9990" t="str">
        <f t="shared" si="627"/>
        <v>Mid-term</v>
      </c>
    </row>
    <row r="9991" spans="1:16" x14ac:dyDescent="0.25">
      <c r="A9991">
        <v>2025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  <c r="M9991" t="str">
        <f t="shared" si="624"/>
        <v>&lt;30</v>
      </c>
      <c r="N9991" t="str">
        <f t="shared" si="625"/>
        <v>High</v>
      </c>
      <c r="O9991" t="str">
        <f t="shared" si="626"/>
        <v>Zero Balance</v>
      </c>
      <c r="P9991" t="str">
        <f t="shared" si="627"/>
        <v>Mid-term</v>
      </c>
    </row>
    <row r="9992" spans="1:16" x14ac:dyDescent="0.25">
      <c r="A9992">
        <v>2025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  <c r="M9992" t="str">
        <f t="shared" si="624"/>
        <v>30-45</v>
      </c>
      <c r="N9992" t="str">
        <f t="shared" si="625"/>
        <v>High</v>
      </c>
      <c r="O9992" t="str">
        <f t="shared" si="626"/>
        <v>Low Balance</v>
      </c>
      <c r="P9992" t="str">
        <f t="shared" si="627"/>
        <v>New</v>
      </c>
    </row>
    <row r="9993" spans="1:16" x14ac:dyDescent="0.25">
      <c r="A9993">
        <v>2025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  <c r="M9993" t="str">
        <f t="shared" si="624"/>
        <v>46-60</v>
      </c>
      <c r="N9993" t="str">
        <f t="shared" si="625"/>
        <v>Medium</v>
      </c>
      <c r="O9993" t="str">
        <f t="shared" si="626"/>
        <v>Low Balance</v>
      </c>
      <c r="P9993" t="str">
        <f t="shared" si="627"/>
        <v>Mid-term</v>
      </c>
    </row>
    <row r="9994" spans="1:16" x14ac:dyDescent="0.25">
      <c r="A9994">
        <v>2025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  <c r="M9994" t="str">
        <f t="shared" si="624"/>
        <v>30-45</v>
      </c>
      <c r="N9994" t="str">
        <f t="shared" si="625"/>
        <v>High</v>
      </c>
      <c r="O9994" t="str">
        <f t="shared" si="626"/>
        <v>Zero Balance</v>
      </c>
      <c r="P9994" t="str">
        <f t="shared" si="627"/>
        <v>New</v>
      </c>
    </row>
    <row r="9995" spans="1:16" x14ac:dyDescent="0.25">
      <c r="A9995">
        <v>2025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  <c r="M9995" t="str">
        <f t="shared" si="624"/>
        <v>&lt;30</v>
      </c>
      <c r="N9995" t="str">
        <f t="shared" si="625"/>
        <v>Medium</v>
      </c>
      <c r="O9995" t="str">
        <f t="shared" si="626"/>
        <v>High Balance</v>
      </c>
      <c r="P9995" t="str">
        <f t="shared" si="627"/>
        <v>Mid-term</v>
      </c>
    </row>
    <row r="9996" spans="1:16" x14ac:dyDescent="0.25">
      <c r="A9996">
        <v>2025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  <c r="M9996" t="str">
        <f t="shared" si="624"/>
        <v>&lt;30</v>
      </c>
      <c r="N9996" t="str">
        <f t="shared" si="625"/>
        <v>High</v>
      </c>
      <c r="O9996" t="str">
        <f t="shared" si="626"/>
        <v>Zero Balance</v>
      </c>
      <c r="P9996" t="str">
        <f t="shared" si="627"/>
        <v>New</v>
      </c>
    </row>
    <row r="9997" spans="1:16" x14ac:dyDescent="0.25">
      <c r="A9997">
        <v>2025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  <c r="M9997" t="str">
        <f t="shared" si="624"/>
        <v>30-45</v>
      </c>
      <c r="N9997" t="str">
        <f t="shared" si="625"/>
        <v>High</v>
      </c>
      <c r="O9997" t="str">
        <f t="shared" si="626"/>
        <v>Zero Balance</v>
      </c>
      <c r="P9997" t="str">
        <f t="shared" si="627"/>
        <v>Mid-term</v>
      </c>
    </row>
    <row r="9998" spans="1:16" x14ac:dyDescent="0.25">
      <c r="A9998">
        <v>2025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  <c r="M9998" t="str">
        <f t="shared" si="624"/>
        <v>30-45</v>
      </c>
      <c r="N9998" t="str">
        <f t="shared" si="625"/>
        <v>Medium</v>
      </c>
      <c r="O9998" t="str">
        <f t="shared" si="626"/>
        <v>Low Balance</v>
      </c>
      <c r="P9998" t="str">
        <f t="shared" si="627"/>
        <v>Long-term</v>
      </c>
    </row>
    <row r="9999" spans="1:16" x14ac:dyDescent="0.25">
      <c r="A9999">
        <v>2025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  <c r="M9999" t="str">
        <f t="shared" si="624"/>
        <v>30-45</v>
      </c>
      <c r="N9999" t="str">
        <f t="shared" si="625"/>
        <v>High</v>
      </c>
      <c r="O9999" t="str">
        <f t="shared" si="626"/>
        <v>Zero Balance</v>
      </c>
      <c r="P9999" t="str">
        <f t="shared" si="627"/>
        <v>Mid-term</v>
      </c>
    </row>
    <row r="10000" spans="1:16" x14ac:dyDescent="0.25">
      <c r="A10000">
        <v>2025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  <c r="M10000" t="str">
        <f t="shared" si="624"/>
        <v>30-45</v>
      </c>
      <c r="N10000" t="str">
        <f t="shared" si="625"/>
        <v>High</v>
      </c>
      <c r="O10000" t="str">
        <f t="shared" si="626"/>
        <v>Low Balance</v>
      </c>
      <c r="P10000" t="str">
        <f t="shared" si="627"/>
        <v>New</v>
      </c>
    </row>
    <row r="10001" spans="1:16" x14ac:dyDescent="0.25">
      <c r="A10001">
        <v>2025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  <c r="M10001" t="str">
        <f t="shared" si="624"/>
        <v>&lt;30</v>
      </c>
      <c r="N10001" t="str">
        <f t="shared" si="625"/>
        <v>High</v>
      </c>
      <c r="O10001" t="str">
        <f t="shared" si="626"/>
        <v>High Balance</v>
      </c>
      <c r="P10001" t="str">
        <f t="shared" si="627"/>
        <v>Mid-term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European_Bank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 Bulani</cp:lastModifiedBy>
  <dcterms:created xsi:type="dcterms:W3CDTF">2026-05-14T15:06:17Z</dcterms:created>
  <dcterms:modified xsi:type="dcterms:W3CDTF">2026-06-18T16:13:46Z</dcterms:modified>
</cp:coreProperties>
</file>